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https://provexpress.sharepoint.com/sites/ProvexpressIntranet/Adminyfinanciero/Documentos compartidos/Facturación/Asistente documental/control  de acuses/ACUSES 2026/"/>
    </mc:Choice>
  </mc:AlternateContent>
  <xr:revisionPtr revIDLastSave="12264" documentId="8_{3C4D1B8F-08A0-400A-935C-9AE29E2FBE1A}" xr6:coauthVersionLast="47" xr6:coauthVersionMax="47" xr10:uidLastSave="{4FE2876C-3390-4EF3-86C4-B8E828497260}"/>
  <bookViews>
    <workbookView xWindow="2730" yWindow="2730" windowWidth="27000" windowHeight="14340" firstSheet="4" xr2:uid="{00000000-000D-0000-FFFF-FFFF00000000}"/>
  </bookViews>
  <sheets>
    <sheet name="MATRIZ ENERO 2026" sheetId="1" r:id="rId1"/>
    <sheet name="1 ACUSE" sheetId="2" r:id="rId2"/>
    <sheet name="2 ACUSES" sheetId="3" r:id="rId3"/>
    <sheet name="SIN ACUSES" sheetId="5" r:id="rId4"/>
    <sheet name="3 ACUSES" sheetId="4" r:id="rId5"/>
    <sheet name="RECHAZADAS " sheetId="8" r:id="rId6"/>
    <sheet name="PAGAS EN SISTEMA" sheetId="7" r:id="rId7"/>
  </sheets>
  <definedNames>
    <definedName name="_xlnm._FilterDatabase" localSheetId="0" hidden="1">'MATRIZ ENERO 2026'!$N$6:$N$6</definedName>
  </definedNames>
  <calcPr calcId="191028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39" i="1" l="1"/>
  <c r="D1044" i="1"/>
  <c r="D1043" i="1"/>
  <c r="D99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2" i="1" l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C6" i="1"/>
  <c r="C7" i="1"/>
  <c r="B6" i="1"/>
  <c r="B7" i="1"/>
  <c r="D364" i="1" l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C3" i="1"/>
  <c r="C5" i="1"/>
  <c r="B4" i="1"/>
  <c r="C2" i="1"/>
  <c r="B3" i="1"/>
  <c r="C4" i="1"/>
  <c r="B2" i="1"/>
  <c r="B5" i="1"/>
  <c r="B8" i="1" l="1"/>
</calcChain>
</file>

<file path=xl/sharedStrings.xml><?xml version="1.0" encoding="utf-8"?>
<sst xmlns="http://schemas.openxmlformats.org/spreadsheetml/2006/main" count="18069" uniqueCount="4468">
  <si>
    <t>CONCEPTOS</t>
  </si>
  <si>
    <t>CANTIDAD</t>
  </si>
  <si>
    <t>VALOR TOTAL</t>
  </si>
  <si>
    <t>SIN ACUSE</t>
  </si>
  <si>
    <t>1 ACUSE</t>
  </si>
  <si>
    <t>2 ACUSES</t>
  </si>
  <si>
    <t xml:space="preserve">3 ACUSES </t>
  </si>
  <si>
    <t>RECHAZADAS</t>
  </si>
  <si>
    <t>PAGAS EN SISTEMA</t>
  </si>
  <si>
    <t>Tipo de documento</t>
  </si>
  <si>
    <t>CUFE/CUDE</t>
  </si>
  <si>
    <t>Folio</t>
  </si>
  <si>
    <t>Columna1</t>
  </si>
  <si>
    <t>Prefijo</t>
  </si>
  <si>
    <t>Fecha Emisión</t>
  </si>
  <si>
    <t>Fecha Recepción</t>
  </si>
  <si>
    <t>NIT Emisor</t>
  </si>
  <si>
    <t>Nombre Emisor</t>
  </si>
  <si>
    <t>NIT Receptor</t>
  </si>
  <si>
    <t>Nombre Receptor</t>
  </si>
  <si>
    <t>IVA</t>
  </si>
  <si>
    <t>ICA</t>
  </si>
  <si>
    <t>IPC</t>
  </si>
  <si>
    <t>Total</t>
  </si>
  <si>
    <t>Estado</t>
  </si>
  <si>
    <t>Grupo</t>
  </si>
  <si>
    <t>2 ACUSE</t>
  </si>
  <si>
    <t>3 ACUSE</t>
  </si>
  <si>
    <t>RECHAZADA</t>
  </si>
  <si>
    <t>YA PAGA  EN SISTEMA</t>
  </si>
  <si>
    <t>OBSERVACIONES</t>
  </si>
  <si>
    <t>Factura electrónica</t>
  </si>
  <si>
    <t>93074bd740e997c307276fd40785578d26c7149dc6b0d390ff1974e2c5f279a631512f4baded1b8c191af974e7426fa0</t>
  </si>
  <si>
    <t>104623</t>
  </si>
  <si>
    <t>FVE</t>
  </si>
  <si>
    <t>06-01-2026</t>
  </si>
  <si>
    <t>06-01-2026 06:51:28</t>
  </si>
  <si>
    <t>900800595</t>
  </si>
  <si>
    <t>Provexpress SAS</t>
  </si>
  <si>
    <t>900453990</t>
  </si>
  <si>
    <t>Fundacion Educativa Colegio Militar Inocencio Chinca Y Su Campus Deportivo</t>
  </si>
  <si>
    <t>Aprobado con notificación</t>
  </si>
  <si>
    <t>Emitido</t>
  </si>
  <si>
    <t>X</t>
  </si>
  <si>
    <t>fe8bb6ec891cf48d8975d938ab00cd2b348b0f748ba29dff5a0fe901ac0fad276781cdc6dabcba91f8833e4adf81bed8</t>
  </si>
  <si>
    <t>104624</t>
  </si>
  <si>
    <t>06-01-2026 06:51:33</t>
  </si>
  <si>
    <t>901662739</t>
  </si>
  <si>
    <t>Improve Learning SAS</t>
  </si>
  <si>
    <t>43042fb18294caecd13113422e319846f9c8933dd7316e622324e1c8aae2bc4c1996956121f1462cbdb413faec394a2c</t>
  </si>
  <si>
    <t>104625</t>
  </si>
  <si>
    <t>06-01-2026 06:51:37</t>
  </si>
  <si>
    <t>830095970</t>
  </si>
  <si>
    <t>Distribuidora Y Editora Richmond SAS</t>
  </si>
  <si>
    <t>fe8e0145c40fedcc05a33a04d3a33746824766e163a02d2f2af536217dd3fed77f8431553fcf56eb667d7ca087f3d314</t>
  </si>
  <si>
    <t>104626</t>
  </si>
  <si>
    <t>06-01-2026 07:06:50</t>
  </si>
  <si>
    <t>900682841</t>
  </si>
  <si>
    <t>Educactiva SAS</t>
  </si>
  <si>
    <t>f463a8aad17f5efc459b4375599b8f48e70411eef7fe456f56fed4a4b644fd9c4a3f13254744d420d0dcc28bac8a949b</t>
  </si>
  <si>
    <t>104627</t>
  </si>
  <si>
    <t>06-01-2026 07:06:54</t>
  </si>
  <si>
    <t>800024265</t>
  </si>
  <si>
    <t>Editorial Santillana SAS</t>
  </si>
  <si>
    <t>dcfba34922f9686abaac32c632009603e447274533d0288c6349667455ee3c93b0c3d55d6fcb999915887ec1d03d3dde</t>
  </si>
  <si>
    <t>104628</t>
  </si>
  <si>
    <t>06-01-2026 07:06:59</t>
  </si>
  <si>
    <t>800125872</t>
  </si>
  <si>
    <t xml:space="preserve">Keralty SAS </t>
  </si>
  <si>
    <t>PAGA EN EL SISTEMA 27/02/2026</t>
  </si>
  <si>
    <t>b60ba283e3653a668d1a062efda350e75177d7a5418581d079093e09c43c215411b03a513fcd1970a8ae3d68856c525c</t>
  </si>
  <si>
    <t>104629</t>
  </si>
  <si>
    <t>06-01-2026 07:07:03</t>
  </si>
  <si>
    <t>8bb13292ed57504f59b6dd32fe3c1167386d3d3a550bb983be77e3d82c8c52eabed53a35e670da7b286cd7f8553a5c25</t>
  </si>
  <si>
    <t>104630</t>
  </si>
  <si>
    <t>06-01-2026 07:07:09</t>
  </si>
  <si>
    <t>94199b1deb41ac67f09fc244a0d5cff33bd57526447092b061a65f2ef454b083e7cd952ea326fb3a647088bf884322ab</t>
  </si>
  <si>
    <t>104631</t>
  </si>
  <si>
    <t>06-01-2026 07:07:13</t>
  </si>
  <si>
    <t>800149384</t>
  </si>
  <si>
    <t>Clinica Colsanitas SA</t>
  </si>
  <si>
    <t>123fb4dc2236a0301dfe2afab6c2a7ecf9bc7e4e235e3fd48c36092bfb54710a1f1349d4e619f5ec160dc0a6e085b494</t>
  </si>
  <si>
    <t>104632</t>
  </si>
  <si>
    <t>06-01-2026 07:07:17</t>
  </si>
  <si>
    <t>PAGA EN SISTEMA 03/03/2026</t>
  </si>
  <si>
    <t>08ef3ff49ec6b065c3c6257354597af1d5c4ce3c66fba50d180291e92ad68a276716488a50f2cbe079cbc1ca50810690</t>
  </si>
  <si>
    <t>104633</t>
  </si>
  <si>
    <t>06-01-2026 07:07:23</t>
  </si>
  <si>
    <t>f5bde27d37557c9c090b30582c8ecc936ec72c611addfb3b62d676875af59214852e26918d8ed6cd321a37df485edb04</t>
  </si>
  <si>
    <t>104634</t>
  </si>
  <si>
    <t>06-01-2026 07:07:27</t>
  </si>
  <si>
    <t>f00d2280f33fedf81a2037625549256568358830a6b08bcaaa9c34b2ca94aa821525bccb1aa9f97353a248c595bf87a4</t>
  </si>
  <si>
    <t>104635</t>
  </si>
  <si>
    <t>06-01-2026 07:07:31</t>
  </si>
  <si>
    <t>cb8840377dfb85915c7f912b8590e2a38bccb027232de1b397507a138031dc6b9aa3704d36144a09d379368806aa9ab3</t>
  </si>
  <si>
    <t>104636</t>
  </si>
  <si>
    <t>06-01-2026 07:07:36</t>
  </si>
  <si>
    <t>a91b5f70e0de3354a0dfe3a44b5c5fe4b2e1bc3fd486f558f969a550843c8b9a24f63bc4f97a861d9df1243f19aa0622</t>
  </si>
  <si>
    <t>104637</t>
  </si>
  <si>
    <t>06-01-2026 07:22:47</t>
  </si>
  <si>
    <t>fe89b2af2b8522fccfb038194d6defebe93c0a3d32ee838cda4df2be101b2a71373a4ef1c3d916562dd9707cad8fb7a9</t>
  </si>
  <si>
    <t>104638</t>
  </si>
  <si>
    <t>06-01-2026 07:22:52</t>
  </si>
  <si>
    <t>2ddb946c757d00f326058ae6525a094f9d2594ed7ee93cd2e151da61d46fe32e380304feea502b05452e6b9e1f79220a</t>
  </si>
  <si>
    <t>104639</t>
  </si>
  <si>
    <t>06-01-2026 07:22:57</t>
  </si>
  <si>
    <t>800185773</t>
  </si>
  <si>
    <t>Optica Colsanitas SAS</t>
  </si>
  <si>
    <t>PAGA EN SISTEMA 02/03/2026</t>
  </si>
  <si>
    <t>73f4c12f6bae2fabbd6c3b03947b8ae552cff4e6a5cd1da4e23d3e3d540b61a1fa995defad0d0e481d186d97e2d90a02</t>
  </si>
  <si>
    <t>104640</t>
  </si>
  <si>
    <t>06-01-2026 07:23:01</t>
  </si>
  <si>
    <t>860078828</t>
  </si>
  <si>
    <t>Compañia De Medicina Prepagada Colsanitas SA</t>
  </si>
  <si>
    <t>bd84cc834d8531837bb4c601a6b65bf624b904af73e32fb52d6e6fc98a178af80b1ecff368e0eb6b8254583a20096f52</t>
  </si>
  <si>
    <t>104641</t>
  </si>
  <si>
    <t>06-01-2026 07:23:06</t>
  </si>
  <si>
    <t>901493815</t>
  </si>
  <si>
    <t>Versania Psicosocial Ita SAS</t>
  </si>
  <si>
    <t>9165aa2948dc7f7685e0aec43193bada13fe383418f4bedcca9cdeaaf01a20171d6220ccdec430142e6ccc3ac45fd7e4</t>
  </si>
  <si>
    <t>104642</t>
  </si>
  <si>
    <t>06-01-2026 07:23:11</t>
  </si>
  <si>
    <t>901485933</t>
  </si>
  <si>
    <t>Versania Primera Infancia SAS</t>
  </si>
  <si>
    <t>03f28dafd3dbed1b2c0b824fe85cfa30c5f788139cd3ec4f4fa4eb6048a6de6216046f36ed8e780bbb7cd906edf493f7</t>
  </si>
  <si>
    <t>104643</t>
  </si>
  <si>
    <t>06-01-2026 07:23:16</t>
  </si>
  <si>
    <t>830015429</t>
  </si>
  <si>
    <t>Salud Ocupacional Sanitas SAS</t>
  </si>
  <si>
    <t>PAGA EN SISTEMA 24/02/2026</t>
  </si>
  <si>
    <t>1f3c07dd53894bdc21299c529550e2f92aefb200e42877b0ea72546c46c3e02e721232007923318e4426822ea636a215</t>
  </si>
  <si>
    <t>104644</t>
  </si>
  <si>
    <t>06-01-2026 07:23:20</t>
  </si>
  <si>
    <t>900022253</t>
  </si>
  <si>
    <t>Oftalmosanitas Cali SAS</t>
  </si>
  <si>
    <t>92303dca04433da38ff8161e03dfa04240cac2808e3a08b77b5d1d6d744c544f12ea9f5b371296395185c3c157c1e5f8</t>
  </si>
  <si>
    <t>104645</t>
  </si>
  <si>
    <t>06-01-2026 07:23:25</t>
  </si>
  <si>
    <t>800251440</t>
  </si>
  <si>
    <t>Entidad Promotora De Salud Sanitas SAS</t>
  </si>
  <si>
    <t>00e5c221b2161c5e5eeb9a8f365ab3daf0a1dd3c76e44aa317c31511ba0d6e7312506b65604ea9f0f6a4b014d9b57fee</t>
  </si>
  <si>
    <t>104646</t>
  </si>
  <si>
    <t>06-01-2026 07:23:29</t>
  </si>
  <si>
    <t>901041691</t>
  </si>
  <si>
    <t>Centros Medicos Colsanitas S A S</t>
  </si>
  <si>
    <t>3f815376c2f36bcfa0e5c61d64819ec50b42e817157f1e0de0aa1840d7556ab3966474252f1a248ed5cd6b1612fd47db</t>
  </si>
  <si>
    <t>104647</t>
  </si>
  <si>
    <t>06-01-2026 07:23:35</t>
  </si>
  <si>
    <t>f49a27d55ffd21f4c84dd47bf754b010cbe78dd20cb9286afc6974937712fe889a53bcaf330457420a089b63cc5822fc</t>
  </si>
  <si>
    <t>104648</t>
  </si>
  <si>
    <t>06-01-2026 07:38:46</t>
  </si>
  <si>
    <t>900123408</t>
  </si>
  <si>
    <t>Compañia De Inversiones Textiles De Moda SAS Texmoda SAS</t>
  </si>
  <si>
    <t>4016019bc78adc60418353a1ae240ba5ffb72d21d88f1ba887516392e14e085aecb142da6bc93b7e5de2573b0ea1424e</t>
  </si>
  <si>
    <t>104649</t>
  </si>
  <si>
    <t>06-01-2026 07:38:51</t>
  </si>
  <si>
    <t>4157c16dba2959dc4e408697df8fac6a315b5ed30cb67ecf2815104dd24d14c8df531883fca20187bbb62ef1430012c9</t>
  </si>
  <si>
    <t>104650</t>
  </si>
  <si>
    <t>06-01-2026 07:38:55</t>
  </si>
  <si>
    <t>860516806</t>
  </si>
  <si>
    <t>Permoda Ltda</t>
  </si>
  <si>
    <t>x</t>
  </si>
  <si>
    <t>378273d8e97e63e12480033faec2a078621c28b36dd2bb847aecda2f7cf1a1a1b5625bb3c317be1337ec9ba3b0c4fd46</t>
  </si>
  <si>
    <t>104651</t>
  </si>
  <si>
    <t>06-01-2026 07:39:00</t>
  </si>
  <si>
    <t>860003020</t>
  </si>
  <si>
    <t>Banco Bilbao Vizcaya Argentaria Colombia SA</t>
  </si>
  <si>
    <t>PAGA EN SISTEMA 13/02/2026</t>
  </si>
  <si>
    <t>3057c8dfcd8529d4a91df5068b9c80f853017f2c469d333866b2bc770bd948cfe65c6a7bfc372c17c4d1ef5c8f15014d</t>
  </si>
  <si>
    <t>104652</t>
  </si>
  <si>
    <t>06-01-2026 07:39:05</t>
  </si>
  <si>
    <t>900532450</t>
  </si>
  <si>
    <t>Atlantic Quantum Innovations S A S</t>
  </si>
  <si>
    <t>FACTURA PAGA EN EL SISTEMA 23/01/2026</t>
  </si>
  <si>
    <t>19d3984f41bc5a189a9d34e1ecbc61f7f7fadf13d53f575749f6c5e9f5594563eeca944c2ec62ffb3c20a6813906a5b6</t>
  </si>
  <si>
    <t>104653</t>
  </si>
  <si>
    <t>06-01-2026 07:39:09</t>
  </si>
  <si>
    <t>822001390</t>
  </si>
  <si>
    <t xml:space="preserve">Junta De Calificacion De Invalidez Regional Meta </t>
  </si>
  <si>
    <t>FACTURA PAGA EN EL SISTEMA 30/12/2024</t>
  </si>
  <si>
    <t>b9d96c5b54cc02559f9d1fc3c10302ce74c98372a3a890151c8d1cfc65bc1b6088d02aad10d5513b1e7139195a6b3511</t>
  </si>
  <si>
    <t>104654</t>
  </si>
  <si>
    <t>06-01-2026 07:39:14</t>
  </si>
  <si>
    <t>901101746</t>
  </si>
  <si>
    <t>Kaizen Group Ingenieria SAS</t>
  </si>
  <si>
    <t>PAGA EN EL SISTEMA 26/02/2026</t>
  </si>
  <si>
    <t>071958b45923371a824df9465b7586eda39a974fe73c7d90cdba8e6174fd9a216d8dfd09a6733ef21421301a4d8c2ba5</t>
  </si>
  <si>
    <t>06-01-2026 07:39:18</t>
  </si>
  <si>
    <t>51116859516037c3ce25a30be695ce1fd358baa3a00ef8799c512ea26f00510d1677f43fb24cf14e101e5889df976a61</t>
  </si>
  <si>
    <t>104656</t>
  </si>
  <si>
    <t>06-01-2026 07:39:23</t>
  </si>
  <si>
    <t>05f7ac8b70e2d5dfdcf27a4e29986bf9f8228af05e2bd1222ce30caa177c5e90c40ff96b240fc9685cc01a051ff86c30</t>
  </si>
  <si>
    <t>06-01-2026 07:39:27</t>
  </si>
  <si>
    <t>901754581</t>
  </si>
  <si>
    <t>Aquamech System SAS</t>
  </si>
  <si>
    <t>PAGA EN SISTEMA 16/02/2026</t>
  </si>
  <si>
    <t>a8cc0e2a68c234a12a18aae4b223bce3c85a35e96fba8908074d3e3f5cf88e52c8e27b95f402465ba2b9d6a66a90cf69</t>
  </si>
  <si>
    <t>104658</t>
  </si>
  <si>
    <t>06-01-2026 07:39:31</t>
  </si>
  <si>
    <t>900050036</t>
  </si>
  <si>
    <t>Cushman &amp; WaKefield Colombia SAS</t>
  </si>
  <si>
    <t>FACTURA PAGA EN EL SISTEMA 16/02/2026</t>
  </si>
  <si>
    <t>8a71632241857ddb5b63f15d5ee3d3c058767a2c5b98f06ac9dcebed003a5df5194de3f7dacb331d51a10828fb339e75</t>
  </si>
  <si>
    <t>104659</t>
  </si>
  <si>
    <t>06-01-2026 07:54:42</t>
  </si>
  <si>
    <t>830130106</t>
  </si>
  <si>
    <t>Soenergy International Colombia SAS</t>
  </si>
  <si>
    <t>d4b92554cb0cd44b7185116623f877afb750e50a735442c223e72cceb9bc9d07df4a9f4754b506d89c6b925057f43a29</t>
  </si>
  <si>
    <t>104660</t>
  </si>
  <si>
    <t>06-01-2026 07:54:47</t>
  </si>
  <si>
    <t>860013570</t>
  </si>
  <si>
    <t>Caja De Compensacion Familiar Cafam</t>
  </si>
  <si>
    <t>a0639ee0e2ef5169a0b7c14a905d3b02db4e957f0fc37342aca9205924b1aa868cc1c8d5a46eb7f990d570d8c105cc5e</t>
  </si>
  <si>
    <t>104661</t>
  </si>
  <si>
    <t>06-01-2026 07:54:52</t>
  </si>
  <si>
    <t>901371316</t>
  </si>
  <si>
    <t>Onboard Logistics Colombia SAS</t>
  </si>
  <si>
    <t>NC</t>
  </si>
  <si>
    <t>870b65a03c04d36c77ed4ce2424462d335e3eb6e256efe9d38650bb5c86c13de50f66d6a8a7fc27eaab42da93a7f78db</t>
  </si>
  <si>
    <t>104662</t>
  </si>
  <si>
    <t>06-01-2026 07:54:56</t>
  </si>
  <si>
    <t>81937cb671203a679c681e644baef4c492369fe0b97334b7c96baba9454073b7cb98ee6eb1b93b6b50dbf0ca60335baf</t>
  </si>
  <si>
    <t>104663</t>
  </si>
  <si>
    <t>06-01-2026 07:55:01</t>
  </si>
  <si>
    <t>800198693</t>
  </si>
  <si>
    <t>Señales Ltda</t>
  </si>
  <si>
    <t>PAGA EN SISTEMA 27/02/2026</t>
  </si>
  <si>
    <t>3c44b7c31ea269d2b0fd7e3b3f69f995b938991c45cb12d3c1845cc4f55f61322d441a3821ac88da53c573881fbb1360</t>
  </si>
  <si>
    <t>104664</t>
  </si>
  <si>
    <t>06-01-2026 07:55:06</t>
  </si>
  <si>
    <t>800207192</t>
  </si>
  <si>
    <t xml:space="preserve">Syntofarma S A </t>
  </si>
  <si>
    <t>3b5e8a135795d5862148cd9b4a5d43e0762da45a37af733e761d4ea00c7a6039f0dc77c680ffd8556edd566be8b653e2</t>
  </si>
  <si>
    <t>104665</t>
  </si>
  <si>
    <t>06-01-2026 07:55:10</t>
  </si>
  <si>
    <t>901248246</t>
  </si>
  <si>
    <t>Excellence Logging Latin America Limited, Sucursal Colombiana</t>
  </si>
  <si>
    <t>PAGA EN SISTEMA 23/02/2026</t>
  </si>
  <si>
    <t>4e4f58884cb3abb46c264ba1892827e0f49962283f8af6258b7303219570f2854d786d6f1afaeba6b868d0f3f3511be6</t>
  </si>
  <si>
    <t>104666</t>
  </si>
  <si>
    <t>06-01-2026 07:55:14</t>
  </si>
  <si>
    <t>7c250a53b02f3c7d447b638139230593864e4528d5706f1481c24593e29ec516dcf3e6cc62aa59b2a325e005b8bac587</t>
  </si>
  <si>
    <t>104667</t>
  </si>
  <si>
    <t>06-01-2026 07:55:19</t>
  </si>
  <si>
    <t>900943048</t>
  </si>
  <si>
    <t>Pwc Contadores Y Auditores SAS</t>
  </si>
  <si>
    <t>606e9372d749ca685a60d1b33eddf38416704bb47bd3fd5b2e593986f6ff36c27aeb5f5ea1cbf59eae1316008cf4b7c5</t>
  </si>
  <si>
    <t>104668</t>
  </si>
  <si>
    <t>06-01-2026 07:55:23</t>
  </si>
  <si>
    <t>b648f5e6903e9f049d9ebc705d584e123e6dda80dc5ad5b82d36339fbfaab019442fafd42493df43c930a1a6b637c987</t>
  </si>
  <si>
    <t>104669</t>
  </si>
  <si>
    <t>06-01-2026 07:55:28</t>
  </si>
  <si>
    <t>e99d14aeeda89138215fe49a7e166c4675738dcc70612f865ce7f6157f324e7e9c122f06a2197dfff65cff04b5edc980</t>
  </si>
  <si>
    <t>104670</t>
  </si>
  <si>
    <t>06-01-2026 08:10:49</t>
  </si>
  <si>
    <t>045db8fc27d5652af58842caba0db536d7389773810a07ef4dd4c0b88615a17ac11f1433cbf45e0f3b5efa01acd31df6</t>
  </si>
  <si>
    <t>104671</t>
  </si>
  <si>
    <t>06-01-2026 08:10:53</t>
  </si>
  <si>
    <t>9aa24df2ea1aee81b4cd4d9b5a21a4f971b29962882f6ae8c47f3541b1c758bb998774b1204cb686f9184a3e0a2f70db</t>
  </si>
  <si>
    <t>104672</t>
  </si>
  <si>
    <t>06-01-2026 08:10:58</t>
  </si>
  <si>
    <t>800028326</t>
  </si>
  <si>
    <t>Novasoft S A S</t>
  </si>
  <si>
    <t>PAGA EN SISTEMA 29/01/2026</t>
  </si>
  <si>
    <t>b972a9f9dd408814142f955308e904914ead5fd511dd082a1442f3b63f0d7bddd50f84dbcc428dbea39a8f4eb3a11176</t>
  </si>
  <si>
    <t>104673</t>
  </si>
  <si>
    <t>06-01-2026 08:11:03</t>
  </si>
  <si>
    <t>900179369</t>
  </si>
  <si>
    <t>Confipetrol SAS</t>
  </si>
  <si>
    <t>0169c3cdd0e93d0ee9b4b08bcf6e75b85062158894ce3a73134bddb1f2e209d7d5d4202b6be50bfe292cd7204d4be397</t>
  </si>
  <si>
    <t>104674</t>
  </si>
  <si>
    <t>06-01-2026 08:11:07</t>
  </si>
  <si>
    <t>2a4168ee60ea5189d119245a094bfaeda41dce127680d162c080ae7d1feed7f20492e7c9420e25852aea6a95096afaf9</t>
  </si>
  <si>
    <t>104675</t>
  </si>
  <si>
    <t>06-01-2026 08:11:12</t>
  </si>
  <si>
    <t>805017818</t>
  </si>
  <si>
    <t>Grivan Ingenieria SA</t>
  </si>
  <si>
    <t>FACTURA PAGA EN EL SISTEMA 11/02/2026</t>
  </si>
  <si>
    <t>7deb8cfbbd1bb84d56ef76e6a513f36d231e18e75c032c852962d7ec7c24b41d158534d159edc9bd4c1b6986f7fb383a</t>
  </si>
  <si>
    <t>104676</t>
  </si>
  <si>
    <t>06-01-2026 08:11:17</t>
  </si>
  <si>
    <t>14e0d76e3752aa84939486d93bca895e158cc02b9c382d6f4439299eabb79b33b20bc8049e1e86b3c5482ee9cc812b00</t>
  </si>
  <si>
    <t>104677</t>
  </si>
  <si>
    <t>06-01-2026 08:11:21</t>
  </si>
  <si>
    <t>860005813</t>
  </si>
  <si>
    <t>Deloitte &amp; Touche SAS</t>
  </si>
  <si>
    <t>46a4800ac0bc40df9dce19e7b4bb288fbe07102adc21acf6c7d86d35f57f0dcb3cc338f1578d83b82401924945e5dedd</t>
  </si>
  <si>
    <t>104678</t>
  </si>
  <si>
    <t>06-01-2026 08:28:14</t>
  </si>
  <si>
    <t>131479e3fa2acf2203cbe86a1454f70c5641619a88cc4632eb698d86141bd04b82a9c8c38994a70d2c050d514174d86c</t>
  </si>
  <si>
    <t>104679</t>
  </si>
  <si>
    <t>06-01-2026 08:28:10</t>
  </si>
  <si>
    <t>800013879</t>
  </si>
  <si>
    <t>Ecomarket SAS</t>
  </si>
  <si>
    <t>FACTURA PAGA EN EL SISTEMA 09/02/2026</t>
  </si>
  <si>
    <t>80a738b006bb9d7a940eaaad8d653aff2f07305be621e15ce00fa7b04ea19f82edc5aa97cdde1a291086ebe23ffa642e</t>
  </si>
  <si>
    <t>104680</t>
  </si>
  <si>
    <t>06-01-2026 08:28:11</t>
  </si>
  <si>
    <t>800019102</t>
  </si>
  <si>
    <t>Interasesores Asesores Empresariales Administrativos SA</t>
  </si>
  <si>
    <t>PAGA EN SISTEMA 9/02/2026</t>
  </si>
  <si>
    <t>3e01f3f6fe2598b885dfdcf9b2b6ca46034d3b8734860c290d1d525259cbffb042ed0db81ef3ce65da2c793bd12f68de</t>
  </si>
  <si>
    <t>104681</t>
  </si>
  <si>
    <t>06-01-2026 08:28:15</t>
  </si>
  <si>
    <t>860513970</t>
  </si>
  <si>
    <t>Comercializadora Internacional Milpa SA</t>
  </si>
  <si>
    <t>PAGA EN SISTEMA 30/01/2026</t>
  </si>
  <si>
    <t>920ab4a8931633dbd77bb5d1c736ee1296ed219d443f811f0362661c42260cbcca6d1d4b37f87d50e7b21b537972e44d</t>
  </si>
  <si>
    <t>104682</t>
  </si>
  <si>
    <t>06-01-2026 08:28:12</t>
  </si>
  <si>
    <t>890300918</t>
  </si>
  <si>
    <t>Sager SAS</t>
  </si>
  <si>
    <t>dfdf2235ece6e36bbe3014654bc6d337d57a64038d2207e7c5d7105cc6ab28c35b7209f9f67ffc3c259e7bbc79bbe884</t>
  </si>
  <si>
    <t>104684</t>
  </si>
  <si>
    <t>06-01-2026 08:43:15</t>
  </si>
  <si>
    <t>830507705</t>
  </si>
  <si>
    <t>Reliability Maintenance Services SAS</t>
  </si>
  <si>
    <t>FACTURA PAGA EN EL SISTEMA 18/02/2026</t>
  </si>
  <si>
    <t>8193b91a67dd0941060a57b76a5b3448a37d70180fa67917042d5cf6a0b54be4cb600460ce73746db8eccc4bafeeefcf</t>
  </si>
  <si>
    <t>104685</t>
  </si>
  <si>
    <t>06-01-2026 08:43:28</t>
  </si>
  <si>
    <t>800256769</t>
  </si>
  <si>
    <t>Patrimonios Autonomos Aval Fiduciaria SA</t>
  </si>
  <si>
    <t>0d9d73f8607fec097bf05074a00a6442b5fb489431af3f9c5787feebc1e7b2b4528cdf4183830db516947e61c80d1c13</t>
  </si>
  <si>
    <t>104686</t>
  </si>
  <si>
    <t>06-01-2026 08:43:11</t>
  </si>
  <si>
    <t>a5f000fb0c7170fc581b9beedd92c13a3e87ebb5033fe6ff5755d5271a9dc3b8f178260aefe87bac6e302936701e41c0</t>
  </si>
  <si>
    <t>104687</t>
  </si>
  <si>
    <t>06-01-2026 08:59:07</t>
  </si>
  <si>
    <t>4c88d442d6b4e06800288e027be80dd15e67aca3168f48f7194defe2a9f1ad80cce79d25cd8d634412b1cdcf283b10c6</t>
  </si>
  <si>
    <t>104683</t>
  </si>
  <si>
    <t>06-01-2026 08:59:09</t>
  </si>
  <si>
    <t>900078730</t>
  </si>
  <si>
    <t>Transchiquinquira SA</t>
  </si>
  <si>
    <t>3ffd68fe3db41121e60d48a7266e0804472f5d2694c76a875b0e1d106faed5299c9e64ddd4f9fcf995aebbbd0933ee85</t>
  </si>
  <si>
    <t>104689</t>
  </si>
  <si>
    <t>06-01-2026 08:59:12</t>
  </si>
  <si>
    <t>900477127</t>
  </si>
  <si>
    <t>Business And Quality Services SAS</t>
  </si>
  <si>
    <t>743db5dd921803dbf5b9ea44689b1d98cf9037da05a0bc54654bdf7b9d2b3135a3255b105b16b8f7a13b014ade009d54</t>
  </si>
  <si>
    <t>104690</t>
  </si>
  <si>
    <t>06-01-2026 09:00:05</t>
  </si>
  <si>
    <t>900750483</t>
  </si>
  <si>
    <t>Selecta Compañia De Cereales SAS</t>
  </si>
  <si>
    <t>PAGA EN SISTEMA 11/02/2026</t>
  </si>
  <si>
    <t>5e7c663ebbf958b21af8337beaa15ac3ea8be7e53a20d10f6d1811cb2ec2d50d235b8b8b560a351b30ff6ba2a6e2d926</t>
  </si>
  <si>
    <t>104691</t>
  </si>
  <si>
    <t>06-01-2026 09:34:41</t>
  </si>
  <si>
    <t>830072107</t>
  </si>
  <si>
    <t>Edificio Reserva De La Alameda</t>
  </si>
  <si>
    <t>FACTURA PAGA EN EL SISTEMA 02/02/2026</t>
  </si>
  <si>
    <t>ae0d79e45ee97ff93fc5a313e736643a98fc2a8c73a560d463001d64e01967566ff3e0117902d97d0d5bd46efc861e58</t>
  </si>
  <si>
    <t>104692</t>
  </si>
  <si>
    <t>06-01-2026 09:34:39</t>
  </si>
  <si>
    <t>23793cde41314d491fd36f75e99c02c70805726b3027504822a71339d5eaa96babb051c034bc4eefd09c01225ec3e231</t>
  </si>
  <si>
    <t>104693</t>
  </si>
  <si>
    <t>06-01-2026 09:34:52</t>
  </si>
  <si>
    <t>901006430</t>
  </si>
  <si>
    <t>Datalaft SAS</t>
  </si>
  <si>
    <t>f3f0cc38c1efa6f39f27f678cabfa48597029e4a9f0d78156330452ab528ab449ff9917d5eb4e7f949aaac4e08c36ed0</t>
  </si>
  <si>
    <t>104694</t>
  </si>
  <si>
    <t>06-01-2026 09:34:53</t>
  </si>
  <si>
    <t>830110141</t>
  </si>
  <si>
    <t>Risk Consulting Colombia SAS</t>
  </si>
  <si>
    <t>bbe3b1261ce048f3998bbe8c829ad27a0ec8b5f0576266c56f6b3ada4e9aa306f143e28944ee3f69a344e2d4ca9db72f</t>
  </si>
  <si>
    <t>104695</t>
  </si>
  <si>
    <t>06-01-2026 09:48:00</t>
  </si>
  <si>
    <t>860040407</t>
  </si>
  <si>
    <t>Plazoleta Bazzani SAS</t>
  </si>
  <si>
    <t>FACTURA PAGA EN EL SISTEMA 13/02/2026</t>
  </si>
  <si>
    <t>82ceaa408b8b1cf56dcd8331fdf91b7ec4a5b85b9d6f28478b86949aebbd741e5d9ecf4c33e6a5fcead94a07e055d2ec</t>
  </si>
  <si>
    <t>104696</t>
  </si>
  <si>
    <t>06-01-2026 09:48:33</t>
  </si>
  <si>
    <t>901281572</t>
  </si>
  <si>
    <t>Bold Co SAS</t>
  </si>
  <si>
    <t>9780860da5c27148eac8d0be3d070c3680f7b7a02b8f94010829963a260733a71c6a7bd1bd3dbbac7fa452cd6319a1a0</t>
  </si>
  <si>
    <t>104697</t>
  </si>
  <si>
    <t>06-01-2026 09:48:31</t>
  </si>
  <si>
    <t>801cc567e9f821b061f5194774c7b264b863ab5c900126d27e66f5776b12ce264b3b14aabf7c71a8356897367b9f1df8</t>
  </si>
  <si>
    <t>104698</t>
  </si>
  <si>
    <t>06-01-2026 09:48:37</t>
  </si>
  <si>
    <t>830015970</t>
  </si>
  <si>
    <t>Campo Alto Acesalud SAS</t>
  </si>
  <si>
    <t>e4dddcb3776b44a54e05b5ffa5ce4dae5c6321be743153e21797d791d87718f8288553eb9f7f6055f8f01ecf41673dae</t>
  </si>
  <si>
    <t>104699</t>
  </si>
  <si>
    <t>06-01-2026 09:48:38</t>
  </si>
  <si>
    <t>900006563</t>
  </si>
  <si>
    <t>Latinoamericana Suministros Y Carga SAS</t>
  </si>
  <si>
    <t>20987e4a4a8b2de6feb61f22b9f3a84451b5b1acc3b18da035823b6682929d706dd47bd60eef33251e24c538f7619249</t>
  </si>
  <si>
    <t>104700</t>
  </si>
  <si>
    <t>06-01-2026 10:14:01</t>
  </si>
  <si>
    <t>900677304</t>
  </si>
  <si>
    <t>Fundacion National Center For State Courts-Ncsc Colombia</t>
  </si>
  <si>
    <t>FACTURA PAGA EN EL SISTEMA 6/01/2026</t>
  </si>
  <si>
    <t>b23d2df7b28bed6bfcab32640a76597ced9248e2ca042f993bd93f3364738e8001f7ba3b124a8eb73706fb58241598a8</t>
  </si>
  <si>
    <t>104701</t>
  </si>
  <si>
    <t>06-01-2026 10:44:17</t>
  </si>
  <si>
    <t>830084232</t>
  </si>
  <si>
    <t>Fundacion Panamericana Para El Desarrollo Colombia Fupad Col</t>
  </si>
  <si>
    <t>FACTURA PAGA EN EL SISTEMA 16/01/2026</t>
  </si>
  <si>
    <t>6bc317532db727c4edc5839f6e23a35c2885210d4c5314fff9f416c24407f61e13bd773766ebb66e979cbd1c4638b67d</t>
  </si>
  <si>
    <t>104702</t>
  </si>
  <si>
    <t>06-01-2026 10:44:22</t>
  </si>
  <si>
    <t>860536003</t>
  </si>
  <si>
    <t>Agencia De Aduanas Abc Repecev SAS Nivel 1</t>
  </si>
  <si>
    <t>FACTURA PAGA EN EL SISTEMA 4/02/2026</t>
  </si>
  <si>
    <t>fa9771a53f840a5f75be65d6d46c059b68b4901e8f3facfa06a3649a9025547e9a2a01836cd2fa8b4ce99b0a4231b33a</t>
  </si>
  <si>
    <t>104703</t>
  </si>
  <si>
    <t>06-01-2026 10:44:26</t>
  </si>
  <si>
    <t>900356278</t>
  </si>
  <si>
    <t>Digital Copy Soluciones Digitales SAS</t>
  </si>
  <si>
    <t>PAGA EN SISTEMA 03/02/2026</t>
  </si>
  <si>
    <t>62e45e8b9f9b95f3ae737b82c61eb7af5b6f57d2e8e0e6b7c27623e48d40533beee2f444e2b0f33362645dc9a08d48b5</t>
  </si>
  <si>
    <t>104704</t>
  </si>
  <si>
    <t>06-01-2026 10:44:31</t>
  </si>
  <si>
    <t>860010371</t>
  </si>
  <si>
    <t>Corporacion Organizacion El Minuto De Dios-OMD-</t>
  </si>
  <si>
    <t>PAGA EN SISTEMA 12/02/2026</t>
  </si>
  <si>
    <t>70efe99efe7c0f690b82c0748ccd2029f6b0e48ab8e33e73301e1259c9e543078305a2a4f06d035726035ddcca7ef3b9</t>
  </si>
  <si>
    <t>104705</t>
  </si>
  <si>
    <t>06-01-2026 10:44:36</t>
  </si>
  <si>
    <t>830075451</t>
  </si>
  <si>
    <t>Pinturas Tito Pabon SAS</t>
  </si>
  <si>
    <t>506453d8f92f56bbd1d43e9cc57ed15bf4114e476e42dadfaad79e2066b4aa088ccf9863607ecae60593fb7996224e63</t>
  </si>
  <si>
    <t>104706</t>
  </si>
  <si>
    <t>06-01-2026 10:44:40</t>
  </si>
  <si>
    <t>900134674</t>
  </si>
  <si>
    <t>Soluciones Verticales SAS</t>
  </si>
  <si>
    <t>7591fedfec0d7b61df72f007789c57b9079f2bbd043eabe03a72b9bfeef8c1fa8512d575c486f0c01178352ba52503f2</t>
  </si>
  <si>
    <t>104707</t>
  </si>
  <si>
    <t>06-01-2026 10:44:45</t>
  </si>
  <si>
    <t>830061776</t>
  </si>
  <si>
    <t>Vehitotal SAS</t>
  </si>
  <si>
    <t>FACTURA PAGA EN EL SISTEMA 9/01/2026</t>
  </si>
  <si>
    <t>aa9f175c218b0746c27c253b88131993ab1a4dd18a3599c02850113981af11131b066d9c8f46568ae8eedcb0a53febf1</t>
  </si>
  <si>
    <t>104708</t>
  </si>
  <si>
    <t>06-01-2026 10:59:59</t>
  </si>
  <si>
    <t>901380344</t>
  </si>
  <si>
    <t>Buk Col SAS</t>
  </si>
  <si>
    <t>FACTURA PAGA EN EL SISTEMA 30/01/2026</t>
  </si>
  <si>
    <t>7a43e78f787228ec227838d391cd41abed415c9a7fbab0e87c55512186275741561e8cbe96556c7b0a08714369b54062</t>
  </si>
  <si>
    <t>06-01-2026 11:00:05</t>
  </si>
  <si>
    <t>08b5d4893af47b82fa9a1769192e87f0f4a2d703ff1bc96c940dd3b1abd0dccdbf32a738132763057349e07371a6f12a</t>
  </si>
  <si>
    <t>104710</t>
  </si>
  <si>
    <t>06-01-2026 11:00:08</t>
  </si>
  <si>
    <t>900463851</t>
  </si>
  <si>
    <t>Duty Free Americas San Andres SAS</t>
  </si>
  <si>
    <t>FACTURA PAGA EN EL SISTEMA 12/02/2026</t>
  </si>
  <si>
    <t>9ed6407c3e864627377b4c233750dacc32f9e06412c9f3bf7ce601aac839824796f05c7474ae4190b6eec0314b03ae70</t>
  </si>
  <si>
    <t>104711</t>
  </si>
  <si>
    <t>06-01-2026 11:00:13</t>
  </si>
  <si>
    <t>901179692</t>
  </si>
  <si>
    <t>FCL Impart SAS</t>
  </si>
  <si>
    <t>FACTURA PAGA EN EL SISTEMA 13/01/2026</t>
  </si>
  <si>
    <t>b1d4dcf96b0d3975e5ca887c771cb167155f34ef6d0ba55e11174d744057a38f75e88d37245748ff96467d2c56de1555</t>
  </si>
  <si>
    <t>104712</t>
  </si>
  <si>
    <t>06-01-2026 11:00:17</t>
  </si>
  <si>
    <t>900482537</t>
  </si>
  <si>
    <t>Karcher SAS</t>
  </si>
  <si>
    <t>FACTURA PAGA EN EL SISTEMA 19/01/2026</t>
  </si>
  <si>
    <t>6aaee11bc88967f67c31c705a4da660aa997a97ea806051ed86de20745b217996604621060dd10f9c0aad74391057441</t>
  </si>
  <si>
    <t>104713</t>
  </si>
  <si>
    <t>06-01-2026 11:00:22</t>
  </si>
  <si>
    <t>900797309</t>
  </si>
  <si>
    <t>Knauf Distribuidora SAS</t>
  </si>
  <si>
    <t>7b30a72d41ac3712d8897698936fc1aa2ddc5f0886267cfde33baa8a90fb2d4794005899bdc4d1ce3bb5d12521eaa9db</t>
  </si>
  <si>
    <t>104714</t>
  </si>
  <si>
    <t>06-01-2026 11:00:26</t>
  </si>
  <si>
    <t>890401802</t>
  </si>
  <si>
    <t>Prosegur Vigilancia Y Seguridad Privada LTDA</t>
  </si>
  <si>
    <t>09deb9788a563ea83ea5999a1f4efb662fb90df178cc27d183049cce483aec4ca8910fa06ef360ac91630a5ca6bd477a</t>
  </si>
  <si>
    <t>104715</t>
  </si>
  <si>
    <t>06-01-2026 11:00:30</t>
  </si>
  <si>
    <t>56e00bf63c4ce1c0ab8b63d77dffd3ab10483721074054c35aa3ed2dbd3633e459eef19a04ebb2c4bc31b47f6545da11</t>
  </si>
  <si>
    <t>104716</t>
  </si>
  <si>
    <t>06-01-2026 11:15:41</t>
  </si>
  <si>
    <t>712c632604d7af87b825457d822bddcef4c2c21c25b56c01961604318a865a7d09ac4c81609d8d76eb3bec7f744b1168</t>
  </si>
  <si>
    <t>104717</t>
  </si>
  <si>
    <t>06-01-2026 11:15:46</t>
  </si>
  <si>
    <t>2731abcc2d7aea355ca7e8d5663df21ed8af066b41c4505b07cf94ab8784d123c07cae360926dbd15dd259a6a559ca0b</t>
  </si>
  <si>
    <t>104718</t>
  </si>
  <si>
    <t>06-01-2026 11:16:31</t>
  </si>
  <si>
    <t>800059470</t>
  </si>
  <si>
    <t>Esenttia SA</t>
  </si>
  <si>
    <t>PAGA EN SISTEMA 10/02/2026</t>
  </si>
  <si>
    <t>08ea273ecc06fd8bc36add58d579931228b7e9e12b448370b9e44fd3e4a22c73f66689315082a8d88ea7fa2d6fd6e16d</t>
  </si>
  <si>
    <t>104719</t>
  </si>
  <si>
    <t>06-01-2026 11:16:30</t>
  </si>
  <si>
    <t>900488297</t>
  </si>
  <si>
    <t>Knauf De Colombia SAS</t>
  </si>
  <si>
    <t>ed60fdb578e17330a8238b75a127efa8fb80b2d5555097e68f5c4086fba9887cfd66ffa12e2fe22a5731e0f5cbef6b93</t>
  </si>
  <si>
    <t>104720</t>
  </si>
  <si>
    <t>06-01-2026 11:16:01</t>
  </si>
  <si>
    <t>ac456cd122f4a9093995cbd8f0b128623526af17d764c18a7ce5a17c4a0bcb23ff04b8f0e455f20fd65cc084419c1f4c</t>
  </si>
  <si>
    <t>104721</t>
  </si>
  <si>
    <t>06-01-2026 11:16:05</t>
  </si>
  <si>
    <t>f1d256425f4cc277ef784933537d1fe2f9159571d5c3879f5b5db4bc1fd6d1c97761f53717f7a455b4ec2259ae059a0e</t>
  </si>
  <si>
    <t>104722</t>
  </si>
  <si>
    <t>06-01-2026 11:16:09</t>
  </si>
  <si>
    <t>860066942</t>
  </si>
  <si>
    <t>Caja De Compensacion Familiar Compensar</t>
  </si>
  <si>
    <t>PAGA EN SISTEMA 05/02/2026</t>
  </si>
  <si>
    <t>4dbe0ff562d6c4d067f3ba9c499bd8752ae36379b2746396826f2ba5bea33a4680e53fcb05b16b5e08bb2c7ffe3e9eb6</t>
  </si>
  <si>
    <t>104723</t>
  </si>
  <si>
    <t>06-01-2026 11:16:14</t>
  </si>
  <si>
    <t>900103457</t>
  </si>
  <si>
    <t>Tcs Solution Center Sucursal Colombia</t>
  </si>
  <si>
    <t>1b87419fc9f447d97e70f7dbbff8c5fee167ca1d39086ed78c1a51b521bd98da78be7ce29ef536bc95c7aa7d83295f9a</t>
  </si>
  <si>
    <t>104724</t>
  </si>
  <si>
    <t>06-01-2026 11:16:19</t>
  </si>
  <si>
    <t>900180801</t>
  </si>
  <si>
    <t>Belltech Colombia SA</t>
  </si>
  <si>
    <t>f386f321031d6f0d81551734f7efa59556a7d19529720740446b8bfebd32acb74bea48d47dee7fb0d13844dccf3d9396</t>
  </si>
  <si>
    <t>104725</t>
  </si>
  <si>
    <t>b41f61b744cf397728631a3b024ccc07b370ba413d463d44815e84085afab9ca2609e0bf9365796a12a8b33888845cc1</t>
  </si>
  <si>
    <t>104726</t>
  </si>
  <si>
    <t>06-01-2026 11:16:28</t>
  </si>
  <si>
    <t>b620ff25c0f4b2f851e25a4e4bf6bc721793a11410c678d2b17a05bd6a4413b065367b47f5a652d29dd4b29c67fa499b</t>
  </si>
  <si>
    <t>104727</t>
  </si>
  <si>
    <t>06-01-2026 11:16:33</t>
  </si>
  <si>
    <t>fedc4ea1d38210195e65485bc9b9478970ba31b92e232e78f68eab592f8e98838535487219fc29acda04e6b9a81ccef0</t>
  </si>
  <si>
    <t>06-01-2026 11:16:38</t>
  </si>
  <si>
    <t>860049275</t>
  </si>
  <si>
    <t>Federacion De Aseguradores Colombianos FASECOLDA</t>
  </si>
  <si>
    <t>FACTURA PAGA EN EL SISTEMA 6/02/2026</t>
  </si>
  <si>
    <t>21d02c7b4445f7050c4f1b9cbc9aedaa74e6b0851cd7312a0266952caddd77c3cba2b8d95ea8c9f57bf9bbcfc9bd32b6</t>
  </si>
  <si>
    <t>104729</t>
  </si>
  <si>
    <t>06-01-2026 11:31:48</t>
  </si>
  <si>
    <t>901230120</t>
  </si>
  <si>
    <t>Bogota Movil Operacion Sur SAS</t>
  </si>
  <si>
    <t>PAGA EN SISTEMA 09/02/2026</t>
  </si>
  <si>
    <t>5d4db172738288df6d298bcbac23591cededab784d25ce55305d33f7ee0cfad04b7621f9bf8b7f072870210261664f6c</t>
  </si>
  <si>
    <t>104730</t>
  </si>
  <si>
    <t>06-01-2026 11:31:52</t>
  </si>
  <si>
    <t>830050619</t>
  </si>
  <si>
    <t>City Parking SAS</t>
  </si>
  <si>
    <t>563e046b9634752cf789cd8a94ac753d7db425e9f7b3854db73c870693a482405bbdd4520875d12e558ad11935be32a4</t>
  </si>
  <si>
    <t>104731</t>
  </si>
  <si>
    <t>06-01-2026 11:31:56</t>
  </si>
  <si>
    <t>860053831</t>
  </si>
  <si>
    <t>Comercial Allan SAS</t>
  </si>
  <si>
    <t>PAGA EN SISTEMA 02/02/2026</t>
  </si>
  <si>
    <t>65dacaec519db8713198c11fc1b8c87cdf5a0b6ee87cf357b4c6df4f62f6e6115021bc4c35d693ae01aafd1c25a31531</t>
  </si>
  <si>
    <t>104732</t>
  </si>
  <si>
    <t>06-01-2026 11:47:07</t>
  </si>
  <si>
    <t>900383203</t>
  </si>
  <si>
    <t>Centro De Gerenciamiento De Residuos Doña Juana SA ESP</t>
  </si>
  <si>
    <t>38b95e1642f6ba666cdb13b5bb142cd3af94a62d17dc0dc180a08fe1696d596dbb3391d827ca66d3e7bb0bbfbee35074</t>
  </si>
  <si>
    <t>104733</t>
  </si>
  <si>
    <t>06-01-2026 12:02:19</t>
  </si>
  <si>
    <t>860522056</t>
  </si>
  <si>
    <t>Lamitech SAS</t>
  </si>
  <si>
    <t>fd2d6e5309b5bbda34c13ae168f14dd3728fd179925753bf10e69dc58ebb564b0f5f3d0216b0d984493ab27dd625d48a</t>
  </si>
  <si>
    <t>06-01-2026 12:32:36</t>
  </si>
  <si>
    <t>800156354</t>
  </si>
  <si>
    <t>National Oilwell Varco De Colombia</t>
  </si>
  <si>
    <t>ba982c91753ce5a03dfb0b3145f57d549e91d069dd081d918d88be84d6af42e45a0ce2aa23d39b6cd5e7e3eb60e04883</t>
  </si>
  <si>
    <t>104735</t>
  </si>
  <si>
    <t>06-01-2026 12:32:41</t>
  </si>
  <si>
    <t>900899110</t>
  </si>
  <si>
    <t>Incomineria SAS</t>
  </si>
  <si>
    <t>3091f852b0b8dd3e5c205a26fd4e509b45e8c3ef1dce9a6444d2eae60dceecf55cf4d64e8603ecb839487eaba0fbfb39</t>
  </si>
  <si>
    <t>104736</t>
  </si>
  <si>
    <t>06-01-2026 12:32:45</t>
  </si>
  <si>
    <t>e6bb738addcaf5fb0ed8a99318bb36c966ae51c5120c98d4e654c383d44962c73326b808d60685e7d1f60523350be530</t>
  </si>
  <si>
    <t>104737</t>
  </si>
  <si>
    <t>06-01-2026 12:47:56</t>
  </si>
  <si>
    <t>900502435</t>
  </si>
  <si>
    <t>Holland &amp; Knight Colombia SAS</t>
  </si>
  <si>
    <t>PAGA EN SISTEMA 28/01/2026</t>
  </si>
  <si>
    <t>43a19b2262b11a2f4616316232294de70e9b313ebda841ab481ef968ccf650771388f03ea30c4fb9bcf3877c37e64ed7</t>
  </si>
  <si>
    <t>104738</t>
  </si>
  <si>
    <t>06-01-2026 12:48:00</t>
  </si>
  <si>
    <t>890206354</t>
  </si>
  <si>
    <t>Ortizo SAS</t>
  </si>
  <si>
    <t>PAGA EN SISTEMA 06/02/2026</t>
  </si>
  <si>
    <t>48ae7665d8f9047f3e225cc33489455aaaf4a9b337c024294ec2bb83a676e1b670cb019dcacda314694074a68c2fd735</t>
  </si>
  <si>
    <t>104739</t>
  </si>
  <si>
    <t>06-01-2026 12:48:05</t>
  </si>
  <si>
    <t>830020109</t>
  </si>
  <si>
    <t>Varichem De Colombia G Environmental Proteccion Service SAS</t>
  </si>
  <si>
    <t>97bc31a3f26c9b4f4b70d335d8063ad8862828a61a56beda7592756f18bc21cd2ea01f9d79a898df337be2bd7da547ec</t>
  </si>
  <si>
    <t>104740</t>
  </si>
  <si>
    <t>06-01-2026 12:48:09</t>
  </si>
  <si>
    <t>500111ac1687a876b58e48d49ec60c377bbe6db5d63199d31ad0533e3252222dfac70ffdd45fc5a6231f65fb2b53a127</t>
  </si>
  <si>
    <t>104741</t>
  </si>
  <si>
    <t>06-01-2026 12:48:15</t>
  </si>
  <si>
    <t>830034723</t>
  </si>
  <si>
    <t>Mercantil Colpatria SA</t>
  </si>
  <si>
    <t>FACTURA PAGA EN EL SISTEMA 2/02/2026</t>
  </si>
  <si>
    <t>2bb854ee2c736dd67def74f3c04ebec5e581d9e7c48e472c2d97ec775dd62216c0ae51c2a5b80c4feb2d53ca269c1559</t>
  </si>
  <si>
    <t>104742</t>
  </si>
  <si>
    <t>06-01-2026 13:03:25</t>
  </si>
  <si>
    <t>800237412</t>
  </si>
  <si>
    <t>Ferricentros SAS</t>
  </si>
  <si>
    <t>a729e646203147beb8ab9a2f59e4b95f140f05f9bd8f2cfb516f43bb70797f4b5e6e069bce7fc9376508813e1bd7ed57</t>
  </si>
  <si>
    <t>104743</t>
  </si>
  <si>
    <t>06-01-2026 13:03:30</t>
  </si>
  <si>
    <t>1fa208bb3fb4eb4d6c550d99b67a7041cc82e2da6f932dc06b946a9ec6fec3eaf6103787004a0bb661a535ede5b77051</t>
  </si>
  <si>
    <t>104744</t>
  </si>
  <si>
    <t>06-01-2026 13:03:35</t>
  </si>
  <si>
    <t>a8400c4b679e2d23f2ef5b2a5958a306cd33b91cc8aa47da4317ef4ecdd9c5dea7a7b56f2a7f1f410e648be1e0f4f5bf</t>
  </si>
  <si>
    <t>104745</t>
  </si>
  <si>
    <t>06-01-2026 14:19:12</t>
  </si>
  <si>
    <t>51bfd3a44d40bd802ca5915b328ca638f4e01315457e3a4d3a7bf21446d1041c78f1c25e192e764f00b7286ed4c5985d</t>
  </si>
  <si>
    <t>104746</t>
  </si>
  <si>
    <t>06-01-2026 14:19:16</t>
  </si>
  <si>
    <t>20ed492f3de4deeb69f6eb53d7d85d25662937ae8126c071c37af6a2e6951486856be44da72bf93eaa0ab4b76bea417c</t>
  </si>
  <si>
    <t>104747</t>
  </si>
  <si>
    <t>06-01-2026 14:19:21</t>
  </si>
  <si>
    <t>860072279</t>
  </si>
  <si>
    <t>Doble A Ingenieria SAS</t>
  </si>
  <si>
    <t>5ba373fa5083d39134ba58d5f26f86000f714fcee7d21806481756e06ef2c40696819d6b61c68d3bcffd9321679e8a9d</t>
  </si>
  <si>
    <t>104748</t>
  </si>
  <si>
    <t>06-01-2026 14:19:27</t>
  </si>
  <si>
    <t>811022981</t>
  </si>
  <si>
    <t>Soberana SAS</t>
  </si>
  <si>
    <t>fd6067f41383b312b9ed0bb6a3ca0051d4490e6cbb4b3ccaf5cb0c8460dacb2fcccf8576857a6131a6b9cee5527f13b7</t>
  </si>
  <si>
    <t>104749</t>
  </si>
  <si>
    <t>06-01-2026 14:19:33</t>
  </si>
  <si>
    <t>900015165</t>
  </si>
  <si>
    <t>Distribuidora Unidas De Material Y Servicios Catolicos SAS</t>
  </si>
  <si>
    <t>FACTURA PAGA EN EL SISTEMA 26/01/2026</t>
  </si>
  <si>
    <t>f42036409770780cf318fc5bbdfbfcca7e71686ed4fa755ec70ea748e0a2ad2916cce5325d7e5dc5373d38500412c864</t>
  </si>
  <si>
    <t>104750</t>
  </si>
  <si>
    <t>06-01-2026 14:34:44</t>
  </si>
  <si>
    <t>147db3e79d75970402f34bdc41f043e6c0e77a6b4726a1c75c62866cb102645b5d6cbc19f4fdf4f662cbdc0c942e5256</t>
  </si>
  <si>
    <t>104751</t>
  </si>
  <si>
    <t>06-01-2026 14:49:55</t>
  </si>
  <si>
    <t>468fcd49fe449e0ff0ee01f0869a7440e6883ae731c445659cba45213a12031fc3d9abb13e7d37c05326fc964364e34d</t>
  </si>
  <si>
    <t>104752</t>
  </si>
  <si>
    <t>06-01-2026 14:50:00</t>
  </si>
  <si>
    <t>900206480</t>
  </si>
  <si>
    <t>Ingetec Ingenieria &amp; Diseños SAS</t>
  </si>
  <si>
    <t>af6e8bd8e4020fa3be295ca1250618709f3c267ae2af95ce8572c000b7fca7ce13308687f76ae45d852677eff5406441</t>
  </si>
  <si>
    <t>104753</t>
  </si>
  <si>
    <t>06-01-2026 14:50:04</t>
  </si>
  <si>
    <t>900241101</t>
  </si>
  <si>
    <t>Acf Technologies Colombia SAS</t>
  </si>
  <si>
    <t>a7b442023e95e09f63b61aafc67a948f817f36a5f827355d05adb589fa7d4ebfdb57515324bed9aec6ed4568b456e067</t>
  </si>
  <si>
    <t>104754</t>
  </si>
  <si>
    <t>06-01-2026 15:05:15</t>
  </si>
  <si>
    <t>900396967</t>
  </si>
  <si>
    <t>Industrial Aceitera Del Casanare SA Sucursal Colombia</t>
  </si>
  <si>
    <t>fa7d08c54939870b01b9dc2259a2295dbb6cc5822b49e27c1049d59b1d60ae3b64d12c59657c1b09f3d58c0f6f77c89f</t>
  </si>
  <si>
    <t>104755</t>
  </si>
  <si>
    <t>06-01-2026 15:05:22</t>
  </si>
  <si>
    <t>800103826</t>
  </si>
  <si>
    <t>Champion Air Cargo De Colombia Ltda</t>
  </si>
  <si>
    <t>bbfdd23712c27f314eb16c6917f205b8c2e0c2a5d670864ae22f624714f1f1101d8bd2f8dcef8cc54ea11347db5641e7</t>
  </si>
  <si>
    <t>104756</t>
  </si>
  <si>
    <t>06-01-2026 15:05:25</t>
  </si>
  <si>
    <t>800241469</t>
  </si>
  <si>
    <t>Transborder SAS</t>
  </si>
  <si>
    <t>PAGA EN SISTEMA 22/01/2026</t>
  </si>
  <si>
    <t>2945f4dd09ef3ca832beffd7cbd433ff9cdb66451b89e04c4836350c12864166c260c0a4ed61f79807b643cbffed0430</t>
  </si>
  <si>
    <t>104757</t>
  </si>
  <si>
    <t>06-01-2026 15:20:37</t>
  </si>
  <si>
    <t>830055467</t>
  </si>
  <si>
    <t>Geodis Colombia LTDA</t>
  </si>
  <si>
    <t>91cdaa29e58d2b182cb9578ab7367ad7ea5ef07bbfc31cf03a1abd8afbb4dd7efb6f0046a897533bafc4ce4715ce7711</t>
  </si>
  <si>
    <t>104758</t>
  </si>
  <si>
    <t>06-01-2026 15:20:40</t>
  </si>
  <si>
    <t>800194600</t>
  </si>
  <si>
    <t>La Corporacion Colombiana De Investigacion Agropecuaria Agrosavia</t>
  </si>
  <si>
    <t>FACTURA PAGA EN EL SISTEMA 27/01/2026</t>
  </si>
  <si>
    <t>687b2a1ab63d304c1aba5616fe1ff27ed2f496fa488e213320021e53793f4f8aa67f9a9d4874ead74aa0ad499502c83d</t>
  </si>
  <si>
    <t>104759</t>
  </si>
  <si>
    <t>07-01-2026</t>
  </si>
  <si>
    <t>07-01-2026 07:42:42</t>
  </si>
  <si>
    <t>800247814</t>
  </si>
  <si>
    <t>Quintero Y Quintero Asesores SA</t>
  </si>
  <si>
    <t>49fe99628cc03594d0f350dd94ec3c4772f7ccb7dab82a3d7e6bd0175edaf12d74875d9eb54f12f70600425eb477d431</t>
  </si>
  <si>
    <t>07-01-2026 08:43:17</t>
  </si>
  <si>
    <t>830144405</t>
  </si>
  <si>
    <t>Sony Music Publishing Colombia Ltda</t>
  </si>
  <si>
    <t>01ba6993de3ed974d1366e241fd3c9af7c84134788ba453415ee9e94c85922ab0a45497e63a2db376921ec87102b44f5</t>
  </si>
  <si>
    <t>104761</t>
  </si>
  <si>
    <t>07-01-2026 09:30:09</t>
  </si>
  <si>
    <t>860450450</t>
  </si>
  <si>
    <t>Nicomar Electronics SAS</t>
  </si>
  <si>
    <t>e356621dfa09c42699b6061c2870a24ca272261135090ab00512bbe3555d7e3a0d4a2b97fb471473d77b87cf74f11c1f</t>
  </si>
  <si>
    <t>104762</t>
  </si>
  <si>
    <t>07-01-2026 09:29:00</t>
  </si>
  <si>
    <t>c8f31762015e2cb71aac7a090388d40ccec50d62e938d174c6a7a61bf4f9298dc2656b862457c213fa7b7b3e12d993fa</t>
  </si>
  <si>
    <t>104763</t>
  </si>
  <si>
    <t>07-01-2026 09:44:00</t>
  </si>
  <si>
    <t>800063606</t>
  </si>
  <si>
    <t>Santiago Velez &amp; Asociados Corredores De Seguros SA</t>
  </si>
  <si>
    <t>162bd540054d4283696112e744255cfafd52bce4011cb35e8d5f7bcc7cbaa15d6915cb693686eaa3474b631b8f746bed</t>
  </si>
  <si>
    <t>104764</t>
  </si>
  <si>
    <t>07-01-2026 09:44:41</t>
  </si>
  <si>
    <t>800079051</t>
  </si>
  <si>
    <t>Juan Pablo Bejarano CIA LTDA Asesores De Seguros</t>
  </si>
  <si>
    <t>FACTURA PAGA EN EL SISTEMA 9/02/2026</t>
  </si>
  <si>
    <t>9e8068954b56455277322737cf98e5adf34f4ea9d473093eb5770ef5a5eb90eda6b402684e0cd146980a10722298953b</t>
  </si>
  <si>
    <t>104765</t>
  </si>
  <si>
    <t>07-01-2026 09:44:08</t>
  </si>
  <si>
    <t>830046757</t>
  </si>
  <si>
    <t>Compañia Internacional De Alimentos Agropecuarios Cialta SAS</t>
  </si>
  <si>
    <t>c262ed0b1592cd5f33528d2a81e517a6fc842a17cd86e5f0a40175fb9f17a6294ebccbbccad758ef4a20db380df30331</t>
  </si>
  <si>
    <t>104766</t>
  </si>
  <si>
    <t>07-01-2026 09:44:14</t>
  </si>
  <si>
    <t>830021423</t>
  </si>
  <si>
    <t xml:space="preserve">Salitre Plaza Centro Comercial Propiedad Horizontal </t>
  </si>
  <si>
    <t>4cd7dde01bd7976b3dd456b6a3eba54560487ab44845388605b9de91a2c0a4a883b5a31a54a8b2ebdaf60a1fda182572</t>
  </si>
  <si>
    <t>104767</t>
  </si>
  <si>
    <t>07-01-2026 09:44:39</t>
  </si>
  <si>
    <t>800251569</t>
  </si>
  <si>
    <t>Inter Rapidisimo SA</t>
  </si>
  <si>
    <t>FACTURA PAGA EN EL SISTEMA 21/01/2026</t>
  </si>
  <si>
    <t>7e91641cadaed71645ea806259d2ba3a7aa71d7cd77b843e88d968337445b90abceefc15e6763ff90a6841b4287eecb1</t>
  </si>
  <si>
    <t>104768</t>
  </si>
  <si>
    <t>07-01-2026 10:14:35</t>
  </si>
  <si>
    <t>901038007</t>
  </si>
  <si>
    <t>Itmcol SAS</t>
  </si>
  <si>
    <t>PAGA EN SISTEMA 25/02/2026</t>
  </si>
  <si>
    <t>7bb8b5a694afeef2d6aab933e4d509ba8be3a52f53e71074b1f1794fa92fa4ead459f3e056fe915e90b3e7edb9168a5f</t>
  </si>
  <si>
    <t>104769</t>
  </si>
  <si>
    <t>07-01-2026 10:14:39</t>
  </si>
  <si>
    <t>830054539</t>
  </si>
  <si>
    <t>Patrimonios Autonomos Fiduciaria Bancolombia SA Sociedad Fiduciaria</t>
  </si>
  <si>
    <t>PAGA EN SISTEMA 20/02/2026</t>
  </si>
  <si>
    <t>18d737bf45ed3206bf0ea998c3ec09ec6d44f38d23ffdfa360dff371e2f1308af6834494eeed5c38f4ba87601a1e97f3</t>
  </si>
  <si>
    <t>104770</t>
  </si>
  <si>
    <t>07-01-2026 10:30:36</t>
  </si>
  <si>
    <t>900496641</t>
  </si>
  <si>
    <t>Clinicos Programas De Atencion Integral SAS IPS</t>
  </si>
  <si>
    <t>56c0303edbd2040f00382b9242748a6e501a914862968a8c8eb75e69d7969efb9ce0085c6bdaa2b1b9d04328fc2bcbf2</t>
  </si>
  <si>
    <t>104771</t>
  </si>
  <si>
    <t>07-01-2026 10:45:02</t>
  </si>
  <si>
    <t>FACTURA PAGA EN EL SISTEMA 20/01/2026</t>
  </si>
  <si>
    <t>f19c13e68ec1502aa804bf4b0bc7c3fa05b8baf29db92f79e7d220adf669ab212dc72f089cdd41978fb70f23af949b34</t>
  </si>
  <si>
    <t>104772</t>
  </si>
  <si>
    <t>07-01-2026 11:00:13</t>
  </si>
  <si>
    <t>800155413</t>
  </si>
  <si>
    <t>Accion Sociedad Fiduciaria SA</t>
  </si>
  <si>
    <t>3f6d4fd5766f41c00b314a71cf08a90afe4d1153aa64c696b0aa3795c65354768a6ddfe34740c57b9a19bb2ec6cc5667</t>
  </si>
  <si>
    <t>104773</t>
  </si>
  <si>
    <t>07-01-2026 11:15:25</t>
  </si>
  <si>
    <t>901043512</t>
  </si>
  <si>
    <t>Plasdecor SAS</t>
  </si>
  <si>
    <t>FACTURA PAGA EN EL SISTEMA 19/02/2026</t>
  </si>
  <si>
    <t>d6eb93d76141cf68f887e3ff12b5a379ea757639fbdad2f9cfcc2dbc28d05bd7286805313931bf6a0571745651c83d66</t>
  </si>
  <si>
    <t>104774</t>
  </si>
  <si>
    <t>07-01-2026 11:15:38</t>
  </si>
  <si>
    <t>487c6d4f177bfaedb3e5c222f8b820f00c5fd361424be2feb963889fc45a02c02ced128d399303d05ac5af724fe282fa</t>
  </si>
  <si>
    <t>104775</t>
  </si>
  <si>
    <t>07-01-2026 11:45:52</t>
  </si>
  <si>
    <t>832006599</t>
  </si>
  <si>
    <t>Inzignia Construction SA</t>
  </si>
  <si>
    <t>45720f004dc0201785cd629def150141ee52d802be403b3a809a81380de2ee4229499b1d6b96eb3a807f399822779113</t>
  </si>
  <si>
    <t>104776</t>
  </si>
  <si>
    <t>07-01-2026 11:45:57</t>
  </si>
  <si>
    <t>f904ad2bd5206693e69f6e33289bf9425d12f863ee7ebb41be8f2d5f7ebd1b63f371c25f74d39e2eff07fab9d9612306</t>
  </si>
  <si>
    <t>104777</t>
  </si>
  <si>
    <t>07-01-2026 11:46:03</t>
  </si>
  <si>
    <t>830004575</t>
  </si>
  <si>
    <t>Interval International De Colombia SAS</t>
  </si>
  <si>
    <t>34474afdae83a7dfc5f5e6b9af71653e6288f6e725a445767ed44690decf7354fa61ee55623be3dac6d87c9ab336f988</t>
  </si>
  <si>
    <t>104778</t>
  </si>
  <si>
    <t>07-01-2026 12:01:15</t>
  </si>
  <si>
    <t>901054874</t>
  </si>
  <si>
    <t>Fitness24seven Colombia S A S</t>
  </si>
  <si>
    <t>87697475194f37dcf719d3b4083fa575dfa33095a40174d8a58aa804009656205b34c7039bb06bd8666e79614e7de070</t>
  </si>
  <si>
    <t>104779</t>
  </si>
  <si>
    <t>07-01-2026 12:01:18</t>
  </si>
  <si>
    <t>860023264</t>
  </si>
  <si>
    <t>Securitas Colombia SA</t>
  </si>
  <si>
    <t>a24b3b45d4ff905b6bd4d0e94fd3f42f5b2c62b53f84cce4878195f949db1f528b1cbc0c6daf02a0a4e58cf508b69280</t>
  </si>
  <si>
    <t>104780</t>
  </si>
  <si>
    <t>07-01-2026 12:16:31</t>
  </si>
  <si>
    <t>901580303</t>
  </si>
  <si>
    <t>Mas Servicios Asistenciales Colombia SAS</t>
  </si>
  <si>
    <t>c0c747fcfac201f471ca33c2a73486c055e96210f2bd34933fa29c7c1bf27663e05b6d9f76ed3a167266ca6f0a7c8d2b</t>
  </si>
  <si>
    <t>104781</t>
  </si>
  <si>
    <t>07-01-2026 12:46:48</t>
  </si>
  <si>
    <t>901438401</t>
  </si>
  <si>
    <t>24K Global Logistics SAS</t>
  </si>
  <si>
    <t>d141830415769b6cae4130b42e72c9249e6fbdbbda9884a9e2f1fa1554b4cfddf2fb3358f9d4f4741a4d4f76df0e3b85</t>
  </si>
  <si>
    <t>104782</t>
  </si>
  <si>
    <t>07-01-2026 12:46:52</t>
  </si>
  <si>
    <t>900494134</t>
  </si>
  <si>
    <t>Regional Services Group Rsg S A S</t>
  </si>
  <si>
    <t>FACTURA PAGA EN EL SISTEMA 17/02/2026</t>
  </si>
  <si>
    <t>7db6bdffea4d9b9847e6ff436c8e71c93f208a0ac0dc20a391fccd18ee00d423c9951b3082ca936d148dddb07338e9ea</t>
  </si>
  <si>
    <t>104783</t>
  </si>
  <si>
    <t>07-01-2026 12:46:57</t>
  </si>
  <si>
    <t>878bea94cf82108428e4351bd1bce6313f897090bf473b4c200feda8fea4cf1847ed08cf053c8dc73dbc18967d078f43</t>
  </si>
  <si>
    <t>104784</t>
  </si>
  <si>
    <t>07-01-2026 14:47:53</t>
  </si>
  <si>
    <t>PAGA EN SISTEMA 19/02/2026</t>
  </si>
  <si>
    <t>e003aecc9ca21a75619d0d4a8d5299c8668ddda066b9e2a597a323dd83600eeb63e7b48980d48c51fd4b2d68d7b5d834</t>
  </si>
  <si>
    <t>104785</t>
  </si>
  <si>
    <t>07-01-2026 15:03:53</t>
  </si>
  <si>
    <t>830014193</t>
  </si>
  <si>
    <t>Thomas Seguridad Integral Ltda</t>
  </si>
  <si>
    <t>10099995a776d2e6d31a39cd07ad3fc0e2c2815552b0a36a3f847e3ee0e91986d85092bffbef1b07127682164f9a4f43</t>
  </si>
  <si>
    <t>07-01-2026 15:03:36</t>
  </si>
  <si>
    <t>901601542</t>
  </si>
  <si>
    <t>Corporacion Aceite De Palma Sostenible De Colombia Apscolombia</t>
  </si>
  <si>
    <t>83f0e31242613570d1e6a55aedcb9ab16b3515149977893f771f72776653c97b784c2b23461cfe87cdb9196469b64dc2</t>
  </si>
  <si>
    <t>104787</t>
  </si>
  <si>
    <t>07-01-2026 15:03:41</t>
  </si>
  <si>
    <t>787756ef756dac93572f2d6b2b3fd9b0c68e688aae8860bd0ff6334f7a0c204ff6dcf052f5e5bd4b590f4e6b140bb8bc</t>
  </si>
  <si>
    <t>104788</t>
  </si>
  <si>
    <t>07-01-2026 15:03:56</t>
  </si>
  <si>
    <t>900744272</t>
  </si>
  <si>
    <t>HY Cite Enterprises Colombia SAS</t>
  </si>
  <si>
    <t>9156acfe493f21b17885e0eba496ab6bf4bfc89727248cad1c56b46d2710105ab4e86595cfb2d7fa06dba8269d0f5dc2</t>
  </si>
  <si>
    <t>104789</t>
  </si>
  <si>
    <t>a0ef7cbeb1926e1fea0fd5b356316c179ccbdaead1571e0f40a50548c258d3a97897502317b5be0ede84a243b5618815</t>
  </si>
  <si>
    <t>104790</t>
  </si>
  <si>
    <t>07-01-2026 15:33:40</t>
  </si>
  <si>
    <t>901312960</t>
  </si>
  <si>
    <t>C I Conquers World Trade SAS</t>
  </si>
  <si>
    <t>FACTURA PAGA EN EL SISTEMA 14/01/2026</t>
  </si>
  <si>
    <t>c74746f66e403cd517eab6e7001b6f4b3cda9b729e84bb14b942e5eef334524365d0c517f7e593c480c092bcbfd5a50a</t>
  </si>
  <si>
    <t>104791</t>
  </si>
  <si>
    <t>07-01-2026 15:33:45</t>
  </si>
  <si>
    <t>ea919716c9c69f74519d2d16861b9d40cb23f89c4f090db39cda3d550e506363bc3acb5e9c6d735d12a4445aa5454937</t>
  </si>
  <si>
    <t>07-01-2026 15:33:50</t>
  </si>
  <si>
    <t>800130907</t>
  </si>
  <si>
    <t>Salud Total Entidad Promotora De Salud Del Regimen Contributivo Y Del Regimen Subsidiado SA</t>
  </si>
  <si>
    <t>42aa6064119eee2799fa0d06fca47ecfc7d64a35a29be8f6a3a0f70075c5c7c9e18d3408690271c4a4c65c1d675716a3</t>
  </si>
  <si>
    <t>104793</t>
  </si>
  <si>
    <t>07-01-2026 16:04:07</t>
  </si>
  <si>
    <t>0e350d59cf1df15e7707119dca495920f3edd7db249e277b076e9f1baf78926f9d25740f273d1a752a74f04d5e5f2b4c</t>
  </si>
  <si>
    <t>104794</t>
  </si>
  <si>
    <t>07-01-2026 16:04:12</t>
  </si>
  <si>
    <t>0f0a361cac32ce4f4a3d68790d6eaea252beb2c84c03bbb83668071f564e13e9e3b56bd589408f84e1d083671cdc4035</t>
  </si>
  <si>
    <t>104795</t>
  </si>
  <si>
    <t>07-01-2026 16:04:17</t>
  </si>
  <si>
    <t>8d5ffc707c24a7d4f12674364646d84f96b2b0aa535c122a8c8d029beffb01505ae9e239609847cb09ebdd06cd96e9d7</t>
  </si>
  <si>
    <t>104796</t>
  </si>
  <si>
    <t>07-01-2026 16:04:21</t>
  </si>
  <si>
    <t>bb97ded0a4e6a9570b6019adaa0d2c75843addbc3e11dc4ff0028eb48531192174b6849b275bc5242bb53b59147b7349</t>
  </si>
  <si>
    <t>104797</t>
  </si>
  <si>
    <t>08-01-2026</t>
  </si>
  <si>
    <t>08-01-2026 07:10:54</t>
  </si>
  <si>
    <t>fff915ef2b06e621969d53aced9fa6b845f6dd740364122406da32823fd80d39d46e3739b51a6819aacf44b91d51eb38</t>
  </si>
  <si>
    <t>104798</t>
  </si>
  <si>
    <t>08-01-2026 07:10:59</t>
  </si>
  <si>
    <t>7005fa92da7d46ccc5f06a0e0bec91f2ad61fbe341bdc1a58cb389b94e5c646319c2bbf30177ccf5f25e563d779e29dd</t>
  </si>
  <si>
    <t>104799</t>
  </si>
  <si>
    <t>08-01-2026 07:11:04</t>
  </si>
  <si>
    <t>c13aed936d635e88ef801fe8f7ad597570ea8cf340b8e298c821eedc382268a4606e65b373e36b6a22e777ce802c7787</t>
  </si>
  <si>
    <t>104800</t>
  </si>
  <si>
    <t>08-01-2026 07:11:08</t>
  </si>
  <si>
    <t>c82b619a576e8b675a1c9ffba2c199c0bb960306309ebf779c66d44c6c5bf447c0906bbcbe058c8965bc84868d64f5c9</t>
  </si>
  <si>
    <t>104801</t>
  </si>
  <si>
    <t>08-01-2026 07:11:14</t>
  </si>
  <si>
    <t>34e9f92c5dceb5b2d42bec28f87b68c1194dc7c2bb5390d69cbe988d1cf860f8cf72dc14bf836ea93c7f36923381e7b8</t>
  </si>
  <si>
    <t>104802</t>
  </si>
  <si>
    <t>08-01-2026 07:11:17</t>
  </si>
  <si>
    <t>dc7dc0f98f1c79dba74b4998ca5895e5040afa39a6b7ab34b8e6096e0c72db37f8553fe45777b328be76f37a979147f1</t>
  </si>
  <si>
    <t>104803</t>
  </si>
  <si>
    <t>08-01-2026 07:11:23</t>
  </si>
  <si>
    <t>901469580</t>
  </si>
  <si>
    <t>Compañia De Seguros Colsanitas SA</t>
  </si>
  <si>
    <t>fb277192975755d7e7ce4582473f68cd105baec0187776c3bd5584f026879abcabe49e2557c3f06f77b38105feb72c26</t>
  </si>
  <si>
    <t>104804</t>
  </si>
  <si>
    <t>08-01-2026 09:27:25</t>
  </si>
  <si>
    <t>800040410</t>
  </si>
  <si>
    <t>Consejo Profesional De Biologia</t>
  </si>
  <si>
    <t>87edb34bcdfa6afe979ba264670bd8cb43f7b5d1e9f119506bfca1215fa0b2adf3155c0dd2f5b4989b4d112c359b04d5</t>
  </si>
  <si>
    <t>104805</t>
  </si>
  <si>
    <t>08-01-2026 09:42:37</t>
  </si>
  <si>
    <t>830109997</t>
  </si>
  <si>
    <t>Otto Bock Healthcare Andina SAS</t>
  </si>
  <si>
    <t>FACTURA PAGA EN EL SISTEMA 06/02/2026</t>
  </si>
  <si>
    <t>2ac654db630441d71a7e4b0428f2a6ca336456b4a4a28d3cf0e5861c0dd1abbf6da2587f71658c616b035565e9560b79</t>
  </si>
  <si>
    <t>104806</t>
  </si>
  <si>
    <t>08-01-2026 10:12:58</t>
  </si>
  <si>
    <t>dd1662ef565f25e9a27aa68aa0957d18852e0b896feca30bd9fd9e3f594195b21bd678fa0c836f219516ea562f15f474</t>
  </si>
  <si>
    <t>104807</t>
  </si>
  <si>
    <t>08-01-2026 10:13:02</t>
  </si>
  <si>
    <t>900250454</t>
  </si>
  <si>
    <t>Alto Colombia SAS</t>
  </si>
  <si>
    <t>2e02e030748d2c36579ed4593064edc27a193aa668ef2f7c8ed7704b6d8839beca4f545a836b7e3451803977a865ea77</t>
  </si>
  <si>
    <t>104808</t>
  </si>
  <si>
    <t>08-01-2026 10:13:08</t>
  </si>
  <si>
    <t>59be2b84368243b3ff560f3cb2238e989eac275e9013b5bcc6639b24949a73b2f4218c50e062072d91641f8614573909</t>
  </si>
  <si>
    <t>104809</t>
  </si>
  <si>
    <t>08-01-2026 10:28:17</t>
  </si>
  <si>
    <t>900597369</t>
  </si>
  <si>
    <t>ByD Motor Colombia SAS</t>
  </si>
  <si>
    <t>31b22a11fbbede9270935ed1d617d0292b876ffd0d8d0ba5cad148e99a5e98ef1056ff91609fdc2c1deb7b3ca57657e7</t>
  </si>
  <si>
    <t>104810</t>
  </si>
  <si>
    <t>08-01-2026 10:28:22</t>
  </si>
  <si>
    <t>ee1855640d966a0fe5304aa6f57278e9b250cdd5b8fd740e12052779a1ce78b9c5c2401304f89fb46c8bb63414b119d6</t>
  </si>
  <si>
    <t>104811</t>
  </si>
  <si>
    <t>08-01-2026 10:43:38</t>
  </si>
  <si>
    <t>900077707</t>
  </si>
  <si>
    <t>Pcs For All SAS</t>
  </si>
  <si>
    <t>3c87c1a8029fdb9d51db03d955ecf2b95012297c279423f0fd4d116477183d3a97eb1ff6a8660c4315bd4e39beb98f4e</t>
  </si>
  <si>
    <t>104812</t>
  </si>
  <si>
    <t>08-01-2026 10:43:42</t>
  </si>
  <si>
    <t>900201138</t>
  </si>
  <si>
    <t>Novatec Solutions Ltda</t>
  </si>
  <si>
    <t>0f08538ddc58048d42e55711bc0197ad58b2fda673de177e8fee07f04635856b0a9a1d0f25c609e2ed900ab156bf743e</t>
  </si>
  <si>
    <t>104813</t>
  </si>
  <si>
    <t>08-01-2026 10:43:48</t>
  </si>
  <si>
    <t>8c3e2fac5baed2f4352128248e80bb8a0bc21621e24de748853f57a8419dcc285f1956f7ba03a49f4994db4556d4456c</t>
  </si>
  <si>
    <t>104814</t>
  </si>
  <si>
    <t>08-01-2026 10:58:59</t>
  </si>
  <si>
    <t>900148177</t>
  </si>
  <si>
    <t>Pear Solutions SA</t>
  </si>
  <si>
    <t>7d3a071d0f759475e2147fe723d957f80c38d60e193af3e52cd1edcba52a420289cc1adb17c2bf6bae370694dc29bf26</t>
  </si>
  <si>
    <t>104815</t>
  </si>
  <si>
    <t>08-01-2026 10:59:03</t>
  </si>
  <si>
    <t>f668989d83778728bb5f9174f9d3e5e3dfc42b8a148a84e5bbdfdd1d437ef1dfff9ab2d079e815000653ef17b008e370</t>
  </si>
  <si>
    <t>104816</t>
  </si>
  <si>
    <t>08-01-2026 10:59:08</t>
  </si>
  <si>
    <t>860511886</t>
  </si>
  <si>
    <t>Industrias La Coruña SAS</t>
  </si>
  <si>
    <t>266f57a29d9708fc176d572628c77b7fce064a54ab6b607ba3b9bf5c1544f090483f7edcb9126e73ffd491eb138f03dd</t>
  </si>
  <si>
    <t>104817</t>
  </si>
  <si>
    <t>08-01-2026 10:59:13</t>
  </si>
  <si>
    <t>900402619</t>
  </si>
  <si>
    <t>Medicales Sociedad Por Acciones Simplificada</t>
  </si>
  <si>
    <t>06062aa2d2be9be9180d8e3d8419b6eb305fbd5c9155b7f6102d4a6b6738b8c09b86b2057e034c5db7d862828be0c1b8</t>
  </si>
  <si>
    <t>104818</t>
  </si>
  <si>
    <t>08-01-2026 10:59:17</t>
  </si>
  <si>
    <t>860516431</t>
  </si>
  <si>
    <t>Gran Tierra Energy Colombia Gmbh Sucursal Colombia</t>
  </si>
  <si>
    <t>PAGO EN FACTURA 16/02/2026</t>
  </si>
  <si>
    <t>49dbf6c15da8141cf41bf94eff1b576b932c3cb581ad22adcf9af581a4005aa8cbc86608235c704d97eff237a7d64b17</t>
  </si>
  <si>
    <t>104819</t>
  </si>
  <si>
    <t>08-01-2026 10:59:22</t>
  </si>
  <si>
    <t>860055557</t>
  </si>
  <si>
    <t>Palmar Del Oriente SAS</t>
  </si>
  <si>
    <t>77bf950ebdfa2026444ec524b84fae97c538267cb6134b7e78e10c553b03b18b4d4794672310121c918ae3bbd21d3223</t>
  </si>
  <si>
    <t>104820</t>
  </si>
  <si>
    <t>08-01-2026 11:29:40</t>
  </si>
  <si>
    <t>900424702</t>
  </si>
  <si>
    <t>International Testing Inspection &amp; Certification Colombia SAS</t>
  </si>
  <si>
    <t>bfca205b8964862db7b1b2c2cab63cffc52412d538ba65f496f3e65bb4c24ceb053231183a9d98c746647bb9ec12700e</t>
  </si>
  <si>
    <t>104821</t>
  </si>
  <si>
    <t>08-01-2026 15:14:41</t>
  </si>
  <si>
    <t>830033494</t>
  </si>
  <si>
    <t>Heel Colombia Ltda</t>
  </si>
  <si>
    <t>4c43b2441897f9fb35d4fea12718f3b6da43b68470073039ee8af5242547f96d91180ff51bde48edf02c6abdd54322de</t>
  </si>
  <si>
    <t>104822</t>
  </si>
  <si>
    <t>08-01-2026 15:14:47</t>
  </si>
  <si>
    <t>adc7699fe3594c3ff9081f25df9fd48c0f63c7914e534773948b1a85bee0c641c8c4d630ca61ce83353550c853a5c6fb</t>
  </si>
  <si>
    <t>104823</t>
  </si>
  <si>
    <t>08-01-2026 15:14:52</t>
  </si>
  <si>
    <t>7c1865949199899398d8d02035622893ca2f30f46ab3b9d8d04b000fdb6aba6635f8c450c1680df05738a8a51caf6474</t>
  </si>
  <si>
    <t>104824</t>
  </si>
  <si>
    <t>08-01-2026 15:14:56</t>
  </si>
  <si>
    <t>f282ffd4dc8e6f0200e8d8d542338276e605b635030d1ecc31a837b28007e32857bcf6716e838791ab29b046920ca875</t>
  </si>
  <si>
    <t>104825</t>
  </si>
  <si>
    <t>08-01-2026 15:15:01</t>
  </si>
  <si>
    <t>0c728869e8f0565780fb94a9274c1b5427760ad5ba392e6e6a54a46806c393ac8c56a838504839115e7d066540a3a253</t>
  </si>
  <si>
    <t>104826</t>
  </si>
  <si>
    <t>08-01-2026 15:15:06</t>
  </si>
  <si>
    <t>830513729</t>
  </si>
  <si>
    <t>Combustibles De Colombia SA</t>
  </si>
  <si>
    <t>PAGA EN SISTEMA20/02/2026</t>
  </si>
  <si>
    <t>841ca57fb09e34be882c18275e3d76ab7b726d1571e29ed866bc7eb6b11a5dd8a7bee8d73fedf80f8a6b0623c47e910c</t>
  </si>
  <si>
    <t>104827</t>
  </si>
  <si>
    <t>08-01-2026 15:15:10</t>
  </si>
  <si>
    <t>088296650e58c7c061561b0f92ec9165ff85da8a6ede4f43a1b47495cfe3f820b91be83b8578484535c67c8a46a8f7a6</t>
  </si>
  <si>
    <t>104828</t>
  </si>
  <si>
    <t>08-01-2026 15:15:16</t>
  </si>
  <si>
    <t>12132a478ed3f84aab814002b7767bb64fcb05bdcd3083cd513d99c8693707832a96c38c16a88fa9ecbff3b3c7476036</t>
  </si>
  <si>
    <t>104829</t>
  </si>
  <si>
    <t>08-01-2026 15:15:20</t>
  </si>
  <si>
    <t>1016036846</t>
  </si>
  <si>
    <t>Maria Alejandra Zambrano Suarez</t>
  </si>
  <si>
    <t>5865a234d5e7894b150611a8c1d2dc199bc932784cb1fe8d64eaffdd2e1e742ddae4aa0827e7f3c227c2eb2e154d07c2</t>
  </si>
  <si>
    <t>104830</t>
  </si>
  <si>
    <t>08-01-2026 15:15:25</t>
  </si>
  <si>
    <t>8f36e69c6e0092f926be88c217bc10e431fb0f3ec235604b7746a2f34bb274e2e2e8caab82b8c5a09a695ebe728fe48e</t>
  </si>
  <si>
    <t>104831</t>
  </si>
  <si>
    <t>08-01-2026 15:30:36</t>
  </si>
  <si>
    <t>6adb040ae7ee911d68740ea2a8f1383aba247ee02afe489d26ce5a7470cd311c006e2451a14585bbdce29b0ebc41e8c9</t>
  </si>
  <si>
    <t>104832</t>
  </si>
  <si>
    <t>08-01-2026 15:30:40</t>
  </si>
  <si>
    <t>eb57db945e1fc4db6d07f97e595b291e8076312724606fa23ea6677f11ed1380a472af60177a950aacedd2e23fb24a44</t>
  </si>
  <si>
    <t>104833</t>
  </si>
  <si>
    <t>08-01-2026 15:30:45</t>
  </si>
  <si>
    <t>86075350</t>
  </si>
  <si>
    <t>Juan Javier Urazan Ramirez</t>
  </si>
  <si>
    <t>1e678f78106aa61d2be2b6c80f09fca748aa8b884b38a14d87773bce3abe1905118211fbb6f17d965e15092387e4b678</t>
  </si>
  <si>
    <t>104834</t>
  </si>
  <si>
    <t>08-01-2026 16:01:03</t>
  </si>
  <si>
    <t>830040378</t>
  </si>
  <si>
    <t>Vco S.A</t>
  </si>
  <si>
    <t>FACTURA PAGA EN EL SISTEMA 28/01/2026</t>
  </si>
  <si>
    <t>58c13997340e82421a64bf60ba20ae7948f42d3e1a70f79f93b98fc465b0ca145f8d47be37e66ceb0555ac8660a20943</t>
  </si>
  <si>
    <t>104835</t>
  </si>
  <si>
    <t>08-01-2026 16:01:08</t>
  </si>
  <si>
    <t>860023053</t>
  </si>
  <si>
    <t>Howden Corredores De Seguros SA</t>
  </si>
  <si>
    <t>20404ef8f04dc85c2e99164d87c59e632b7b0042730c865c7991e5ab2107468b55e6bb77548dfdc7ffc02d980a78796f</t>
  </si>
  <si>
    <t>104836</t>
  </si>
  <si>
    <t>08-01-2026 16:01:13</t>
  </si>
  <si>
    <t>88cbf29b27d6a9215ea3ebaababda43de65f6d5938842560bcda4e4950173cddd1c4f9db81907fa4c567876a5cbe5b8b</t>
  </si>
  <si>
    <t>104837</t>
  </si>
  <si>
    <t>09-01-2026</t>
  </si>
  <si>
    <t>09-01-2026 08:23:11</t>
  </si>
  <si>
    <t>900592369</t>
  </si>
  <si>
    <t>Quironprevencion Colombia SAS</t>
  </si>
  <si>
    <t>96710c4a36aeb748aca29c136029b3e028ab3e6840097c0831b833d01ab441c0a2167b263fbd29b0b68f0489b02fed3a</t>
  </si>
  <si>
    <t>104838</t>
  </si>
  <si>
    <t>09-01-2026 08:23:16</t>
  </si>
  <si>
    <t>800061512</t>
  </si>
  <si>
    <t>Basic Farm SAS</t>
  </si>
  <si>
    <t>bcd8b1ef25a0661682a7bcbc549021034c458e847fc026dae7c14c246eecf2846cea3ac0837753fcc24a16241faf3ea8</t>
  </si>
  <si>
    <t>104839</t>
  </si>
  <si>
    <t>09-01-2026 09:08:44</t>
  </si>
  <si>
    <t>12f28bcfd7481633bf06ee3e35f0125ee737208716bac892521a8228b00a2230038da0f8cee8f5bc1e5e3ecb795b0f8b</t>
  </si>
  <si>
    <t>104840</t>
  </si>
  <si>
    <t>09-01-2026 09:38:58</t>
  </si>
  <si>
    <t>860510627</t>
  </si>
  <si>
    <t>Corporacion Universitaria Unitec</t>
  </si>
  <si>
    <t>46ed7c4ec28bb30e02bed9dcf794a0e6bd6f71547d1d0eaec71f339aa6a613f0923f788382e0bc1ec88a1358b5bdc8c1</t>
  </si>
  <si>
    <t>104841</t>
  </si>
  <si>
    <t>09-01-2026 09:39:03</t>
  </si>
  <si>
    <t>990229c3911498b0d66b13e7b621afcb18cf3bc68ea44906a3c9efeb48d8f9b271191d067f02e78fe2a4d98971345a05</t>
  </si>
  <si>
    <t>104842</t>
  </si>
  <si>
    <t>10-01-2026</t>
  </si>
  <si>
    <t>10-01-2026 00:25:59</t>
  </si>
  <si>
    <t>a8a8cd557f7d741fbff05ba1b59b97a3bbbe14b4b9633d9933a910924f88349571767c7e74f8ec6b9d06fce0ab5be715</t>
  </si>
  <si>
    <t>104843</t>
  </si>
  <si>
    <t>09-01-2026 09:54:17</t>
  </si>
  <si>
    <t>830008300</t>
  </si>
  <si>
    <t>Centro De Control De Cancer SAS</t>
  </si>
  <si>
    <t>bfbf3693011fad897fb284f858715705ff468a60d46391a82c4d7323eb8bbc8fad65457ddbf32e76a7041e5352c4c0ac</t>
  </si>
  <si>
    <t>104844</t>
  </si>
  <si>
    <t>09-01-2026 09:54:21</t>
  </si>
  <si>
    <t>900268896</t>
  </si>
  <si>
    <t>Axon Group Limitada</t>
  </si>
  <si>
    <t>6bffb6733c3ea7ff069c456ddd8fcb2304ae00c8e5e5dcbddddafb1b8502aa835259c90d58a9212bc08235b7fdd9a212</t>
  </si>
  <si>
    <t>104845</t>
  </si>
  <si>
    <t>09-01-2026 10:24:39</t>
  </si>
  <si>
    <t>901681272</t>
  </si>
  <si>
    <t>Hire Horatio Co S A S</t>
  </si>
  <si>
    <t>PAGA EN SISTEMA 23/01/2026</t>
  </si>
  <si>
    <t>396d61bf43890d7ebf13cb5a7ba49d97ddde27dd77299f81b6819ed4dd1eceb6746e70fcd2b5e382c522946334346864</t>
  </si>
  <si>
    <t>104846</t>
  </si>
  <si>
    <t>09-01-2026 10:24:44</t>
  </si>
  <si>
    <t>d3d248fcdcbc72573ad49bc933b3a965168cfe54e38341964dad9b6db9570128f6a34464c1eb397657ac8097f038ca91</t>
  </si>
  <si>
    <t>104847</t>
  </si>
  <si>
    <t>09-01-2026 10:24:49</t>
  </si>
  <si>
    <t>901443323</t>
  </si>
  <si>
    <t>Grupo Babel Colombia SAS</t>
  </si>
  <si>
    <t>PAGA EN SISTEMA 19/01/2026</t>
  </si>
  <si>
    <t>76f759b0b774b25010fdabedfe5af829ddef63608e704611014fb7c45a18abbdfab99cae973490e70145bf89e62d89b9</t>
  </si>
  <si>
    <t>104848</t>
  </si>
  <si>
    <t>09-01-2026 10:40:00</t>
  </si>
  <si>
    <t>860045379</t>
  </si>
  <si>
    <t>Comware S.A</t>
  </si>
  <si>
    <t>27d6537974e757065a9f00d1d6dd67843f03f30cda861235df8beb9f04fbee79ce98934004b05cad9f68b6512c6f5b94</t>
  </si>
  <si>
    <t>104849</t>
  </si>
  <si>
    <t>09-01-2026 11:10:18</t>
  </si>
  <si>
    <t>900879300</t>
  </si>
  <si>
    <t>Conjunto Residencial Corinto - Propiedad Horizontal</t>
  </si>
  <si>
    <t>FACTURA PAGA EN EL SISTEMA 3/02/2026</t>
  </si>
  <si>
    <t>e9a77cea45db91ee529ab55fb7ea0835728f632e738cdda5471436ed9754ed17eb0e89c7b3c0fb29f27d1f6e12bc4e2d</t>
  </si>
  <si>
    <t>104850</t>
  </si>
  <si>
    <t>09-01-2026 11:10:23</t>
  </si>
  <si>
    <t>804003084</t>
  </si>
  <si>
    <t>Inemec SAS</t>
  </si>
  <si>
    <t>ef014ef482557c1ea07c70d53eb631ef39fe03218ec17a1eae22460eaf409a9977408f6cd25324f603a297e14c66c437</t>
  </si>
  <si>
    <t>104851</t>
  </si>
  <si>
    <t>09-01-2026 11:25:35</t>
  </si>
  <si>
    <t>860509514</t>
  </si>
  <si>
    <t>Autogermana SAS</t>
  </si>
  <si>
    <t>eef118ed1eef622f419e42a195aa3280d6d23742ecf4f12db8cd4faed6b8263ea32dfab62f68b068ce96754aca29020d</t>
  </si>
  <si>
    <t>104852</t>
  </si>
  <si>
    <t>09-01-2026 11:25:39</t>
  </si>
  <si>
    <t>800042119</t>
  </si>
  <si>
    <t>Vicpar SA</t>
  </si>
  <si>
    <t>1c62aa4d2f5ff499d329e1639dbac22da5b62aac04c73f6e2c651388a1520c957bff2cf5a43f154a26b0b795efadae75</t>
  </si>
  <si>
    <t>104853</t>
  </si>
  <si>
    <t>09-01-2026 11:40:51</t>
  </si>
  <si>
    <t>820098a863a44cb0dd466e431707bd9f36aa2d13b490018d7c2243ea3013e0b2037007c51f8c4413bada313dabd9af84</t>
  </si>
  <si>
    <t>104854</t>
  </si>
  <si>
    <t>09-01-2026 11:56:03</t>
  </si>
  <si>
    <t>d4efd614af69bdabe8d9e23d3788024f0a0abfb93434c7035bffcf4ee7cf7c0e8e35af3cd35ed84e1a80f52a75d29460</t>
  </si>
  <si>
    <t>104855</t>
  </si>
  <si>
    <t>09-01-2026 11:56:07</t>
  </si>
  <si>
    <t>806002953</t>
  </si>
  <si>
    <t>Marketing E Inversiones SAS</t>
  </si>
  <si>
    <t>a26d3845550e33638fc98aea4898757e387a25f608a0d0aa8ed549131f11388e7402c309213c3c345bf248108e248ab0</t>
  </si>
  <si>
    <t>104856</t>
  </si>
  <si>
    <t>09-01-2026 11:56:16</t>
  </si>
  <si>
    <t>800129680</t>
  </si>
  <si>
    <t>Flores El Futuro SA</t>
  </si>
  <si>
    <t>17ed77ce02e56f8cebe8101eeab65bf9d46b6ee69b89a2cba9a24335cb34af0d23cc7db67597c8bc9906a5ce8ac6542f</t>
  </si>
  <si>
    <t>104857</t>
  </si>
  <si>
    <t>09-01-2026 11:56:20</t>
  </si>
  <si>
    <t>860007972</t>
  </si>
  <si>
    <t>Sony Music Entertainment Colombia SAS</t>
  </si>
  <si>
    <t>PAGA EN SISTEMA 17/02/2026</t>
  </si>
  <si>
    <t>04973bff80d4584d031e6d3bba25ea16b810663cd47a021c47c444cea318d2313c6d673490c4e5f4fd747001f0eeee95</t>
  </si>
  <si>
    <t>104858</t>
  </si>
  <si>
    <t>09-01-2026 11:56:25</t>
  </si>
  <si>
    <t>860000397</t>
  </si>
  <si>
    <t>Compañia De La Hacienda De Misiones SA</t>
  </si>
  <si>
    <t>0d424380cfa8e03c3a01de6fc002bda67e4aa6bd467117e499472b7705bde912799a3781e7e6cf1779372579a466a185</t>
  </si>
  <si>
    <t>104859</t>
  </si>
  <si>
    <t>09-01-2026 11:56:29</t>
  </si>
  <si>
    <t>860041227</t>
  </si>
  <si>
    <t>Sonido Industrial Colombiano Ltda</t>
  </si>
  <si>
    <t>e26390a9cde2686267ad561947c97a307c6cdc5e671107cdf935045353460b4dbb787ac4c125130283d223fcaf994695</t>
  </si>
  <si>
    <t>104860</t>
  </si>
  <si>
    <t>09-01-2026 11:56:35</t>
  </si>
  <si>
    <t>901117560</t>
  </si>
  <si>
    <t>Epiroc Colombia SAS</t>
  </si>
  <si>
    <t>cf8e2acb8193eedd472abfa022b6d67fd5daf5013d327059755ba3411c3ce8d669c688178ac666a1c22435406e3b2f58</t>
  </si>
  <si>
    <t>104861</t>
  </si>
  <si>
    <t>09-01-2026 12:11:46</t>
  </si>
  <si>
    <t>800114672</t>
  </si>
  <si>
    <t>Stefanini Colombia SAS</t>
  </si>
  <si>
    <t>22dca6741e31bf75943ec5de6300db66aa4186b9e04f1fd9a73b300b96d911bb8ee490241f29c5e955897839e9d7f2c5</t>
  </si>
  <si>
    <t>104862</t>
  </si>
  <si>
    <t>09-01-2026 12:11:51</t>
  </si>
  <si>
    <t>b9d7a826fe6cccff26f8b8bf9f87cce25e579e8be06a169ea1db5a57b82a98c980ef2693057a471ab5405bb87557a1cf</t>
  </si>
  <si>
    <t>104863</t>
  </si>
  <si>
    <t>09-01-2026 12:27:01</t>
  </si>
  <si>
    <t>860000794</t>
  </si>
  <si>
    <t>Industrias Spring SAS</t>
  </si>
  <si>
    <t>3d1b1b4b411240407ee1d5ed24e581fefe8c887a5f7120b97a35b2bcd125183fdbe3ce8b7453d43e9b5c13c26d657d7a</t>
  </si>
  <si>
    <t>104864</t>
  </si>
  <si>
    <t>09-01-2026 12:27:06</t>
  </si>
  <si>
    <t>5974f69050c120f61e5e5c1ae5aa582e2db467e3278d323bec0b22d225440b89c056814725905a879fe89585cf196535</t>
  </si>
  <si>
    <t>104865</t>
  </si>
  <si>
    <t>09-01-2026 12:27:10</t>
  </si>
  <si>
    <t>24e19da740f03dfae1800a08861dd9f0fe1b97298e7ff2eb55851ba4f5065664f3606052b95ce4c64944ac4407c5de9c</t>
  </si>
  <si>
    <t>104866</t>
  </si>
  <si>
    <t>09-01-2026 12:27:15</t>
  </si>
  <si>
    <t>809a0039bf9dc97174101156340d081f3b24912bd85e188dadb09ce21ad8ef645faf717a6d57e789e0f603431a7e6307</t>
  </si>
  <si>
    <t>104867</t>
  </si>
  <si>
    <t>09-01-2026 12:42:26</t>
  </si>
  <si>
    <t>901029016</t>
  </si>
  <si>
    <t>Grupo Cenagro SAS</t>
  </si>
  <si>
    <t>226fc5619105a1a9aa26883577b92a5b356858491f1b43e362f60cada23cdd295654c217720b456ab5a1716d61fe462c</t>
  </si>
  <si>
    <t>104868</t>
  </si>
  <si>
    <t>09-01-2026 12:42:32</t>
  </si>
  <si>
    <t>901122559</t>
  </si>
  <si>
    <t>Esmeraldas Mining Services SAS</t>
  </si>
  <si>
    <t>5ee290e7a2996ea95f292083eaf231487742a39f619264c9574635c80b5216a1480114da7704bd8cf4478a827890acca</t>
  </si>
  <si>
    <t>104869</t>
  </si>
  <si>
    <t>09-01-2026 12:57:49</t>
  </si>
  <si>
    <t>2ac901001fc637773345387fa87a7709ba4cf1db7f4d0876952401a198636f78f3e1af1ae53104d9eff280048031b63e</t>
  </si>
  <si>
    <t>104870</t>
  </si>
  <si>
    <t>09-01-2026 12:57:47</t>
  </si>
  <si>
    <t>c858f5c880dd6289f7b4ab16556d292477fca3b98a1194bbb1701a22cbc4aa752c091bcfdfe9a60f0ed7be5d56aad457</t>
  </si>
  <si>
    <t>104871</t>
  </si>
  <si>
    <t>09-01-2026 12:57:53</t>
  </si>
  <si>
    <t>739ac2eace4c0f57dbd0503121ec2198dad8ef1ab9977a863a7b354e06dc16828a383df7408619d41dd30a001b7e6594</t>
  </si>
  <si>
    <t>104872</t>
  </si>
  <si>
    <t>09-01-2026 13:13:03</t>
  </si>
  <si>
    <t>819c034f799dd3ad2ec6b89ef52e72d52f0b96b7734db80d6cae4d7cb10317699ecaf05d031949e51bfb5423f674ebae</t>
  </si>
  <si>
    <t>104873</t>
  </si>
  <si>
    <t>09-01-2026 13:13:07</t>
  </si>
  <si>
    <t>890101681</t>
  </si>
  <si>
    <t>Fundacion Universidad Del Norte</t>
  </si>
  <si>
    <t>49be0191550d92473e3c4f041e3b3299997a241fa337344e873b6c74da3ecc2e7be6a6868a9112f2e3b2a678835921a6</t>
  </si>
  <si>
    <t>104874</t>
  </si>
  <si>
    <t>09-01-2026 14:43:52</t>
  </si>
  <si>
    <t>830051928</t>
  </si>
  <si>
    <t>Don Maiz SAS</t>
  </si>
  <si>
    <t>3579fa04b07087098b24108d2f3f68ed257866037e811d0aadf01dc329be05ee3c510b45402c0f62922305a268654e33</t>
  </si>
  <si>
    <t>104875</t>
  </si>
  <si>
    <t>09-01-2026 14:43:59</t>
  </si>
  <si>
    <t>900208445</t>
  </si>
  <si>
    <t>Ceramica San Lorenzo Industrial De Colombia SA</t>
  </si>
  <si>
    <t>57f5a9cd596d27369601f5bb189d3f8c482eaafc05d6d7e5e7ee00ca4998bdd672f1167b488ac19e3bafd7645836fe09</t>
  </si>
  <si>
    <t>104876</t>
  </si>
  <si>
    <t>09-01-2026 14:44:01</t>
  </si>
  <si>
    <t>860503184</t>
  </si>
  <si>
    <t>Bip Colombia SAS</t>
  </si>
  <si>
    <t>5ddbbf0041f797ec8c6febf0d80205cb05e0f917ebc55a1cefdb50ff6bdede88c7c01ceaf74287bec7d343e1f1b595a1</t>
  </si>
  <si>
    <t>104877</t>
  </si>
  <si>
    <t>09-01-2026 14:44:05</t>
  </si>
  <si>
    <t>860524163</t>
  </si>
  <si>
    <t>Flores De Serrezuela SAS</t>
  </si>
  <si>
    <t>0e1388512ae367ca9920693feb57035a4ed1e5b186a48a5323dd4fa96fcbbfeec5f12418f6b90ab5b70eada9f9812cea</t>
  </si>
  <si>
    <t>104878</t>
  </si>
  <si>
    <t>09-01-2026 14:59:16</t>
  </si>
  <si>
    <t>ba1165566effeea7fe7d6786a51c6056dcdf9178a8a0e8dfe4c6903599ed2dbd2f30d979f934814f402dce6c1664c9be</t>
  </si>
  <si>
    <t>104879</t>
  </si>
  <si>
    <t>09-01-2026 14:59:21</t>
  </si>
  <si>
    <t>860052872</t>
  </si>
  <si>
    <t>Parko Services S.A</t>
  </si>
  <si>
    <t>PAGA EN SISTEMA 21/01/2026</t>
  </si>
  <si>
    <t>14a44ee529a55b0435907ad8bb8c76e45214786dd6b13bd7f3495bc655b4a28bcf1f29ab7ec6482c45647ab9f604202c</t>
  </si>
  <si>
    <t>104880</t>
  </si>
  <si>
    <t>09-01-2026 15:14:32</t>
  </si>
  <si>
    <t>79304958</t>
  </si>
  <si>
    <t>Carlos Arturo Alegre Guzman</t>
  </si>
  <si>
    <t>6646211efd5e11ddd6eb620d8449910077e3852a1002db4887d11b25ed3e790ef96ec9dd6b49116b03fa6628fb28a40f</t>
  </si>
  <si>
    <t>104881</t>
  </si>
  <si>
    <t>09-01-2026 15:29:43</t>
  </si>
  <si>
    <t>1063561549</t>
  </si>
  <si>
    <t>Benjamin  Herrera</t>
  </si>
  <si>
    <t>c0e475c4a986e6fe5a38d58edf1ec01de355830a20dfd65b6d319e5913d572d4c75096f5b54ef7ccfb1a34c80bc89885</t>
  </si>
  <si>
    <t>104882</t>
  </si>
  <si>
    <t>09-01-2026 15:44:55</t>
  </si>
  <si>
    <t>900671249</t>
  </si>
  <si>
    <t>Power Systems Services Global SAS</t>
  </si>
  <si>
    <t>a13f698f5759caeb2df35b855c27fcfe0cff5361a675210ded54f0d5cec6dbacd4f48a2e2eb89779ab198a71db6c13aa</t>
  </si>
  <si>
    <t>104883</t>
  </si>
  <si>
    <t>09-01-2026 15:44:59</t>
  </si>
  <si>
    <t>900236520</t>
  </si>
  <si>
    <t>Cadena Comercial Oxxo Colombia SAS</t>
  </si>
  <si>
    <t>5bcabb190c8dbf94a8a25c1e633cf82b9a11fc5a28e9144d00f58bb3188f912e090df90abc9530d9c538424b53ee3bce</t>
  </si>
  <si>
    <t>104884</t>
  </si>
  <si>
    <t>09-01-2026 15:45:04</t>
  </si>
  <si>
    <t>FACTURA PAGA EN EL SISTEMA 10/02/2026</t>
  </si>
  <si>
    <t>2592b001c269f5dd8c7df5f33548c7bc6c7abe65f395d5379660e2cd284b8452b48dbb1bf717726a4847148f83f8ba79</t>
  </si>
  <si>
    <t>104885</t>
  </si>
  <si>
    <t>09-01-2026 15:45:09</t>
  </si>
  <si>
    <t>830077655</t>
  </si>
  <si>
    <t>Panamericana Outsourcing SA</t>
  </si>
  <si>
    <t>9c17b3aa3cd2675776b4cd0ab7af5a59a46881dbb819ab468faf071eda4791b834426e8ea77a8b5c030ebedfc0c8750b</t>
  </si>
  <si>
    <t>104886</t>
  </si>
  <si>
    <t>13-01-2026</t>
  </si>
  <si>
    <t>13-01-2026 07:29:42</t>
  </si>
  <si>
    <t>800195603</t>
  </si>
  <si>
    <t>CYC Trading SAS</t>
  </si>
  <si>
    <t>fa80e273a5c0520db28cd3f2f08252893cc53e7368edf96af70311f5c959c40bc9213ea60f310ab9789af47a146b4555</t>
  </si>
  <si>
    <t>104887</t>
  </si>
  <si>
    <t>13-01-2026 07:44:54</t>
  </si>
  <si>
    <t>dd2d15f02b36f3bf30a5c92b0aa86385835e58c6cf120bead64a948bb853bc456efe71adda73dd9a6e608a384099f9f5</t>
  </si>
  <si>
    <t>104888</t>
  </si>
  <si>
    <t>13-01-2026 08:00:05</t>
  </si>
  <si>
    <t>901938677</t>
  </si>
  <si>
    <t>Corporacion Por El Desarrollo Sostenible De La Orinoquia Y Territorios Aledaños</t>
  </si>
  <si>
    <t>ee2fa87da0cfbbe47463160db6fa5214a85f7eb261d8bea65fff2b53872f17a4e399164ab681b9510e9f473e94971d1a</t>
  </si>
  <si>
    <t>104889</t>
  </si>
  <si>
    <t>13-01-2026 08:00:10</t>
  </si>
  <si>
    <t>830073329</t>
  </si>
  <si>
    <t>Ikusi Redes Colombia SAS</t>
  </si>
  <si>
    <t>9f482f43933085785df93a513c515d624145f7eb2da04f71053d446a163c02f220ee985f1b65ce6c6d0e637f710a478c</t>
  </si>
  <si>
    <t>104890</t>
  </si>
  <si>
    <t>13-01-2026 08:00:15</t>
  </si>
  <si>
    <t>900353873</t>
  </si>
  <si>
    <t>Scania Colombia SAS</t>
  </si>
  <si>
    <t>61a33618793f549f05a504e80b1729a5e5791c53c01050da67e6a6b0d90d7a719c7c5d8d0c5014e1b71888e501d90535</t>
  </si>
  <si>
    <t>104891</t>
  </si>
  <si>
    <t>13-01-2026 08:00:20</t>
  </si>
  <si>
    <t>07f352784fa02960a4c10e890c69a65548378ff28607d252cf59f44a0da495e132314b3892d0389d6b5583fd924e3caa</t>
  </si>
  <si>
    <t>104892</t>
  </si>
  <si>
    <t>13-01-2026 08:15:31</t>
  </si>
  <si>
    <t>890112475</t>
  </si>
  <si>
    <t>Ci Energia Solar SAS Es Windows</t>
  </si>
  <si>
    <t>41ffec03950ebc03138eac86da239d167c196c2ac58fd4a53a9b8fbe5cc63fbc3246c6719c3f1843b66ab7f140f18fa0</t>
  </si>
  <si>
    <t>104893</t>
  </si>
  <si>
    <t>13-01-2026 08:15:35</t>
  </si>
  <si>
    <t>860009107</t>
  </si>
  <si>
    <t xml:space="preserve">Fundacion Colegio Anglo Colombiano </t>
  </si>
  <si>
    <t>e88e42aa3f5b892e2b015e732499d3b582d7524e522c3b1456972c8ca89082b34fd88e5cbf5027658d1a8ccde495b4c1</t>
  </si>
  <si>
    <t>104894</t>
  </si>
  <si>
    <t>13-01-2026 08:30:46</t>
  </si>
  <si>
    <t>9c0c0c7d8adf092bde3a0e972768854a1da250af53f92064fb7b41310bb79537c3a45799f2974b6a683a7c7f9a9d94a2</t>
  </si>
  <si>
    <t>104895</t>
  </si>
  <si>
    <t>13-01-2026 08:45:58</t>
  </si>
  <si>
    <t>a64f7d6908364874092a9e6d441bba738a02649c0215b4b17998499beacbda11f13642a8e13a478eb1af495ad7b4b429</t>
  </si>
  <si>
    <t>104896</t>
  </si>
  <si>
    <t>13-01-2026 08:46:04</t>
  </si>
  <si>
    <t>ce790d88610c75a0061fcbe4edb921f78a9d617effa7b575a3df6b13ef99b40f7bedb25f5bb393d87cd3762b0be42002</t>
  </si>
  <si>
    <t>104897</t>
  </si>
  <si>
    <t>13-01-2026 08:46:09</t>
  </si>
  <si>
    <t>e14061f6bca97ce7410ecb08d332081b2a9201861a4d9540728d246648f6623d79d4d5d3e08c36d910ba2cc432b940d9</t>
  </si>
  <si>
    <t>104898</t>
  </si>
  <si>
    <t>13-01-2026 08:46:12</t>
  </si>
  <si>
    <t>643aa041663c63c6eda15cb3db1ba1f6ed039d9b78d678f128eb8e568ff6c5c63179231644da297fd7791fbcc8bde147</t>
  </si>
  <si>
    <t>104899</t>
  </si>
  <si>
    <t>13-01-2026 08:46:16</t>
  </si>
  <si>
    <t>9a61ea46adc56bbc51fd8750a553cef2c59731026053cd3888a1ee7a9ba66c7394ba00b55b1ced527569f7e069cca070</t>
  </si>
  <si>
    <t>104900</t>
  </si>
  <si>
    <t>13-01-2026 08:46:21</t>
  </si>
  <si>
    <t>53423e5b2e4ae11ee0a556643202bc9b75a0ed96560a821033d197df14f1cb1d7c2f97a61356784ac79a509096506245</t>
  </si>
  <si>
    <t>104901</t>
  </si>
  <si>
    <t>13-01-2026 08:46:26</t>
  </si>
  <si>
    <t>d7ea354b2932069187b13e47cb13d96a1526b32ef77eb161345c032dc6aece7ca5da89745e8a871b8c6a635cac388345</t>
  </si>
  <si>
    <t>104902</t>
  </si>
  <si>
    <t>13-01-2026 09:01:36</t>
  </si>
  <si>
    <t>830113458</t>
  </si>
  <si>
    <t>Fundacion Universitaria Sanitas</t>
  </si>
  <si>
    <t>efa79d789c7d5adb36c02246e822b63d89ad74bf9eec6453d2f19700db40f61e76abb4eb9e79296b104b753cc3756e3f</t>
  </si>
  <si>
    <t>104903</t>
  </si>
  <si>
    <t>13-01-2026 09:01:41</t>
  </si>
  <si>
    <t>0a478d70bd4fd647877dc27e3311fc3d7b4605db7adb7ec1082a9cf57e3d8949df85366997d77b536813faaecbb8c26d</t>
  </si>
  <si>
    <t>104904</t>
  </si>
  <si>
    <t>13-01-2026 09:01:46</t>
  </si>
  <si>
    <t>d5d23e602eab870629c292fd5b926cd7c40a9d73729d674ff6dbf9758740231a72ca9aaae7f523dabc636931f962686e</t>
  </si>
  <si>
    <t>104905</t>
  </si>
  <si>
    <t>13-01-2026 09:17:02</t>
  </si>
  <si>
    <t>860026123</t>
  </si>
  <si>
    <t xml:space="preserve">Cooperativa Nacional De Droguistas Detallistas </t>
  </si>
  <si>
    <t>d4e8a0ecf4e952cae594ce1763e4e04cb1007eb05cd67e671dcc54493d62a0fbf2097cf5ea4496ca52b2b3af805a3e67</t>
  </si>
  <si>
    <t>104906</t>
  </si>
  <si>
    <t>13-01-2026 09:17:10</t>
  </si>
  <si>
    <t>805022659</t>
  </si>
  <si>
    <t>Hinaoui Salazar Y Cia S En C S</t>
  </si>
  <si>
    <t>571e1885247d6c469431358d07c98fd886588e185c38a76cd11ba3b6dc3057d7c2cfe018ea20047cbb5a2571b04420b2</t>
  </si>
  <si>
    <t>104907</t>
  </si>
  <si>
    <t>13-01-2026 09:17:11</t>
  </si>
  <si>
    <t>830129327</t>
  </si>
  <si>
    <t>Farmatodo Colombia SAS</t>
  </si>
  <si>
    <t>ff4886c3c865956f6bb7a81958d5ddf4b0288b31108d6681b45c60776fdb0fc5886de63dbe0b9ce8e974d2906445d17f</t>
  </si>
  <si>
    <t>104908</t>
  </si>
  <si>
    <t>13-01-2026 09:32:22</t>
  </si>
  <si>
    <t>860512249</t>
  </si>
  <si>
    <t>Yanbal De Colombia SAS</t>
  </si>
  <si>
    <t>4ffdd93ace98c5bce5e786dacca55c245c47b68444383dc1f41f09c008db4b3f4db80fb4d8eb8071af61b79ba72e3295</t>
  </si>
  <si>
    <t>104909</t>
  </si>
  <si>
    <t>13-01-2026 09:32:27</t>
  </si>
  <si>
    <t>860025596</t>
  </si>
  <si>
    <t>Cooperativa Del Magisterio Codema</t>
  </si>
  <si>
    <t>92d405d5b883871f706f651211d122da8c786f14b3357232b94452422451f7d85af89ca1cc0a5a85192d933ed04698a3</t>
  </si>
  <si>
    <t>104910</t>
  </si>
  <si>
    <t>13-01-2026 09:32:33</t>
  </si>
  <si>
    <t>860068182</t>
  </si>
  <si>
    <t>Credicorp Capital Colombia SA</t>
  </si>
  <si>
    <t>fef63561ec7dcc4b22d795a751402e63cf74058c4a1a18c84536695dddee87b7c3f0b97f65f5ac06b1f1887d7f2eee0d</t>
  </si>
  <si>
    <t>104911</t>
  </si>
  <si>
    <t>13-01-2026 09:32:40</t>
  </si>
  <si>
    <t>49fee868c233c8371baebea7fb42aef520b5304486998522a3b3e08937070cdfe3224b90109f1ab8cda3aebd83485505</t>
  </si>
  <si>
    <t>104912</t>
  </si>
  <si>
    <t>13-01-2026 09:32:46</t>
  </si>
  <si>
    <t>ce9aaa7f66b3502e6820859d96410f8371568b9a460de1b7d84c4e2731872004e4dc9ef3d4435b126d419b307f8bed21</t>
  </si>
  <si>
    <t>104913</t>
  </si>
  <si>
    <t>13-01-2026 09:32:50</t>
  </si>
  <si>
    <t>900652403</t>
  </si>
  <si>
    <t>Coopervision Colombia SAS</t>
  </si>
  <si>
    <t>80232316844480619857d960f10408c5d76ec816ec12d7e9b3cc50775668290f3938419b3fdf64908ce482e3e5c0f14a</t>
  </si>
  <si>
    <t>104914</t>
  </si>
  <si>
    <t>13-01-2026 09:32:55</t>
  </si>
  <si>
    <t>900458786</t>
  </si>
  <si>
    <t>Agora Centro De Servicios Compartidos SAS</t>
  </si>
  <si>
    <t>6c125d391c33597c226aff5c6c9c7b47bafd9b5f128006d9bb91cacef5d704047bc48f5ae723eea4bb738de2ca6a3e7e</t>
  </si>
  <si>
    <t>104915</t>
  </si>
  <si>
    <t>13-01-2026 09:32:59</t>
  </si>
  <si>
    <t>901847883</t>
  </si>
  <si>
    <t>IA4 SAS</t>
  </si>
  <si>
    <t>74617bc550df196869f0950d1d2a26544f390579103f5256043e7724a3e3e548dd902b0b826314a31e77b1b7f42a4e14</t>
  </si>
  <si>
    <t>104916</t>
  </si>
  <si>
    <t>13-01-2026 09:33:04</t>
  </si>
  <si>
    <t>1a34e153f8867f30df1042dc7127088fdbcfe9be1b1cce3426930ee08ea8361bc4a989f6cd6285d026e5f36f031ccdd8</t>
  </si>
  <si>
    <t>104917</t>
  </si>
  <si>
    <t>13-01-2026 09:33:09</t>
  </si>
  <si>
    <t>9e9384b9e973f64631d9f73d25607a2eb6819287908e6bde8665b1e79bc7bf64beb10a63853fa9cbf231f595ec74b0d3</t>
  </si>
  <si>
    <t>104918</t>
  </si>
  <si>
    <t>13-01-2026 09:48:21</t>
  </si>
  <si>
    <t>110cab5e9b4a6b1c9fe2a9d25d18e6430aeea3d83f231de2e4a6766a0bd9b3c93d13fdb8a5d7329421d67d60856ad9a4</t>
  </si>
  <si>
    <t>104919</t>
  </si>
  <si>
    <t>13-01-2026 09:48:26</t>
  </si>
  <si>
    <t>a916dfc33417606fd8f3dadac424d4b621ac3a4468cb363cc3c5cbc7221f2f2066c8e7dccb19a0e93850ace2eab7991e</t>
  </si>
  <si>
    <t>104920</t>
  </si>
  <si>
    <t>13-01-2026 09:48:30</t>
  </si>
  <si>
    <t>800193444</t>
  </si>
  <si>
    <t>Ecologia Y Entorno SAS  E.S.P Ecoentorno</t>
  </si>
  <si>
    <t>06fd2113139138a9378582239a32f99e3ee0224d8da6798860d535575a5f7a031112e5cac350a0f7d95b22cb990ea4f7</t>
  </si>
  <si>
    <t>104921</t>
  </si>
  <si>
    <t>13-01-2026 09:48:35</t>
  </si>
  <si>
    <t>900024398</t>
  </si>
  <si>
    <t>Ecologistica SAS Empresa De Servicios Publicos Ecologistica SAS ESP</t>
  </si>
  <si>
    <t>251f0262fc02558a2676a5d754f4a6712a3d93573a103c32c29fab6fc92d00c4add4fd092c1c6e61d87102ebc213670e</t>
  </si>
  <si>
    <t>104922</t>
  </si>
  <si>
    <t>13-01-2026 09:48:40</t>
  </si>
  <si>
    <t>860007336</t>
  </si>
  <si>
    <t>Caja Colombiana De Subsidio Familiar Colsubsidio</t>
  </si>
  <si>
    <t>2353ff98e891b881e569b37e83b8a38d04ff2a50dacf06c20bd66f610293b7120faa96a6bd732617f79cfcb50977cb80</t>
  </si>
  <si>
    <t>104923</t>
  </si>
  <si>
    <t>13-01-2026 09:48:45</t>
  </si>
  <si>
    <t>901180401</t>
  </si>
  <si>
    <t>Solvo SAS</t>
  </si>
  <si>
    <t>c6707db98eefd20c7e1f87f53e14e67c7b24dd1bcab519c6462f28ae21d287cddce1e547f08fcfc2f8b8f2f94e891b27</t>
  </si>
  <si>
    <t>104924</t>
  </si>
  <si>
    <t>13-01-2026 10:03:56</t>
  </si>
  <si>
    <t>830056418</t>
  </si>
  <si>
    <t>Eulen Colombia SA</t>
  </si>
  <si>
    <t>b026f1c2a2b193e258703e777419e27007a17ce2a85b50619c9f33d62b857c9972a33fe193a0319ae3324349568ad18f</t>
  </si>
  <si>
    <t>104925</t>
  </si>
  <si>
    <t>13-01-2026 10:04:00</t>
  </si>
  <si>
    <t>830111257</t>
  </si>
  <si>
    <t>Grupo Empresarial En Linea S.A.</t>
  </si>
  <si>
    <t>51180fb18be2362c71b44b6001ab1b203d22c5329d3df08301147eefe8da4f94f8c09d6870774a1c6749416288c9c715</t>
  </si>
  <si>
    <t>104926</t>
  </si>
  <si>
    <t>13-01-2026 10:04:05</t>
  </si>
  <si>
    <t>900451379</t>
  </si>
  <si>
    <t>Levare Services Ltd Sucursal Colombia</t>
  </si>
  <si>
    <t>fa0b7dd3fe086eb2753b662002044667f1638f12400f80fdd72c2e03ef45777333434ce7edaf94e61d53f66b8269c30f</t>
  </si>
  <si>
    <t>104927</t>
  </si>
  <si>
    <t>13-01-2026 10:04:10</t>
  </si>
  <si>
    <t>830050228</t>
  </si>
  <si>
    <t>Adecco Servicios Colombia S A</t>
  </si>
  <si>
    <t>5067e5766675190aee0aed5c45daae6fa950c438cd5396c102303c931b8c474a087e74ad5e9454be7cd26a10fc444904</t>
  </si>
  <si>
    <t>104928</t>
  </si>
  <si>
    <t>13-01-2026 10:04:15</t>
  </si>
  <si>
    <t>03b983ee87facec3b0a2672fb8d187475ead76f22550811798add537884b65aeb2f73e66f752d0953d98447af0cd85f6</t>
  </si>
  <si>
    <t>104929</t>
  </si>
  <si>
    <t>13-01-2026 10:19:27</t>
  </si>
  <si>
    <t>e0d8b4671ddb8939d5b9fa7c885ece95f192f09ce261f0635877473e07fdea87eca27dcf20d0e619c2306b12eca779c1</t>
  </si>
  <si>
    <t>104930</t>
  </si>
  <si>
    <t>13-01-2026 10:19:32</t>
  </si>
  <si>
    <t>e4b58fa91e08501edd5000d219bcc91fc128755872ee03b0f282d7c88deb1274d6286718d7e37bb928b34053fd6ddd1f</t>
  </si>
  <si>
    <t>104931</t>
  </si>
  <si>
    <t>13-01-2026 10:19:36</t>
  </si>
  <si>
    <t>b3e21aff6d16a7d4506aeb5079bb887ce6ca3f9d3c6230aaf11d50d97cfd3da69e5a798f4b2ddf79720493e37676ee21</t>
  </si>
  <si>
    <t>104932</t>
  </si>
  <si>
    <t>13-01-2026 10:19:40</t>
  </si>
  <si>
    <t>860050906</t>
  </si>
  <si>
    <t>Adecco Colombia S A</t>
  </si>
  <si>
    <t>91720e434da929b9cc28ac007807308eca94c8a6789e219be7e1b22d381ae582361f53cc4d23adea7a72db347aa0c4fe</t>
  </si>
  <si>
    <t>104933</t>
  </si>
  <si>
    <t>13-01-2026 10:19:46</t>
  </si>
  <si>
    <t>13ee3a24abe655f5737a2889cc5b2f518cbc783ca84f0cd935de97be7933f53add9b49dfb8ce2212277945e626dcccce</t>
  </si>
  <si>
    <t>104934</t>
  </si>
  <si>
    <t>13-01-2026 10:19:50</t>
  </si>
  <si>
    <t>6a950cfbaefa9c0ac9d0397def6565b9278e9be1a8e6890ad16889ef2aa855576c7b89dc4f9fc0b84d75b5432644b988</t>
  </si>
  <si>
    <t>104935</t>
  </si>
  <si>
    <t>13-01-2026 10:35:01</t>
  </si>
  <si>
    <t>860533413</t>
  </si>
  <si>
    <t>IRCC SAS Industria De Restaurantes Casuales SAS</t>
  </si>
  <si>
    <t>b6fb71e2577629fb2d3df75963cfea7b1c0b81b3ad56870acc67abacf63b0c3104ee3bbd131aece4f490407f0380dfdb</t>
  </si>
  <si>
    <t>104936</t>
  </si>
  <si>
    <t>13-01-2026 10:35:07</t>
  </si>
  <si>
    <t>180e15d89133346783f112c0478c4926cc1142359d869d37967d63c727601e9567ca346dc95f6e74b65b22573b9dd476</t>
  </si>
  <si>
    <t>104937</t>
  </si>
  <si>
    <t>13-01-2026 10:35:11</t>
  </si>
  <si>
    <t>830013774</t>
  </si>
  <si>
    <t>Indra Colombia SAS</t>
  </si>
  <si>
    <t>da91574e8c5994986f18ef798c37705f825c03eb12e7638344647c8bd24fa988d209ed2adaca12fb008e0b740c2e7f2c</t>
  </si>
  <si>
    <t>104938</t>
  </si>
  <si>
    <t>13-01-2026 10:35:15</t>
  </si>
  <si>
    <t>860044349</t>
  </si>
  <si>
    <t>G Barco SA</t>
  </si>
  <si>
    <t>PAGA EN SISTEMA 26/02/2026</t>
  </si>
  <si>
    <t>96c04b57289f9b4949f0e845a6fd98b20118f9e6b46472f02abbd9aef5f971d03f0406835e530b5cfd5040c0d87753c0</t>
  </si>
  <si>
    <t>104939</t>
  </si>
  <si>
    <t>13-01-2026 10:35:20</t>
  </si>
  <si>
    <t>800200139</t>
  </si>
  <si>
    <t>Criya SAS</t>
  </si>
  <si>
    <t>0eb14f03987395941f86dc85d2c000eeef683b1deffb84973b08ab22678b15e05138263918c2305ff5f0572df6687714</t>
  </si>
  <si>
    <t>104940</t>
  </si>
  <si>
    <t>13-01-2026 10:35:25</t>
  </si>
  <si>
    <t>cad1576eed4705c9bf29421949d170c80533ae72410eefbae4d89a4fadf68e3093a6fb0ed9f774764586a5ddc4569b52</t>
  </si>
  <si>
    <t>104941</t>
  </si>
  <si>
    <t>13-01-2026 10:35:31</t>
  </si>
  <si>
    <t>b02814a9f373440bb8a24a0071e774957ed8d215a500eb4d79a70eb4f1f8fe1c0397ccbfca5d79e43234ef0bb8a58b4a</t>
  </si>
  <si>
    <t>104942</t>
  </si>
  <si>
    <t>13-01-2026 10:35:34</t>
  </si>
  <si>
    <t>900797285</t>
  </si>
  <si>
    <t>Huge SAS</t>
  </si>
  <si>
    <t>b19bdab84ca2ad0c29047bd7ffb2f8176cce5dda2ff9fb37650e24ca3f23aee7a060d133700eec63bbd161d24740c526</t>
  </si>
  <si>
    <t>104943</t>
  </si>
  <si>
    <t>13-01-2026 10:35:39</t>
  </si>
  <si>
    <t>aef90a763e156220ee59c2dadf38b9b93579ee3b46b7a9179c3946d3e94a8b42a76573df0b9a2d839528f223906d9b2f</t>
  </si>
  <si>
    <t>104944</t>
  </si>
  <si>
    <t>13-01-2026 10:50:51</t>
  </si>
  <si>
    <t>900725066</t>
  </si>
  <si>
    <t xml:space="preserve">Uni2 Microcredito S A S </t>
  </si>
  <si>
    <t>ea20083cf3e779c4207f136bcf60df53f8f65ef701b8db0e0764131031d4efbf2ce8205ece3ce7bb876e62df01621c9d</t>
  </si>
  <si>
    <t>104945</t>
  </si>
  <si>
    <t>13-01-2026 10:50:58</t>
  </si>
  <si>
    <t>830113916</t>
  </si>
  <si>
    <t xml:space="preserve">Cooperativa De Profesionales Sanitas </t>
  </si>
  <si>
    <t>908f7cff0dbf0cf19d581b7900578238639fa232d1985309052d512c5f5eca1863022d766275455489cdb25ff17dbe31</t>
  </si>
  <si>
    <t>104946</t>
  </si>
  <si>
    <t>13-01-2026 10:51:03</t>
  </si>
  <si>
    <t>900171388</t>
  </si>
  <si>
    <t>Soluciones En Enfermeria Clinica SAS</t>
  </si>
  <si>
    <t>7a713604c96c0c2dd40224b563d2ef2cad22961f1d7189e0e6895f37273e8a8e9fe5ca1a9d6fba05e4d7aa9ee56f7dc2</t>
  </si>
  <si>
    <t>104947</t>
  </si>
  <si>
    <t>13-01-2026 10:51:07</t>
  </si>
  <si>
    <t>901108023</t>
  </si>
  <si>
    <t>Express Luck Colombia SAS</t>
  </si>
  <si>
    <t>7c34dd99a16194078fed3abffeabaa503a7d49c0266838b6a5e3ba2d31a1d90af5f68bddb3ff68206ad05c7121aa8b15</t>
  </si>
  <si>
    <t>104948</t>
  </si>
  <si>
    <t>13-01-2026 10:51:12</t>
  </si>
  <si>
    <t>890400246</t>
  </si>
  <si>
    <t>Industrias De Refrigeracion Comercial SA Indufrial SA Reorganizacion Empresarial</t>
  </si>
  <si>
    <t>FACTURA PAGA EN EL SISTEMA 26/02/2026</t>
  </si>
  <si>
    <t>42ec81564853e6c40f70ec645bc1c83ce7fd606d3414b9be3b2956a480e4f241e19f04c9ff58122e543c3939b703623b</t>
  </si>
  <si>
    <t>104949</t>
  </si>
  <si>
    <t>13-01-2026 11:06:23</t>
  </si>
  <si>
    <t>900208029</t>
  </si>
  <si>
    <t>Logytech Mobile SAS</t>
  </si>
  <si>
    <t>dd69da5f84c7ea17bd35b5a659c5c8afb67d3d14e3d4a97926081977a83de10ae2040059066c9ee8a884159d9153a36f</t>
  </si>
  <si>
    <t>104950</t>
  </si>
  <si>
    <t>13-01-2026 11:06:28</t>
  </si>
  <si>
    <t>830076652</t>
  </si>
  <si>
    <t>Cardionet Ltda</t>
  </si>
  <si>
    <t>a6c2ef4d266a617d13b7c4096bfdcb27420a923b096e632f7780db648a5f37aee1798790a10390630a1899bb624924ad</t>
  </si>
  <si>
    <t>104951</t>
  </si>
  <si>
    <t>13-01-2026 11:06:32</t>
  </si>
  <si>
    <t>94fc8598dececfbb72e3f536508f7debb4b7002d17ee8625a230ba89baa6118893ac42124997d8c6836f2b242cfdf334</t>
  </si>
  <si>
    <t>104952</t>
  </si>
  <si>
    <t>13-01-2026 12:07:02</t>
  </si>
  <si>
    <t>900396965</t>
  </si>
  <si>
    <t>Agroindustrial De Palma Aceitera SA Sucursal Colombia</t>
  </si>
  <si>
    <t>19736a43b35a0733ee77890c4fc2f77708d55d9ffc0c9d944faa9dd34dbe297cfd7d88c0989ea1f926cd5b71018224ce</t>
  </si>
  <si>
    <t>104953</t>
  </si>
  <si>
    <t>13-01-2026 12:07:07</t>
  </si>
  <si>
    <t>8256a685c47ca2fad4a6676494e1561dc8373aac2155cc8eaad5ae35d20ce8b35811561164c3ecda6d6337ee98869357</t>
  </si>
  <si>
    <t>104954</t>
  </si>
  <si>
    <t>13-01-2026 12:07:12</t>
  </si>
  <si>
    <t>PAGA EN SISTEMA 22/02/2026</t>
  </si>
  <si>
    <t>3a803f4a80a40e9ea809a20b0b5c47611b3cfb25bf35929e38bac63ba7ff806cb4f18c1c8d7a9c14b0ddb12a0461576f</t>
  </si>
  <si>
    <t>104955</t>
  </si>
  <si>
    <t>13-01-2026 12:07:17</t>
  </si>
  <si>
    <t>860010799</t>
  </si>
  <si>
    <t>Istituzione Leonardo Da Vinci</t>
  </si>
  <si>
    <t>f92890832100af5845f17623c6265d1ecb77dcf78384db4245b9ce7f12d6659042f6258e9969d6b874461fa20da2e337</t>
  </si>
  <si>
    <t>104956</t>
  </si>
  <si>
    <t>13-01-2026 12:07:21</t>
  </si>
  <si>
    <t>890106278</t>
  </si>
  <si>
    <t>Casa De La Valvula SAS</t>
  </si>
  <si>
    <t>94d8e37151bdb6e7648d587dd331290730d2eb65da73733eca32d3c0b8ae66dffc0264d85016f69969ef71ec631742fc</t>
  </si>
  <si>
    <t>104957</t>
  </si>
  <si>
    <t>13-01-2026 12:07:26</t>
  </si>
  <si>
    <t>900057522</t>
  </si>
  <si>
    <t>Mediawise Solutions SAS</t>
  </si>
  <si>
    <t>35cea5fdb4f8806e196a5351510ea6f6d95aa6aa9111b6e07c432975959b86463c12bb564000c0c87c7fa06638d551ea</t>
  </si>
  <si>
    <t>104958</t>
  </si>
  <si>
    <t>13-01-2026 12:07:30</t>
  </si>
  <si>
    <t>900284732</t>
  </si>
  <si>
    <t>Phd Colombia SAS</t>
  </si>
  <si>
    <t>6f8858ab2a9bb8f39535182a63c4a1d9d916690341208254daffcd5e054d7eb51626eb64f583de576feabe679fb62461</t>
  </si>
  <si>
    <t>104959</t>
  </si>
  <si>
    <t>13-01-2026 12:07:36</t>
  </si>
  <si>
    <t>830058056</t>
  </si>
  <si>
    <t>Omd Colombia SAS</t>
  </si>
  <si>
    <t>PAGA EN SISTEMA 27/01/2026</t>
  </si>
  <si>
    <t>b57bd5c67ca7e50bb4fa243784769c0c32df6ef601e0e8d15326bdccfd46acbe0e9af56fefac5a9abf92b626cfce8c13</t>
  </si>
  <si>
    <t>104960</t>
  </si>
  <si>
    <t>13-01-2026 12:22:47</t>
  </si>
  <si>
    <t>900407987</t>
  </si>
  <si>
    <t>Guacamaya Energy Services S A S</t>
  </si>
  <si>
    <t>695a4dc00137b985e3461790e83496f3aa93e5d8f901111802cb9b0bd00b42012da595312ead58647fdee4bad3e60783</t>
  </si>
  <si>
    <t>104961</t>
  </si>
  <si>
    <t>13-01-2026 12:22:51</t>
  </si>
  <si>
    <t>9a0d7a401f2daecc4b0006a5a8193b7f77bca014c63876c81c039e1755d4bce9a31bfb8db218b4fb806d85b8052f4e8e</t>
  </si>
  <si>
    <t>104962</t>
  </si>
  <si>
    <t>13-01-2026 12:22:56</t>
  </si>
  <si>
    <t>800159527</t>
  </si>
  <si>
    <t>Amadeus It Group Colombia SAS</t>
  </si>
  <si>
    <t>90742ca5077259b8dd5a181755f7010eeff8d7256adba185122c270c9c04cf64e1cb406c68942a716ccac1eb939b1be6</t>
  </si>
  <si>
    <t>104963</t>
  </si>
  <si>
    <t>13-01-2026 12:38:07</t>
  </si>
  <si>
    <t>890404383</t>
  </si>
  <si>
    <t>A Tiempo SAS</t>
  </si>
  <si>
    <t>4f435be04233f654168e4e8544d4e8373c8f7491f07053430361019f958ff9da4f150c9f71b5b59e48107156221557f7</t>
  </si>
  <si>
    <t>104964</t>
  </si>
  <si>
    <t>13-01-2026 12:53:21</t>
  </si>
  <si>
    <t>860055182</t>
  </si>
  <si>
    <t>Wsp Colombia SAS</t>
  </si>
  <si>
    <t>22c5c6c815057077360fd559a6c6f171df46c473f0e9012b98bd6939058f5391efe1fb0845d9d1b4baf4a9cdd04a9411</t>
  </si>
  <si>
    <t>104965</t>
  </si>
  <si>
    <t>13-01-2026 13:08:32</t>
  </si>
  <si>
    <t>830092963</t>
  </si>
  <si>
    <t>Superpolo SAS</t>
  </si>
  <si>
    <t>5c7c7dcde2460a52635869ecc0d7625f98afcab89e72666e94e2ed9c5148a5f84d75542e3e9f24f401f1555b2f4563a0</t>
  </si>
  <si>
    <t>104966</t>
  </si>
  <si>
    <t>13-01-2026 14:24:08</t>
  </si>
  <si>
    <t>900238800</t>
  </si>
  <si>
    <t>Asociacion Gremial Redeamerica</t>
  </si>
  <si>
    <t>a6e236e3a1dcc688a9c62363ae7d332d6fcefac922508b5deb999760b94bd8365c8dd04d08439567517db960ef2a602a</t>
  </si>
  <si>
    <t>104967</t>
  </si>
  <si>
    <t>13-01-2026 14:24:12</t>
  </si>
  <si>
    <t>901689684</t>
  </si>
  <si>
    <t>Fresenius Medical Care SAS</t>
  </si>
  <si>
    <t>c344b2f8a65ce3bb5cf07d735864406914e6d434096adb8901d7ae52ca494a56006bbfe3cc44752cad610f3c0c78ea35</t>
  </si>
  <si>
    <t>104968</t>
  </si>
  <si>
    <t>13-01-2026 14:54:35</t>
  </si>
  <si>
    <t>800085796</t>
  </si>
  <si>
    <t>Confecciones Industriales Suramerica SAS</t>
  </si>
  <si>
    <t>a37d05e5761c5cc878e67a4b938645f70435e5510fdb2145061644be8297c4a735141463791e2f35196253c668e11e7b</t>
  </si>
  <si>
    <t>104969</t>
  </si>
  <si>
    <t>13-01-2026 15:09:45</t>
  </si>
  <si>
    <t>765f6fc430e28ca932984f80bc71dd5e13f7901fe3172714c98827b754312fa658b5ddfdfe6bfaff945d23a5064868dc</t>
  </si>
  <si>
    <t>104970</t>
  </si>
  <si>
    <t>13-01-2026 15:09:50</t>
  </si>
  <si>
    <t>73b40585b8d93a6db369faa71e5f884dcf493bbab0db598952dd86a182da4495686fffda05ccf2255c081deca9cb2c74</t>
  </si>
  <si>
    <t>104971</t>
  </si>
  <si>
    <t>13-01-2026 15:09:55</t>
  </si>
  <si>
    <t>fab6a0fbd55e6016990b7f54cd19f63528df598f4d2169d0235745e0f61810ab9a4b7b2bc8d6f0bae49c2c25e5b47396</t>
  </si>
  <si>
    <t>104972</t>
  </si>
  <si>
    <t>13-01-2026 15:25:11</t>
  </si>
  <si>
    <t>800149496</t>
  </si>
  <si>
    <t>Colfondos SA Pensiones Y Cesantias</t>
  </si>
  <si>
    <t>e91dec4ce72e3af9fe3a943bf0a41c62a16dabadaac35dca3d6436a8245d4361a861b4d3f4c76413df36a74e77328345</t>
  </si>
  <si>
    <t>104973</t>
  </si>
  <si>
    <t>13-01-2026 15:25:17</t>
  </si>
  <si>
    <t>800120681</t>
  </si>
  <si>
    <t>Croydon Colombia SA</t>
  </si>
  <si>
    <t>220f73eb49aa953a7bc3943510e7713cb19cd898c2cd06535cadd9f6f21bd894cb33f1b5ad6a75851803d661b5faf4d7</t>
  </si>
  <si>
    <t>104974</t>
  </si>
  <si>
    <t>13-01-2026 15:25:21</t>
  </si>
  <si>
    <t>7d0cfad170ac37469ba945971fb919330093df6e112974fe0012356c1050223079e94f80aa8fd81156ad89483c31bc9f</t>
  </si>
  <si>
    <t>104975</t>
  </si>
  <si>
    <t>13-01-2026 15:40:32</t>
  </si>
  <si>
    <t>800170725</t>
  </si>
  <si>
    <t>Serenus Asesores De Seguros Ltda</t>
  </si>
  <si>
    <t>f62c424ea5bce9f78ad7e9d4e70fe26ec8867b163f0644730af5266209ee302c2acd7074d052b38b65a19b606e2a7398</t>
  </si>
  <si>
    <t>104976</t>
  </si>
  <si>
    <t>13-01-2026 15:55:51</t>
  </si>
  <si>
    <t>7a0c15cdd682510c8f0a175d970b55745c842539ab03c1e229e3dedd86bca31e9ed0530e51f1127640b56433a7963ac8</t>
  </si>
  <si>
    <t>104977</t>
  </si>
  <si>
    <t>13-01-2026 15:55:57</t>
  </si>
  <si>
    <t>b2477f4f0a7776e3601587f632d6d4909e6b2141549a40ad119ccfa12dadc7a333a3b5ccc9c0503678f7ff727c4e68bd</t>
  </si>
  <si>
    <t>104978</t>
  </si>
  <si>
    <t>13-01-2026 16:11:09</t>
  </si>
  <si>
    <t>095775a366447c04c5f867058fc3b2e1e9d13224cda5d536b3cec06f537e5a54f12fcb4fad58d13dabe8edb1681b8b7b</t>
  </si>
  <si>
    <t>104979</t>
  </si>
  <si>
    <t>14-01-2026</t>
  </si>
  <si>
    <t>14-01-2026 07:47:46</t>
  </si>
  <si>
    <t>901235816</t>
  </si>
  <si>
    <t>Zalt SAS</t>
  </si>
  <si>
    <t>3dc8ddbf047fd0bc5733d8cd906b1090efaedc2357d9b5ea3e1a90b14dde92cb24cb2dbd6493c38534f442499f42f934</t>
  </si>
  <si>
    <t>104980</t>
  </si>
  <si>
    <t>14-01-2026 07:47:50</t>
  </si>
  <si>
    <t>900132714</t>
  </si>
  <si>
    <t>Domat SAS</t>
  </si>
  <si>
    <t>c4d36519cccdee9c78b666a0122ad9772893a80d802fd45a144caf4431f01eecab8173dac0d04892e7d358c16dd5a426</t>
  </si>
  <si>
    <t>104981</t>
  </si>
  <si>
    <t>14-01-2026 07:47:55</t>
  </si>
  <si>
    <t>3b3847d616a5c7c8c04d17fe7696021c707fa932409ed541d7f5b363dad4eb07559c7fecf8ad06cc6972af646668739e</t>
  </si>
  <si>
    <t>104982</t>
  </si>
  <si>
    <t>14-01-2026 07:47:59</t>
  </si>
  <si>
    <t>860504410</t>
  </si>
  <si>
    <t>Industria Comercial De Alimentos Nutrix SAS</t>
  </si>
  <si>
    <t>dfa055453c20547c264c6dd7cfac161d552fa8d73b8dd502c486dfaaff5369b979570546b37382253eac93665c9090eb</t>
  </si>
  <si>
    <t>104983</t>
  </si>
  <si>
    <t>14-01-2026 07:48:04</t>
  </si>
  <si>
    <t>900582598</t>
  </si>
  <si>
    <t>Administradora Clinica La Colina S A S</t>
  </si>
  <si>
    <t>87cf171cbd9fefbc3a78423ea0c0196fe381f403ca75449d9e854f20062b7ccd635a01ce9ab0e90e1d7a64faa5ee4512</t>
  </si>
  <si>
    <t>104984</t>
  </si>
  <si>
    <t>14-01-2026 07:48:09</t>
  </si>
  <si>
    <t>860501145</t>
  </si>
  <si>
    <t>Duquesa SAS BIC</t>
  </si>
  <si>
    <t>24cd2ba5f68bac5ab224d07dddf52a3d4994ea57acb45b0e49e96a56a66cd0dc8d1127f8480875b1ece8750c50429935</t>
  </si>
  <si>
    <t>104985</t>
  </si>
  <si>
    <t>14-01-2026 08:03:19</t>
  </si>
  <si>
    <t>ece488cbeaf450958ff786db6117b049bc9762c92a4585c5489763b3268a0b8f8b7b7ad878319ca8e46de38912ffabab</t>
  </si>
  <si>
    <t>104986</t>
  </si>
  <si>
    <t>14-01-2026 08:03:24</t>
  </si>
  <si>
    <t>860024746</t>
  </si>
  <si>
    <t>Universidad Central</t>
  </si>
  <si>
    <t>91454e957b1755dde27bbc3536c519691e7f7c6effe4244e5bbcb3872b3e2cce6e8505b5f5a7fedc247336108957d1f5</t>
  </si>
  <si>
    <t>104987</t>
  </si>
  <si>
    <t>14-01-2026 08:03:29</t>
  </si>
  <si>
    <t>830120157</t>
  </si>
  <si>
    <t>Colombiana De Trasplantes SAS</t>
  </si>
  <si>
    <t>6ebc16b2a572fc58a4f6d18dd68f45aa85d479fe92411da36464875d5242fdcb3afb3828226bdaf1813a4ff560230909</t>
  </si>
  <si>
    <t>104988</t>
  </si>
  <si>
    <t>14-01-2026 08:03:34</t>
  </si>
  <si>
    <t>901749669</t>
  </si>
  <si>
    <t>UT Prepacol - 3T Capital</t>
  </si>
  <si>
    <t>e4316840c2a8703d18cb444eb7dec3e66fdf8505b1506238854030b609c9a08acad8304c3441eb8b1a8cbe207a9559ad</t>
  </si>
  <si>
    <t>104989</t>
  </si>
  <si>
    <t>14-01-2026 08:03:38</t>
  </si>
  <si>
    <t>830092675</t>
  </si>
  <si>
    <t>Axure Technologies SA</t>
  </si>
  <si>
    <t>f7f74c69e33a60f6572da9c4e970c20ef566bad101baa6ff9a3c4034990e17bfec2d063308dcf23e6463a809903f9d73</t>
  </si>
  <si>
    <t>104990</t>
  </si>
  <si>
    <t>14-01-2026 08:33:55</t>
  </si>
  <si>
    <t>d955cc3cdb46bc0e4c229107df8c7f2335df26193ae921927b66e77c0fa0eee528f5cecd9cac2551c5fda42763f7ba28</t>
  </si>
  <si>
    <t>104991</t>
  </si>
  <si>
    <t>14-01-2026 08:49:06</t>
  </si>
  <si>
    <t>900037743</t>
  </si>
  <si>
    <t>Linktic SAS</t>
  </si>
  <si>
    <t>27d2d902c76b844461453a12943be9f3c16c04faf47d5d8c7ce845af6afac729f927d0f75c37efd8efbf20327c996a8f</t>
  </si>
  <si>
    <t>104992</t>
  </si>
  <si>
    <t>14-01-2026 08:49:11</t>
  </si>
  <si>
    <t>PAGA EN SISTEMA 31/01/2026</t>
  </si>
  <si>
    <t>1e1cec3d8a258edec888935a4a9a1098e49f9b18bdbf6df19cfb3f8f3f67bd4064a58e22ce841c0e890a9fae4143f72b</t>
  </si>
  <si>
    <t>104993</t>
  </si>
  <si>
    <t>14-01-2026 09:19:29</t>
  </si>
  <si>
    <t>830106265</t>
  </si>
  <si>
    <t>Carboinsa SAS</t>
  </si>
  <si>
    <t>FACTURA PAGA EN EL SISTEMA 23/02/2026</t>
  </si>
  <si>
    <t>1cf5fb380140ce8fcf7eb8a8489ee1339cf0fb02b9f0333c35de49e124a0c1c8ebd88da2ff51c7d0db9697ea5a823b4b</t>
  </si>
  <si>
    <t>104994</t>
  </si>
  <si>
    <t>14-01-2026 09:19:34</t>
  </si>
  <si>
    <t>9f8c10990b8956e1c4fd044b0ef3144185d719746b08926daf9cdc90a6339a1cf7d615879667cd34ba14f97664365397</t>
  </si>
  <si>
    <t>104995</t>
  </si>
  <si>
    <t>14-01-2026 09:49:53</t>
  </si>
  <si>
    <t>830513773</t>
  </si>
  <si>
    <t>Applus Norcontrol Colombia Limitada</t>
  </si>
  <si>
    <t>58b435b6884255ace6d069b949733a48b11f3ecf40264b209cca018c41a98b095550ee23b53d87d54299fce6d3b22c4d</t>
  </si>
  <si>
    <t>104996</t>
  </si>
  <si>
    <t>14-01-2026 09:49:57</t>
  </si>
  <si>
    <t>27d6d5718db714b4e1d5953cf0cb16c29a2ca0072cd06eeab31ca0572b45c49594448dcf987bca0069e5d882219c94d1</t>
  </si>
  <si>
    <t>104997</t>
  </si>
  <si>
    <t>14-01-2026 10:05:09</t>
  </si>
  <si>
    <t>beb0674c654115ecd6565faa10d1e61e8ed14dc6d805824ee6b68f3057db4ebaf014fb17df77709534fa6d0beecb64fb</t>
  </si>
  <si>
    <t>104998</t>
  </si>
  <si>
    <t>14-01-2026 10:05:12</t>
  </si>
  <si>
    <t>1804ee10c55f2fe382a9681a89d7858c967231870dbc908dd7f3cd73906277a92c1758287976eef4cb75e525cfad20f6</t>
  </si>
  <si>
    <t>104999</t>
  </si>
  <si>
    <t>14-01-2026 10:05:17</t>
  </si>
  <si>
    <t>19f7dc87efccfdff5c0ee7a4ef77a1d494767d7f1eadb178fb552cf6391330449442b8017f855a55608951b690549db9</t>
  </si>
  <si>
    <t>105000</t>
  </si>
  <si>
    <t>14-01-2026 10:05:22</t>
  </si>
  <si>
    <t>38f4baee86831b0f3ec30ef8bd4406eb83be9d11e3c9a5c5b393682fd82d73643ed25203b9e8e6e6e3004b78e47a8d30</t>
  </si>
  <si>
    <t>105001</t>
  </si>
  <si>
    <t>14-01-2026 10:05:26</t>
  </si>
  <si>
    <t>a68e18e6396f35ec38d26701208fb95d2afd1bfc094e86643491aba8c8485cf03a16c1df101679632c8bd32be240fd5f</t>
  </si>
  <si>
    <t>105002</t>
  </si>
  <si>
    <t>14-01-2026 10:05:31</t>
  </si>
  <si>
    <t>b753dcdce3b965bc65d958b0b602c9293ef44bbfc4e7af16dea655f3fa9e98c5da621c7897fa36500fd52179eeaf5860</t>
  </si>
  <si>
    <t>105003</t>
  </si>
  <si>
    <t>14-01-2026 10:05:35</t>
  </si>
  <si>
    <t>adb6c008a195f56240a29d1b9035fb32e06a03fce074c9caa2daf9893d936262ba3b6d422a310854568366f3d4f78441</t>
  </si>
  <si>
    <t>14-01-2026 10:20:47</t>
  </si>
  <si>
    <t>fb8b32bd261ed2502a01806f9665ac4b7838b6678f879fec2425937374cfe107054c75406476ed72b94d7fb4bd47b826</t>
  </si>
  <si>
    <t>105005</t>
  </si>
  <si>
    <t>14-01-2026 10:20:52</t>
  </si>
  <si>
    <t>PAGA EN EL SISTEMA2/03/2026</t>
  </si>
  <si>
    <t>255b73bdc40ac2344da83854b9d548965a62d89d025b6e97b0d922994c357266f6585e12fe5a3e17b1928ae28f8aca9d</t>
  </si>
  <si>
    <t>105006</t>
  </si>
  <si>
    <t>14-01-2026 10:20:57</t>
  </si>
  <si>
    <t>860517423</t>
  </si>
  <si>
    <t>Castro Y Rincon SAS</t>
  </si>
  <si>
    <t>de79fbaa3a5d9a76d1cd57437814c2452c0ef5e92c54d2a50c9115115d173409fe8143754126c850b20f6bc696aa894a</t>
  </si>
  <si>
    <t>105007</t>
  </si>
  <si>
    <t>14-01-2026 10:21:01</t>
  </si>
  <si>
    <t>440de58e17e138a28548cc1aa82e556e50629da265fbc9818aa2b0a763ed02059278999a9071f14eaa8add6e59c00916</t>
  </si>
  <si>
    <t>105008</t>
  </si>
  <si>
    <t>14-01-2026 10:37:00</t>
  </si>
  <si>
    <t>901804480</t>
  </si>
  <si>
    <t>Breakfast Tbl SAS</t>
  </si>
  <si>
    <t>15f454d4340d1c5b29cf55db3e090c80cfce7235567a38d51e3fe776b866567c3daed0c8219c1c4ed5dc96428d7e8f95</t>
  </si>
  <si>
    <t>105009</t>
  </si>
  <si>
    <t>14-01-2026 10:37:02</t>
  </si>
  <si>
    <t>830017184</t>
  </si>
  <si>
    <t>Puffer Colombia</t>
  </si>
  <si>
    <t>bbd2ffaf55c66b69ca6dc41f9d3f85658bd83d7e4cb96d592941abb3d19cf343f50e4a18213d3e8f6f258386eb427875</t>
  </si>
  <si>
    <t>105010</t>
  </si>
  <si>
    <t>14-01-2026 11:06:45</t>
  </si>
  <si>
    <t>901038027</t>
  </si>
  <si>
    <t>Convergint Colombia Servicios De Integración SAS</t>
  </si>
  <si>
    <t>6fe76be24c50fc2cb855a0a3276029b3242384cf59170ff28889cea883b3067d562765e96a68d2d1cbe3fafa1762422c</t>
  </si>
  <si>
    <t>105011</t>
  </si>
  <si>
    <t>14-01-2026 11:07:15</t>
  </si>
  <si>
    <t>1007703447</t>
  </si>
  <si>
    <t>Ivon Andrea Sanabria Romero</t>
  </si>
  <si>
    <t>887481df7e9a36b2cb5abdc7828308bf31cb1745f95b94501e1d670dd333405bbd9f4dffeb0b78702d09ba4827f0c580</t>
  </si>
  <si>
    <t>105012</t>
  </si>
  <si>
    <t>14-01-2026 11:21:52</t>
  </si>
  <si>
    <t>161eaccbc7531b8f9e14e4026aa0d5940e08d7f22a3d38e036fb9c40900a0f3e74bc44c44837af2c000d63918f1b7876</t>
  </si>
  <si>
    <t>105013</t>
  </si>
  <si>
    <t>14-01-2026 11:52:15</t>
  </si>
  <si>
    <t>860050750</t>
  </si>
  <si>
    <t>Banco Gnb Sudameris S A</t>
  </si>
  <si>
    <t>6baed98ce86bb2cc173c8d6d5d31672b0f4a41cc74930b68a236eef708f4a385c92e8c9c36ff53355bc7c10918da2055</t>
  </si>
  <si>
    <t>105014</t>
  </si>
  <si>
    <t>14-01-2026 11:52:20</t>
  </si>
  <si>
    <t>2dad9a0cd3efd521f50b0d2d57aec0e0ef86541e43cfeb66f39636e94ae7280fb3a9bf4ac7b2e89985b6f19aaf12086e</t>
  </si>
  <si>
    <t>105015</t>
  </si>
  <si>
    <t>14-01-2026 11:52:24</t>
  </si>
  <si>
    <t>32ba9cc493b380a8a8e05d8e683e786990f2215f4d0ea1abb63cfea5603467b10709b1ac2996296f5a7b6552692080e6</t>
  </si>
  <si>
    <t>105016</t>
  </si>
  <si>
    <t>14-01-2026 11:52:29</t>
  </si>
  <si>
    <t>c3814ce9720e7f47737d3ba3e9f4bc1e6ef2346d79778f5fbda0b8a00b8403989562527da2a93b90e2d5d6f49134eba6</t>
  </si>
  <si>
    <t>105017</t>
  </si>
  <si>
    <t>14-01-2026 11:52:38</t>
  </si>
  <si>
    <t>899999123</t>
  </si>
  <si>
    <t>Fundacion Hospital De La Misericordia</t>
  </si>
  <si>
    <t>63e0a85e4f1313b74300c0a6c24732c36028930947819eca4dd3b8f6a97c6e68860efb5381960763ecc4afc886418700</t>
  </si>
  <si>
    <t>105018</t>
  </si>
  <si>
    <t>14-01-2026 11:52:43</t>
  </si>
  <si>
    <t>830047411</t>
  </si>
  <si>
    <t>Kata SAS</t>
  </si>
  <si>
    <t>PAGA EN EL SISTEMA 17/02/2026</t>
  </si>
  <si>
    <t>9f5f9156984343361374306b3bb39e97eefb124f1968ee9f515d30834de9b07c9fd14b66697fee40a5cb24e7a104dbe4</t>
  </si>
  <si>
    <t>105019</t>
  </si>
  <si>
    <t>14-01-2026 11:52:47</t>
  </si>
  <si>
    <t>860510863</t>
  </si>
  <si>
    <t>Inverleoka SAS</t>
  </si>
  <si>
    <t>a9844f0d5779d6a2b9b08e63a52204dbdfee57b87fa5cfdd54b96caef3a68e9608f11f0fcb1b61be6958a59d406c4544</t>
  </si>
  <si>
    <t>105020</t>
  </si>
  <si>
    <t>14-01-2026 12:08:00</t>
  </si>
  <si>
    <t>800245067</t>
  </si>
  <si>
    <t>Fundacion Keralty</t>
  </si>
  <si>
    <t>e298371b17313762e382899ed673fe7a246edb50e58e87431f83a2365000e4405daf22dce1643bfb8766c36d0e7775f9</t>
  </si>
  <si>
    <t>14-01-2026 12:08:04</t>
  </si>
  <si>
    <t>900060799</t>
  </si>
  <si>
    <t>Idemia Identity &amp; Security Sucursal Colombia</t>
  </si>
  <si>
    <t>0c26db48ea70629954a890ae7e21b3ae3c27ca94b25a110715f22b99ea4f88a6d7833711dd0712a2ba9b07bffa1dc4f2</t>
  </si>
  <si>
    <t>105022</t>
  </si>
  <si>
    <t>14-01-2026 12:08:09</t>
  </si>
  <si>
    <t>860503634</t>
  </si>
  <si>
    <t>Fundacion Universitaria San Martin</t>
  </si>
  <si>
    <t>75c728eb8937d3276b74b9701eb48190019f239ffb4e354b2e538bcdc8656a53491337a85ba8f45f11f54ac356c2a596</t>
  </si>
  <si>
    <t>105023</t>
  </si>
  <si>
    <t>14-01-2026 12:08:13</t>
  </si>
  <si>
    <t>e1025845269881c142e895e435fd698bc75420ca025ed0531f90a4466330e2b8c9c87c05077d7f6083d9766278a62cf2</t>
  </si>
  <si>
    <t>105024</t>
  </si>
  <si>
    <t>14-01-2026 12:23:24</t>
  </si>
  <si>
    <t>2745ab75c5aa880d3b2eea2e5b76604269bf2d7016aa25c28a9723546f17566a6970c950eebdfd581e0780a43867742d</t>
  </si>
  <si>
    <t>105025</t>
  </si>
  <si>
    <t>14-01-2026 12:38:35</t>
  </si>
  <si>
    <t>77e5b4d77a2830330692bb1f1c7590a98d0d9de97fc7412226c362922101aa3f25f133c4e9a9d0a5332e39f89d5af51b</t>
  </si>
  <si>
    <t>105026</t>
  </si>
  <si>
    <t>14-01-2026 12:38:39</t>
  </si>
  <si>
    <t>800077635</t>
  </si>
  <si>
    <t>LM Instruments SA</t>
  </si>
  <si>
    <t>06c32674a933aecd152a86e0cc0c27173e32a71735cd8bc4731ff0fa052731129f616ee499eba4c1b72ba472011f92ce</t>
  </si>
  <si>
    <t>105027</t>
  </si>
  <si>
    <t>14-01-2026 12:38:44</t>
  </si>
  <si>
    <t>890903938</t>
  </si>
  <si>
    <t>Bancolombia SA</t>
  </si>
  <si>
    <t>0bc431259c5165a598bf560976786eabac3e194c43cebe141a65bbdbcd365c320af191d69cb426dd74ac331ffef6c00e</t>
  </si>
  <si>
    <t>105028</t>
  </si>
  <si>
    <t>14-01-2026 12:38:48</t>
  </si>
  <si>
    <t>860037707</t>
  </si>
  <si>
    <t>SBS Seguros Colombia SA</t>
  </si>
  <si>
    <t>074505f8a2bf2e77aca9cf7b37c5d5dbb34d0c238f0d7d0953070f7dab5f8fef3134659412d17c3572095a53272a0003</t>
  </si>
  <si>
    <t>105029</t>
  </si>
  <si>
    <t>14-01-2026 12:38:55</t>
  </si>
  <si>
    <t>68822b0041e3002d123bb152e1dbf62051ac1b558b1638336e1729168f63e82dd3f8c2590f864e9edb2ebac910108e5d</t>
  </si>
  <si>
    <t>105030</t>
  </si>
  <si>
    <t>14-01-2026 12:54:06</t>
  </si>
  <si>
    <t>800005255</t>
  </si>
  <si>
    <t>Ultra Seguridad Limitada</t>
  </si>
  <si>
    <t>2de9121a6b951b55eb2c1a1c0ef82004f48ad7df994cfa748085993b35ab203a37f36722465dfc8ea74d4da44f05b779</t>
  </si>
  <si>
    <t>105031</t>
  </si>
  <si>
    <t>14-01-2026 12:54:10</t>
  </si>
  <si>
    <t>9c15d29a06fd89389ee7f729af2ae3d6e40365b8a4ab021eb36d49255e2a4ec6e7921044cf7598997e2b447584affe48</t>
  </si>
  <si>
    <t>105032</t>
  </si>
  <si>
    <t>14-01-2026 12:54:16</t>
  </si>
  <si>
    <t>860039333</t>
  </si>
  <si>
    <t>Procibernetica SA</t>
  </si>
  <si>
    <t>121f23ea8e293cb6b2904ca4beb016cac733a4ebf54680ec89913aea366a2bed3924415bcdd88ac7005f83f5467f7855</t>
  </si>
  <si>
    <t>105033</t>
  </si>
  <si>
    <t>14-01-2026 14:40:06</t>
  </si>
  <si>
    <t>c483f0f36ec98af2255972df90e8f50b67b62f74772b0f208dfe8915a96d433476ad04da6f782040b2a788777e7f7ee3</t>
  </si>
  <si>
    <t>105034</t>
  </si>
  <si>
    <t>14-01-2026 14:55:17</t>
  </si>
  <si>
    <t>900270701</t>
  </si>
  <si>
    <t>BR Group SA</t>
  </si>
  <si>
    <t>b5aa72ade11732251bcfb26211b236fb45c25a6c010ecaa7b46158ad913d2d98b2a345ea7aa2a901a709e5a6a1293fd8</t>
  </si>
  <si>
    <t>105035</t>
  </si>
  <si>
    <t>14-01-2026 15:11:12</t>
  </si>
  <si>
    <t>900216225</t>
  </si>
  <si>
    <t>Soldaduras West Arco SAS</t>
  </si>
  <si>
    <t>8cb3d2071c8fe73177b7e66b92cc19fbdfef371e2f04d3f60fd2cbb592a16ace5d8866517ea1c4429845097468be144e</t>
  </si>
  <si>
    <t>105036</t>
  </si>
  <si>
    <t>14-01-2026 15:25:39</t>
  </si>
  <si>
    <t>860006754</t>
  </si>
  <si>
    <t>Corporacion Cultural Alexander Von Humboldt Deutscher Schulverein</t>
  </si>
  <si>
    <t>11055f2a06e82f1334f53e79c326656aecaac57f69fc222c7e23f7b89d03b8ded40eb60e5a111428e38b75ebdfc3d31d</t>
  </si>
  <si>
    <t>105037</t>
  </si>
  <si>
    <t>14-01-2026 15:57:14</t>
  </si>
  <si>
    <t>860015905</t>
  </si>
  <si>
    <t>Clinica Nuestra Señora De La Paz</t>
  </si>
  <si>
    <t>ecae7326189656fad910c12951fdd2e505f196a5d1a656b60066ef46fad2a464371868fa6052be50e874798d4f31c845</t>
  </si>
  <si>
    <t>105038</t>
  </si>
  <si>
    <t>14-01-2026 15:57:12</t>
  </si>
  <si>
    <t>cf191135331243d1ba314a9c02a2428716f7962c5b03599c240a88f4030fc2ac334adc21f6a4cfe164378484be13df32</t>
  </si>
  <si>
    <t>105039</t>
  </si>
  <si>
    <t>15-01-2026</t>
  </si>
  <si>
    <t>15-01-2026 07:32:47</t>
  </si>
  <si>
    <t>830128434</t>
  </si>
  <si>
    <t>Weg Colombia S A S</t>
  </si>
  <si>
    <t>57358facde294e2cdc6ecf4a9f5195d576909e0c850ea59391636d51a3355edcc7d37c248b686886af9b6e4b80211445</t>
  </si>
  <si>
    <t>105040</t>
  </si>
  <si>
    <t>15-01-2026 07:32:52</t>
  </si>
  <si>
    <t>71cbfeebecb2a3b94e9bdf72c7d094241e4586d1b4498e0ce7bc7315ceaaa4930a513362e09be9bc8e81cc8e7f2dbb84</t>
  </si>
  <si>
    <t>105041</t>
  </si>
  <si>
    <t>15-01-2026 07:32:56</t>
  </si>
  <si>
    <t>900937674</t>
  </si>
  <si>
    <t>95/24 Colombia SAS</t>
  </si>
  <si>
    <t>b3ab7b955ba97372a7e86722a7458b20213aeb4dc9ea9dec573aedcebcf6687e41633da121d1ce7b39d4a5c328a6e148</t>
  </si>
  <si>
    <t>105042</t>
  </si>
  <si>
    <t>15-01-2026 07:33:03</t>
  </si>
  <si>
    <t>a5655fc90c081e3170aa6ba7b1591be0f22924b13e165ad0186ecf0490921da8eba9684ce96a1db96dcc9b5f2995b5db</t>
  </si>
  <si>
    <t>105043</t>
  </si>
  <si>
    <t>15-01-2026 07:33:06</t>
  </si>
  <si>
    <t>75cfd8f3444ddf6ef6bd562c0ba16129431cf74f7ad18d1c0dc4f5eedc1486537f6a405d9c26e5a7caa08e7d861a05e6</t>
  </si>
  <si>
    <t>105044</t>
  </si>
  <si>
    <t>15-01-2026 07:48:18</t>
  </si>
  <si>
    <t>900200435</t>
  </si>
  <si>
    <t>Cardif Colombia Seguros Generales SA</t>
  </si>
  <si>
    <t>f8df762f65598b2cc4fb16822754fcc3c3b094bfba1aa22a090ba37e7e211409c55a8237e3689d27660806c6c58be187</t>
  </si>
  <si>
    <t>105045</t>
  </si>
  <si>
    <t>15-01-2026 07:48:23</t>
  </si>
  <si>
    <t>860002503</t>
  </si>
  <si>
    <t>Compañia De Seguros Bolivar SA</t>
  </si>
  <si>
    <t>7689c4bd69b9394bb9b8659db3f5e9c1b4d75dc3f4467cbfc5db630de4dce941ddfd60cf6107a2e59bc9cbb0a9fa3de5</t>
  </si>
  <si>
    <t>105046</t>
  </si>
  <si>
    <t>15-01-2026 07:48:27</t>
  </si>
  <si>
    <t>860030839</t>
  </si>
  <si>
    <t>Dorfan SAS</t>
  </si>
  <si>
    <t>32cb66fbfdb3beaefcae08d5425684e51616ebac3d27b00fef653c4f3fd7bf1bf7eb9efbb9aedfe2aa9f13ed62f55574</t>
  </si>
  <si>
    <t>105047</t>
  </si>
  <si>
    <t>15-01-2026 08:03:38</t>
  </si>
  <si>
    <t>976acae892ec319fc943f683cf69b2b0384af987b05edc6502f1af0f8043280347757f99e641f9b93e99270ffc9a7cb5</t>
  </si>
  <si>
    <t>105048</t>
  </si>
  <si>
    <t>15-01-2026 08:03:43</t>
  </si>
  <si>
    <t>860403251</t>
  </si>
  <si>
    <t>Exportaciones Internacionales De Cargas  S A S</t>
  </si>
  <si>
    <t>cf4e3ad1960f49fdfd16a5f146f5d12cef32a93815ac5d0008427d62048191abad657095d9a5883bdf7c6fa9543f2007</t>
  </si>
  <si>
    <t>105049</t>
  </si>
  <si>
    <t>15-01-2026 08:04:46</t>
  </si>
  <si>
    <t>b392f37ca9d8680c8ff4c655c09e77e45048e1123e3461e14ccb7ce114233c7f5951c49d5ccf3871c3add1184d2bcfc5</t>
  </si>
  <si>
    <t>105050</t>
  </si>
  <si>
    <t>15-01-2026 08:04:52</t>
  </si>
  <si>
    <t>cf57c32a11cde8ccd52179d45d101b1a424444e288ce7d1365fc91634ccda627cb12fe94322425e1ae5b80a53b721608</t>
  </si>
  <si>
    <t>105051</t>
  </si>
  <si>
    <t>8b7297627d0c97e54ebbc7213b657be4d1f6f26f905909f1e7f5d34c0d7cb969baea9cb61eef93d8e15c2a0914b9700f</t>
  </si>
  <si>
    <t>105052</t>
  </si>
  <si>
    <t>900518732</t>
  </si>
  <si>
    <t>Samsonite Colombia SAS</t>
  </si>
  <si>
    <t>d767245130f1f84d7162ba9de2fce99692379f36896d88464c474954fb854c5b6bdb2a1f44efd0b753d830a7424e8798</t>
  </si>
  <si>
    <t>105053</t>
  </si>
  <si>
    <t>15-01-2026 08:04:48</t>
  </si>
  <si>
    <t>860002180</t>
  </si>
  <si>
    <t>Seguros Comerciales Bolivar SA</t>
  </si>
  <si>
    <t>437ef74c290a93305ebf8a8a5d9c7fc4a2b448c14a53760f0d4e3f6cbf10c646d66b421145db3dceaf74de8b81ec857a</t>
  </si>
  <si>
    <t>105054</t>
  </si>
  <si>
    <t>15-01-2026 08:20:10</t>
  </si>
  <si>
    <t>860513247</t>
  </si>
  <si>
    <t>Industrial Hotelera Y Alimentos SAS Dialimentos SAS</t>
  </si>
  <si>
    <t>28d0cbde9d4c6ce5c79425a935f6ddeb6eeb56480693bc10259708dcf30151f8c3c1dbcdc3c06ae62769173f4e9d13b6</t>
  </si>
  <si>
    <t>105055</t>
  </si>
  <si>
    <t>15-01-2026 08:20:12</t>
  </si>
  <si>
    <t>8102386</t>
  </si>
  <si>
    <t>Juan Camilo Velasquez Graciano</t>
  </si>
  <si>
    <t>dc913f9d142067a18517ed2b3b8efffb7037a118d8bfa687dcf83ec92c393b0985c712222ccee9c73a5f7f0f935d6a75</t>
  </si>
  <si>
    <t>105056</t>
  </si>
  <si>
    <t>15-01-2026 08:20:15</t>
  </si>
  <si>
    <t>900185315</t>
  </si>
  <si>
    <t>Operadora Colombiana De Cines SAS</t>
  </si>
  <si>
    <t>f40d7c77c53fa0804f20564c828240cc473528a35d680e53c771eb18dc4cf7ff67724e826c0dcbdea23035e074533150</t>
  </si>
  <si>
    <t>105057</t>
  </si>
  <si>
    <t>15-01-2026 08:21:33</t>
  </si>
  <si>
    <t>800013536</t>
  </si>
  <si>
    <t>Maba SAS</t>
  </si>
  <si>
    <t>30aadb9d1605f8d4fa067430560257879050eb58892822fcb1c30f0de95030c408c812964b3e1ae744f0aa38b320a6a4</t>
  </si>
  <si>
    <t>105058</t>
  </si>
  <si>
    <t>860524513</t>
  </si>
  <si>
    <t>Mullen Lowe Ssp3 SAS</t>
  </si>
  <si>
    <t>bae031eedcdbc073fd661469971014f5ca8bc0e283f7bd02b292aaa2ea65c48e832f36fe21c9da09cb071cddad24d474</t>
  </si>
  <si>
    <t>105059</t>
  </si>
  <si>
    <t>cae74af8693f39a69366f79c84cf8baf078994333851d06d4a01be0cdcd6b6a6d56bf50df6a565e857b32a5bd3f8a790</t>
  </si>
  <si>
    <t>105060</t>
  </si>
  <si>
    <t>15-01-2026 08:20:18</t>
  </si>
  <si>
    <t>e55b727b1fa8a3736fa8f6d62fb4136f550a8186eef8e1437aced5d6ff7fc71731e2b89e13b1017e2fe72cabad354e77</t>
  </si>
  <si>
    <t>105061</t>
  </si>
  <si>
    <t>15-01-2026 08:20:19</t>
  </si>
  <si>
    <t>80561694dd739ed0606d03c2594ebe9f26fb49a194535ba6aebbf9431103c383fa4ae5014d3cba29011201f513578f5e</t>
  </si>
  <si>
    <t>105062</t>
  </si>
  <si>
    <t>15-01-2026 08:36:34</t>
  </si>
  <si>
    <t>830027574</t>
  </si>
  <si>
    <t>Tivit Colombia Tercerizacion De Procesos Servicios Y Tecnologia SAS</t>
  </si>
  <si>
    <t>d1424ca000936ec8e4198315a082aad258819e0c637b02723fd6693b366cfb5076e74a7ccb71586f7dd92faa81fa5d18</t>
  </si>
  <si>
    <t>105063</t>
  </si>
  <si>
    <t>b684e440f77262cbb96b122b5028fcffaf3b3e557e9b962672e4fcf4fca3ebe3b9aa72efcc60b19dd756c925f78c98d3</t>
  </si>
  <si>
    <t>105064</t>
  </si>
  <si>
    <t>15-01-2026 08:36:33</t>
  </si>
  <si>
    <t>a36d50c7b92c1a769c04108eea775499c4b720ca1369499a747a5a50c58562582a7d52b0415422fd73e53d3d72a6d094</t>
  </si>
  <si>
    <t>105065</t>
  </si>
  <si>
    <t>15-01-2026 08:36:32</t>
  </si>
  <si>
    <t>0c42ecba6f6e15e3120bd14e289b2ed18694cfd89b4d2894efab699a4ec005251233ac711a877d53d42939108cc4940e</t>
  </si>
  <si>
    <t>105066</t>
  </si>
  <si>
    <t>15-01-2026 08:50:27</t>
  </si>
  <si>
    <t>36615fce5e647884b6708e00691b9e261fbacb3f83230e4bc721a912e5b31352b4383a1b93205975cc1988db9cd7fe7e</t>
  </si>
  <si>
    <t>105067</t>
  </si>
  <si>
    <t>15-01-2026 09:05:38</t>
  </si>
  <si>
    <t>860059851</t>
  </si>
  <si>
    <t>ACI Proyectos SAS</t>
  </si>
  <si>
    <t>7baec53c2601eeb7a85ba56ace1f65853873c13d322edfe336020dee226cf19c2ab710e2edaa5612b9446c734bc6d33a</t>
  </si>
  <si>
    <t>105068</t>
  </si>
  <si>
    <t>15-01-2026 09:05:43</t>
  </si>
  <si>
    <t>830014825</t>
  </si>
  <si>
    <t>Papeles Primavera S A S</t>
  </si>
  <si>
    <t>5e61a9c2255401736a8d1a30ada68f813dfd20d89985fc5373946d9a7cc8aa237957f2c30bcca25ee505471c723a3740</t>
  </si>
  <si>
    <t>105069</t>
  </si>
  <si>
    <t>15-01-2026 09:05:48</t>
  </si>
  <si>
    <t>900226975</t>
  </si>
  <si>
    <t xml:space="preserve">Saexploration Inc Sucursal Colombia </t>
  </si>
  <si>
    <t>e8e6d2b67167a9f122acfbed4147fcb9efcae390f9c3008ededa2e97880f83734efc9148b480cbb41d870655885145e3</t>
  </si>
  <si>
    <t>105070</t>
  </si>
  <si>
    <t>15-01-2026 09:21:00</t>
  </si>
  <si>
    <t>61833ae65d2973b5fc516ef60e355a735692589551b8abf7e97366a96ec16cbdc9114c9a85a5199993eedebb767277dd</t>
  </si>
  <si>
    <t>105071</t>
  </si>
  <si>
    <t>15-01-2026 09:51:31</t>
  </si>
  <si>
    <t>860008018</t>
  </si>
  <si>
    <t>Estudios Tecnicos SAS</t>
  </si>
  <si>
    <t>9d27c797ddf0cfd62c204db9f739ea78f6b4ca36c356d165ad407369d930ef5be652084e8c810c538bd5bb623782f905</t>
  </si>
  <si>
    <t>105072</t>
  </si>
  <si>
    <t>15-01-2026 09:51:37</t>
  </si>
  <si>
    <t>3a0ae6725cca8cb6d772692a0aa5028735c5b5094b31d0f2a725a8d3c620d4f7921f8c3a4e1964d263bbe86d14442095</t>
  </si>
  <si>
    <t>105073</t>
  </si>
  <si>
    <t>15-01-2026 09:51:45</t>
  </si>
  <si>
    <t>65f8f709d27c404026bb5798ee75ec9cc3ad359b649b8b292ccca54f5fb20e28beb401cc91961f2feea793b4847de559</t>
  </si>
  <si>
    <t>105074</t>
  </si>
  <si>
    <t>15-01-2026 10:09:31</t>
  </si>
  <si>
    <t>2c86d255f47f2072be045384f95769ab179fb097eb038e0ae87b1e6568752875c72a1ea68d3854c17aaf003cf502e61b</t>
  </si>
  <si>
    <t>105075</t>
  </si>
  <si>
    <t>15-01-2026 10:32:24</t>
  </si>
  <si>
    <t>FACTURA PAGA EN EL SISTEMA 24/02/2026</t>
  </si>
  <si>
    <t>7f9826880b1c20e6f52b9d658c017ae42e2f7ee97c3b4fdaba2c844792d38c273e9e68944214564d5f0cf71b9359bd20</t>
  </si>
  <si>
    <t>105076</t>
  </si>
  <si>
    <t>15-01-2026 10:31:25</t>
  </si>
  <si>
    <t>e6696448fb04005c107fcab7a995da9b4e579cb0901543b65f8aaa451478f4e39d2caa98a9f9771ab402ee06961c74fe</t>
  </si>
  <si>
    <t>105077</t>
  </si>
  <si>
    <t>15-01-2026 10:31:28</t>
  </si>
  <si>
    <t>191b135cc86269c4f1568c021c6ddafe7656a065871005b58e2a2217902ac277f973aaaade6e112475f4d102b6209c27</t>
  </si>
  <si>
    <t>105078</t>
  </si>
  <si>
    <t>15-01-2026 10:43:59</t>
  </si>
  <si>
    <t>23317fc35bc43fbc037c5f1076f50929e0978162ddc84fda9deed2281c2639a96ffba0ede0b4834ca866b04bec606c7f</t>
  </si>
  <si>
    <t>105079</t>
  </si>
  <si>
    <t>15-01-2026 10:44:00</t>
  </si>
  <si>
    <t>PAGA EN SISTEMA 2/02/2026</t>
  </si>
  <si>
    <t>2f3828ab5597a09b620d19f29ede9b81ce3de50b302be32d0cda8daddd259a77ccdfd8ae97128985d5c2e99128b30f83</t>
  </si>
  <si>
    <t>105080</t>
  </si>
  <si>
    <t>15-01-2026 10:55:31</t>
  </si>
  <si>
    <t>860028415</t>
  </si>
  <si>
    <t xml:space="preserve">La Equidad Seguros Generales Organismo Cooperativo </t>
  </si>
  <si>
    <t>53b094ed53b305d5f75c973c6a403c613a563c0b9df9565f61645c75aadd80071e47a6b32599201feae2cd53306be3b2</t>
  </si>
  <si>
    <t>105081</t>
  </si>
  <si>
    <t>15-01-2026 10:55:34</t>
  </si>
  <si>
    <t>860053966</t>
  </si>
  <si>
    <t>Flores Tiba SA</t>
  </si>
  <si>
    <t>27511a28e267d3582b3d3b6bb734a37082f1b6d2f2e2652d871cd34c9a62ea9a5f01e3a4d24fb355348a8e003a8a9220</t>
  </si>
  <si>
    <t>105082</t>
  </si>
  <si>
    <t>15-01-2026 11:08:06</t>
  </si>
  <si>
    <t>cc3772f2339e175dea493850fab354ce45f91b05e8934a00ca2d8e5b7da8bebe22cbe9069ade207ac410033ab8056290</t>
  </si>
  <si>
    <t>105083</t>
  </si>
  <si>
    <t>15-01-2026 11:08:25</t>
  </si>
  <si>
    <t>17f0208cef826143dd02a710cafdc4c6c7bd53ea43d90ddfbe16bf8ca4eadf173f95d784938f20283b7faba47afffa34</t>
  </si>
  <si>
    <t>105084</t>
  </si>
  <si>
    <t>15-01-2026 11:08:16</t>
  </si>
  <si>
    <t>860031462</t>
  </si>
  <si>
    <t>Nardiplast SAS</t>
  </si>
  <si>
    <t>4b4c0d98969069c82f0513999f7190a0d3e44168545916d6efa82bce440b0174177daccc512837c92ba070dcc1000f3d</t>
  </si>
  <si>
    <t>105085</t>
  </si>
  <si>
    <t>15-01-2026 11:23:26</t>
  </si>
  <si>
    <t>f6dc78dc3df8dd17cbfd8e6e3ed832dde96a7d4b070c989cd34740e015cc43c1e1f501a4b215ac49825ada0e9e89a6cd</t>
  </si>
  <si>
    <t>105086</t>
  </si>
  <si>
    <t>15-01-2026 11:23:31</t>
  </si>
  <si>
    <t>830013819</t>
  </si>
  <si>
    <t>Cas Colombo American School SAS</t>
  </si>
  <si>
    <t>d05bd60473def5b868441bc0427a0ccb42e8700abf968e8c62a3c32baaf048fb7539137ff4d06f613769bf3c96794564</t>
  </si>
  <si>
    <t>105087</t>
  </si>
  <si>
    <t>15-01-2026 11:23:35</t>
  </si>
  <si>
    <t>PAGA EN EL SISTEMA 13/02/2026</t>
  </si>
  <si>
    <t>79e59c09b48dd5903cf1a8bfb9c2dbab19fdbfe23d5f15ba7f9f379934a0f97b06203672f3e7c1e96a22abd08629f98f</t>
  </si>
  <si>
    <t>105088</t>
  </si>
  <si>
    <t>15-01-2026 11:23:40</t>
  </si>
  <si>
    <t>84e73ed83984dd8d38c51f834b5a91d8f04d11b820402439e12e5160f0587b55368032c4f91e3f24eb5e506e024ff5bc</t>
  </si>
  <si>
    <t>105089</t>
  </si>
  <si>
    <t>15-01-2026 11:23:45</t>
  </si>
  <si>
    <t>860020058</t>
  </si>
  <si>
    <t>Distribuidora Toyota SAS</t>
  </si>
  <si>
    <t>e2783cc95ddd0fe47460b322969fe1e1bd7767ced9dbb4b0723d0a7a867f19966550a2f92bc6a82eb1b2d40145f48781</t>
  </si>
  <si>
    <t>105090</t>
  </si>
  <si>
    <t>15-01-2026 11:38:56</t>
  </si>
  <si>
    <t>860078622</t>
  </si>
  <si>
    <t>Ransa Colombia SAS</t>
  </si>
  <si>
    <t>73923949d9766813ebceced93183a6d1f0d9cea824c86dd02764a7b5990d154d263e1b37f6492a4515f7811df7f77ecf</t>
  </si>
  <si>
    <t>105091</t>
  </si>
  <si>
    <t>15-01-2026 11:39:00</t>
  </si>
  <si>
    <t>e5f47d940bb89ab7ea7b7d27201a2c70392605ad8f778d5c5794e143dbc9e0fca881e995faa2275a880cf3f1201dc1fd</t>
  </si>
  <si>
    <t>105092</t>
  </si>
  <si>
    <t>15-01-2026 12:39:35</t>
  </si>
  <si>
    <t>830514755</t>
  </si>
  <si>
    <t>Abc De Servicios SAS</t>
  </si>
  <si>
    <t>PAGA EN SISTEMA 26/01/2026</t>
  </si>
  <si>
    <t>a69c6b3defc53c9b4a7dc4743cc05e35af2df741060150bb0417eb6c04ad5d3f60180dc72a6eecccf497ac37504bd05a</t>
  </si>
  <si>
    <t>105093</t>
  </si>
  <si>
    <t>15-01-2026 12:39:40</t>
  </si>
  <si>
    <t>78c470bd13caf33c0185e400b4adcc2442739000d246ff2c5c1c34883c1fed6c34e454f640ef12b4cac65765946c80ad</t>
  </si>
  <si>
    <t>105094</t>
  </si>
  <si>
    <t>15-01-2026 12:39:44</t>
  </si>
  <si>
    <t>830131869</t>
  </si>
  <si>
    <t>Hospitecnica SAS</t>
  </si>
  <si>
    <t>c50ee332b95cf3e1d44e5138617f74c7ad9723459ad948ac291a7166acaf2cc98694ae24ec4b44384c1710b841f1c755</t>
  </si>
  <si>
    <t>105095</t>
  </si>
  <si>
    <t>15-01-2026 12:39:49</t>
  </si>
  <si>
    <t>830501685</t>
  </si>
  <si>
    <t>Gente Disponible SA</t>
  </si>
  <si>
    <t>921239c978ee63fbc5621c5f924c93333bc8668105e51f05112f6692efe6196774fbceeb411433c957b5ba080cc834d7</t>
  </si>
  <si>
    <t>105096</t>
  </si>
  <si>
    <t>15-01-2026 12:55:01</t>
  </si>
  <si>
    <t>901190665</t>
  </si>
  <si>
    <t>Global Training Aviation Colombia SAS</t>
  </si>
  <si>
    <t>3c229bb1b69087ccb9ee93c4f4a007d8cc816dd46cae8f99bf9fa9edbe11aebec26958ba9d243003ede466d1d9411c33</t>
  </si>
  <si>
    <t>105097</t>
  </si>
  <si>
    <t>15-01-2026 12:55:05</t>
  </si>
  <si>
    <t>d04107c43882afb274cd0ef4eb09e1d34135b770312e06d4f0bbfdb8de559f32233cfcae7c137096a2dfbe8ac5ae1e7f</t>
  </si>
  <si>
    <t>105098</t>
  </si>
  <si>
    <t>15-01-2026 12:55:10</t>
  </si>
  <si>
    <t>2d09bc9fd642031b50e66510732fc3498a3aad6eb833dbd6f51166442f13197b205325737a1af721ad42164a745a948e</t>
  </si>
  <si>
    <t>105099</t>
  </si>
  <si>
    <t>15-01-2026 12:55:15</t>
  </si>
  <si>
    <t>900148720</t>
  </si>
  <si>
    <t>Hupecol Operating Co LLC</t>
  </si>
  <si>
    <t>78e921dd90653cc005e7d18cac54ab2d716064147d0decd778d25bf6c3515529ffc8b6aa7488f875e2b237d84f4a77e1</t>
  </si>
  <si>
    <t>105100</t>
  </si>
  <si>
    <t>15-01-2026 13:10:26</t>
  </si>
  <si>
    <t>900483711</t>
  </si>
  <si>
    <t>Idom Consulting Engineering Architecture SAU</t>
  </si>
  <si>
    <t>9c0467aaf503f2110a6a2beb87c09ed9c762e50961fc222ec571945c0fe4fc522545b411c70bb94f854023d836d6c49c</t>
  </si>
  <si>
    <t>105101</t>
  </si>
  <si>
    <t>15-01-2026 13:10:31</t>
  </si>
  <si>
    <t>830014567</t>
  </si>
  <si>
    <t>Interservice SA</t>
  </si>
  <si>
    <t>83037c370ab288dff4fe6a982d5424211987676fb29821b6b51928fe830d0e5020dad49edf86a298488d821e9319ae8b</t>
  </si>
  <si>
    <t>105102</t>
  </si>
  <si>
    <t>15-01-2026 13:10:35</t>
  </si>
  <si>
    <t>830101651</t>
  </si>
  <si>
    <t>Productos El Tomatico SAS</t>
  </si>
  <si>
    <t>c13f26bb9e2d5028de2dc28beaad41b839cc831b7120f78d94fe02243ed4c7625d208ff6a2420c50415f671723b883ed</t>
  </si>
  <si>
    <t>105103</t>
  </si>
  <si>
    <t>15-01-2026 13:10:40</t>
  </si>
  <si>
    <t>f52dfd1836d52782eeb8188c1dac0cf7bfc70e2450b24c37f6c3bca414f6f2ce1c8ac443f288c726cd4c64a0c36ed3da</t>
  </si>
  <si>
    <t>105104</t>
  </si>
  <si>
    <t>15-01-2026 14:26:17</t>
  </si>
  <si>
    <t>900822643</t>
  </si>
  <si>
    <t>Exlservice Colombia SAS</t>
  </si>
  <si>
    <t>23c8a04629720cd1308410315881a8d9395f06e224a36af4fd07d6780323fb2eb5dbf8f651c6e56d6fddba4b819d3f76</t>
  </si>
  <si>
    <t>105105</t>
  </si>
  <si>
    <t>15-01-2026 14:42:04</t>
  </si>
  <si>
    <t>830067414</t>
  </si>
  <si>
    <t>Kaeser Compresores De Colombia SAS</t>
  </si>
  <si>
    <t>60b7b369275d049072ce1cdb4332469c0842bbc4b955446c0679d6963e2e1a714d23acb9e2c19ee945977e0ceab5aa00</t>
  </si>
  <si>
    <t>105106</t>
  </si>
  <si>
    <t>15-01-2026 14:42:00</t>
  </si>
  <si>
    <t>900095054</t>
  </si>
  <si>
    <t>Interoc S A Sucursal Colombia</t>
  </si>
  <si>
    <t>ea8f81ca443e1b4ad732baf79f75727de084df3c9c04890260f0ea3765241604945131becf5f3b401f12dbf8cf585643</t>
  </si>
  <si>
    <t>105107</t>
  </si>
  <si>
    <t>15-01-2026 14:42:16</t>
  </si>
  <si>
    <t>a1003db103742399b9dd13231f2fbaec77b29c958f84aaabe71c470b6f345b6501ae81bb9118a8bcd437b394583fd7fa</t>
  </si>
  <si>
    <t>105108</t>
  </si>
  <si>
    <t>15-01-2026 14:42:14</t>
  </si>
  <si>
    <t>800226175</t>
  </si>
  <si>
    <t>Colmena Seguros Riesgos Laborales SA Riesgos Laborales Colmena Compañia De Seguros De Vida</t>
  </si>
  <si>
    <t>5aeb66b768eb02cab7dd1e11a9bf2e9b82b6ea86f622bc1f1b6b2e40d13b693eab19d472c2e4c2c206df129c48501fe6</t>
  </si>
  <si>
    <t>105109</t>
  </si>
  <si>
    <t>15-01-2026 15:12:01</t>
  </si>
  <si>
    <t>830012863</t>
  </si>
  <si>
    <t>Goddard Catering Group Bogota SAS</t>
  </si>
  <si>
    <t>c219ac9f87138dd1aedd5d6459ad178daa38ba91181f16387d0921609caf19e00b4166a097e2aca14e2c4d4edabb3297</t>
  </si>
  <si>
    <t>105110</t>
  </si>
  <si>
    <t>15-01-2026 15:12:05</t>
  </si>
  <si>
    <t>900430148</t>
  </si>
  <si>
    <t>Goddard Catering Group Colombia SAS</t>
  </si>
  <si>
    <t>84bb3f96b124167fed225a7a1bbbec300152a063f1524507529b465306452db0dc848d9ca8713737bd9a5ad2545c3c52</t>
  </si>
  <si>
    <t>105111</t>
  </si>
  <si>
    <t>15-01-2026 15:27:17</t>
  </si>
  <si>
    <t>fc823721734250d68103b63c1b35ff2a65ad6d2ec9a72c9a1bd013f5e77a81c75244f8c7a4fb6acf62f06010c3a4c544</t>
  </si>
  <si>
    <t>105112</t>
  </si>
  <si>
    <t>15-01-2026 15:27:22</t>
  </si>
  <si>
    <t>2f9d1f2a817cd5a0f78fcfa73093639b067870397a37c3bbbedb63b619617bc969d7f487349548c318f9a1ac65dd6da6</t>
  </si>
  <si>
    <t>105113</t>
  </si>
  <si>
    <t>15-01-2026 15:27:27</t>
  </si>
  <si>
    <t>900832629</t>
  </si>
  <si>
    <t>Blush-Bar SAS</t>
  </si>
  <si>
    <t>8a066cafa28c7de10ff03615ba9d8d976d2f80a986236c3fe68c05f327e917f15885303ccfff42bcfe266498a4b2adaf</t>
  </si>
  <si>
    <t>105114</t>
  </si>
  <si>
    <t>15-01-2026 15:27:32</t>
  </si>
  <si>
    <t>800208785</t>
  </si>
  <si>
    <t>Congelados Agricolas SA - Congelagro SA</t>
  </si>
  <si>
    <t>42c72ba2e3a0119a7f42fababdd11e4292e9aeb2d71cd2cf234494ee13152f2543f732c6d6fe66384a2c09c8c543b941</t>
  </si>
  <si>
    <t>105115</t>
  </si>
  <si>
    <t>15-01-2026 15:27:36</t>
  </si>
  <si>
    <t>900714469</t>
  </si>
  <si>
    <t>Sky Logistica Integral S A S</t>
  </si>
  <si>
    <t>6fd1533329be4a3959b7704534264d16beaf3af2b489d72092f00568526ee70f22b633160cd637211f2e7d82e46f6cf6</t>
  </si>
  <si>
    <t>105116</t>
  </si>
  <si>
    <t>15-01-2026 15:27:41</t>
  </si>
  <si>
    <t>860048112</t>
  </si>
  <si>
    <t>Construcciones Arrecife SAS</t>
  </si>
  <si>
    <t>6be707637789f401efea51335cae2104b657c63576914a6e2cb5e3f1b8ed601c0ca9ac836f9117a0db2be54dc25a7751</t>
  </si>
  <si>
    <t>105117</t>
  </si>
  <si>
    <t>15-01-2026 15:42:55</t>
  </si>
  <si>
    <t>899999066</t>
  </si>
  <si>
    <t>British Council Consejo Britanico</t>
  </si>
  <si>
    <t>FACTURA PAGA EN EL SISTEMA 22/01/2026</t>
  </si>
  <si>
    <t>62042c0341c1ad3ca674ff21a54e82f540eb54897ae9bd0af73d6f2fad41e394f3dcfce24a289ecffa40b3d751140104</t>
  </si>
  <si>
    <t>105118</t>
  </si>
  <si>
    <t>15-01-2026 15:58:06</t>
  </si>
  <si>
    <t>800066123</t>
  </si>
  <si>
    <t>Gi Group Staffing SAS</t>
  </si>
  <si>
    <t>2ec61aea94f774606c08c98b0b67fe2554c78683f0c991cf974b897a263461a719c5ac9baa010b7a40a985c780949a35</t>
  </si>
  <si>
    <t>105119</t>
  </si>
  <si>
    <t>15-01-2026 15:58:11</t>
  </si>
  <si>
    <t>PAGA EN SISTEMA 04/03/2026</t>
  </si>
  <si>
    <t>b2e200df768542c3bdd141c1416fc11edafb402ddf2f972ead210d4f862152495c0d0639371c3c4f75a99486fbb70f8e</t>
  </si>
  <si>
    <t>105120</t>
  </si>
  <si>
    <t>16-01-2026</t>
  </si>
  <si>
    <t>16-01-2026 08:05:07</t>
  </si>
  <si>
    <t>830079716</t>
  </si>
  <si>
    <t>Ceva Freight Management De Colombia SAS</t>
  </si>
  <si>
    <t>d7b34d57f0ee377f57d5569ee822b443bc7e4ea3a9b87cd591927b16cee791125253918c2ffde5f0e31a126a7c225074</t>
  </si>
  <si>
    <t>105121</t>
  </si>
  <si>
    <t>16-01-2026 08:05:12</t>
  </si>
  <si>
    <t>860069333</t>
  </si>
  <si>
    <t>Maelectricos SAS</t>
  </si>
  <si>
    <t>ae70d5a078bc74beef4abe2d3e766249248a1d0474804c5cf837287a979e835f50ecfdc9d0ec4d2254ecd23fd268fd59</t>
  </si>
  <si>
    <t>105122</t>
  </si>
  <si>
    <t>16-01-2026 08:05:16</t>
  </si>
  <si>
    <t>830070284</t>
  </si>
  <si>
    <t>Resonancia Magnetica Del Country SAS</t>
  </si>
  <si>
    <t>4a5acbe3c508094a26105f3ffe43c3c6374f90bd512d60e9c39d94b0100d9cb07dd54d450f81144f8dc230ab993e460b</t>
  </si>
  <si>
    <t>105123</t>
  </si>
  <si>
    <t>16-01-2026 08:05:20</t>
  </si>
  <si>
    <t>16942789f8fb6ac7b6785b4c224b0d81dfc4704e4e80ed1472bd0654cf05d6d5408b59c943905190019488e183d1dfa5</t>
  </si>
  <si>
    <t>105124</t>
  </si>
  <si>
    <t>16-01-2026 08:05:25</t>
  </si>
  <si>
    <t>e01342d83a5530791dc65829e657f5814738431bd941c114bd5fc5b8742533b8b49c25c90929b299c39374434162b3e2</t>
  </si>
  <si>
    <t>105125</t>
  </si>
  <si>
    <t>16-01-2026 08:20:36</t>
  </si>
  <si>
    <t>901133874</t>
  </si>
  <si>
    <t>U Fit SAS</t>
  </si>
  <si>
    <t>7c619d70f2f964f991c56d362ee555f373b45ebf10216628f13728dc233c7e1f49aee64f7144f28556d728ef66a30f58</t>
  </si>
  <si>
    <t>105126</t>
  </si>
  <si>
    <t>16-01-2026 08:20:42</t>
  </si>
  <si>
    <t>830076044</t>
  </si>
  <si>
    <t xml:space="preserve">Pidamos Marketing Total S A S </t>
  </si>
  <si>
    <t>cdc8558a097a33bc026157298520365acc52f9569c8021a956189ab8a09d35ea791a42aecf3edd689b67778d9f17c8e0</t>
  </si>
  <si>
    <t>105127</t>
  </si>
  <si>
    <t>16-01-2026 08:50:59</t>
  </si>
  <si>
    <t>901841535</t>
  </si>
  <si>
    <t>Gi-In Positiva 2024</t>
  </si>
  <si>
    <t>3ed081276bb3622c68da60d28c09f8372f5349a5425c9a0535d1a61991bc631994609a4021a637863ebf4780374a4495</t>
  </si>
  <si>
    <t>105128</t>
  </si>
  <si>
    <t>16-01-2026 08:51:04</t>
  </si>
  <si>
    <t>fbfb22a930dec2ecbb861ae56afb6298bd9f5e987a9387623de0edf2f01a1c9075a0851b45a716aa607d9040146811f8</t>
  </si>
  <si>
    <t>105129</t>
  </si>
  <si>
    <t>16-01-2026 09:51:36</t>
  </si>
  <si>
    <t>900193601</t>
  </si>
  <si>
    <t>Assisprex SAS</t>
  </si>
  <si>
    <t>b5d598f512179f7962206050a20ea74860db9fb4822905b069739c3cfb668feea73792c404bbee42f0a8bd18d49edd2c</t>
  </si>
  <si>
    <t>105130</t>
  </si>
  <si>
    <t>16-01-2026 09:51:39</t>
  </si>
  <si>
    <t>900297009</t>
  </si>
  <si>
    <t>Fresenius Medical Care Andina SAS</t>
  </si>
  <si>
    <t>dc08c91888fc88431b8997c529eccab6cb2afb75ed52adfd38583a7d88c378d81936472eefcfaee3ba4eef7d8571c893</t>
  </si>
  <si>
    <t>105131</t>
  </si>
  <si>
    <t>16-01-2026 09:51:44</t>
  </si>
  <si>
    <t>830035263</t>
  </si>
  <si>
    <t>Lipesa Colombia SAS</t>
  </si>
  <si>
    <t>751430471bddaa0f8eefc85f1154f7a5a3f1960f798d59c68fe2341b14f8d084309c37dd97808b50f3c89e709a44939f</t>
  </si>
  <si>
    <t>105132</t>
  </si>
  <si>
    <t>16-01-2026 09:51:49</t>
  </si>
  <si>
    <t>898eaa867fa401177448ea08665e47ae3cb77b6a21e82c0a87385ab18b9183afe8b4c307e610d2de0c79171d1d32eb5b</t>
  </si>
  <si>
    <t>105133</t>
  </si>
  <si>
    <t>16-01-2026 10:13:32</t>
  </si>
  <si>
    <t>8fa46d20120d52cc7bc48f68ca89ab82a107465ae42e85b6621c552fa1b050e4ded382b08273ce249d8ba3e95c2e302f</t>
  </si>
  <si>
    <t>105134</t>
  </si>
  <si>
    <t>16-01-2026 10:13:42</t>
  </si>
  <si>
    <t>40dff0a82e35543e77c7fd0574b9cfd33e4c5295f8df31a4743f2bb8133f98cf0f6c3435d2cb347b829f095b07cfe17d</t>
  </si>
  <si>
    <t>105135</t>
  </si>
  <si>
    <t>16-01-2026 10:13:43</t>
  </si>
  <si>
    <t>5c840545ef17aacb54e29cf7b8e8caf02ffb86e5bb3decf9bc4860f3a0fba85769d698c46befb56a75c8a83bf5cec4f6</t>
  </si>
  <si>
    <t>105136</t>
  </si>
  <si>
    <t>16-01-2026 10:13:46</t>
  </si>
  <si>
    <t>8cfc95f2d9ecd9ee74ba4e26db320d6742af7f94a3c63553a67f36e9b0a806c77c219d74f16915356fae9217889442f2</t>
  </si>
  <si>
    <t>105137</t>
  </si>
  <si>
    <t>16-01-2026 10:31:19</t>
  </si>
  <si>
    <t>ab710207e2425089011100d489934f678d33af3e55992afaf84d826c3e6fcd20a65049eceaf8b57e37ca942f30c2407b</t>
  </si>
  <si>
    <t>105138</t>
  </si>
  <si>
    <t>16-01-2026 10:31:25</t>
  </si>
  <si>
    <t>b5ce4a257ec0a634ff75e4c9e96b07bcb123012d6b7950dc7534db4fdd61ffe3e264e15227615eea5115abdd9de558b7</t>
  </si>
  <si>
    <t>105139</t>
  </si>
  <si>
    <t>16-01-2026 10:45:04</t>
  </si>
  <si>
    <t>46d9f33ac8304f90a169f2accd9c23344de123919d48f560325b3d10136f8505c2ebfe3905405fd78d2d3a6c6c6ef191</t>
  </si>
  <si>
    <t>105140</t>
  </si>
  <si>
    <t>16-01-2026 10:45:10</t>
  </si>
  <si>
    <t>900203461</t>
  </si>
  <si>
    <t>Comercializadora Colombiana De Carbones Y Coques SAS C I</t>
  </si>
  <si>
    <t>FACTURA PAGA EN EL SISTEMA 20/02/2026</t>
  </si>
  <si>
    <t>478f8641b02527b3c004fbeb316c5735fe796aa7fceeffb6b2855a6e11795acdba40acd7483a21f2e6e153562937003d</t>
  </si>
  <si>
    <t>105141</t>
  </si>
  <si>
    <t>16-01-2026 10:45:07</t>
  </si>
  <si>
    <t>900904162</t>
  </si>
  <si>
    <t>Esmeraldas De Los Andes SAS</t>
  </si>
  <si>
    <t>176d99fef19edbfa17c42247872c6f90a8212a2414364ff66c0599a8543121639f6ec478041fea8a6aa5385efcb538a3</t>
  </si>
  <si>
    <t>105142</t>
  </si>
  <si>
    <t>16-01-2026 10:53:03</t>
  </si>
  <si>
    <t>363fe7147bae3a0d76e7f475c459257575cb32fd5c209b437eb981d56b9e4bc57415198d46c17d86d590833959fe793e</t>
  </si>
  <si>
    <t>105143</t>
  </si>
  <si>
    <t>16-01-2026 10:53:06</t>
  </si>
  <si>
    <t>900376503</t>
  </si>
  <si>
    <t>Vass Consultoria De Sistemas Colombia SAS</t>
  </si>
  <si>
    <t>7bdad4527ab27a27a762ee27fa7ca4d56ff545c6bd8981cb8fdc8372608f3f3d986fc88ac31b72379f32c060aed87ba8</t>
  </si>
  <si>
    <t>105144</t>
  </si>
  <si>
    <t>16-01-2026 10:53:12</t>
  </si>
  <si>
    <t>830088759</t>
  </si>
  <si>
    <t>Eminss SAS</t>
  </si>
  <si>
    <t>9678afaff4eff26905b399cdb955d85e9ffcd3a00e90bec65da742edb51b42f4df14c4f058dcf02caf38577cf62e0645</t>
  </si>
  <si>
    <t>105145</t>
  </si>
  <si>
    <t>16-01-2026 10:53:16</t>
  </si>
  <si>
    <t>24ed2b8bc458f2e4d9880d5252befe66080ce7e2e6b163526ac8d3a8610c3ac0c7f147f9e3d4e9ebdec52e847ca842f3</t>
  </si>
  <si>
    <t>105146</t>
  </si>
  <si>
    <t>16-01-2026 10:53:20</t>
  </si>
  <si>
    <t>900509172</t>
  </si>
  <si>
    <t xml:space="preserve">Corporacion Universitaria De Asturias </t>
  </si>
  <si>
    <t>a4b9684428a3fc1881d7c039879961f0617e31e467c47d291ac84c9c0d3b307bcec76057a4ffe8dc79a5d98fef7f212c</t>
  </si>
  <si>
    <t>105147</t>
  </si>
  <si>
    <t>16-01-2026 10:53:26</t>
  </si>
  <si>
    <t>901938866</t>
  </si>
  <si>
    <t>Consorcio Vial JJ-ACI</t>
  </si>
  <si>
    <t>c02a80dc31586435fd8b971b477db6634cf0a2da39514629ffcb631a5024e80063a8c84f68374a4f0c6a10701f28402e</t>
  </si>
  <si>
    <t>105148</t>
  </si>
  <si>
    <t>16-01-2026 11:08:41</t>
  </si>
  <si>
    <t>901144843</t>
  </si>
  <si>
    <t>Bogota Limpia SAS ESP</t>
  </si>
  <si>
    <t>a5b89aad81ab9741c83bc1b432589e5af978900402be0c1834beb1a526a481a71f9f57601725ce3c08cd9233d9bd0262</t>
  </si>
  <si>
    <t>105149</t>
  </si>
  <si>
    <t>16-01-2026 11:08:46</t>
  </si>
  <si>
    <t>800183987</t>
  </si>
  <si>
    <t>Fondo De Empleados Almacenes Exito</t>
  </si>
  <si>
    <t>ed0574119c0541b7e8b06ddd66394f3025edf0207beeee1018e87c2ca2d920f925e5260f1b4a83dea902485d82ca7c74</t>
  </si>
  <si>
    <t>105150</t>
  </si>
  <si>
    <t>16-01-2026 11:08:51</t>
  </si>
  <si>
    <t>7d6cf96816c314994c675c92f32a2fea40767349fdb6171bfd66ddae19a238b444b1067a5f501bbc930be62ef14e9e92</t>
  </si>
  <si>
    <t>105151</t>
  </si>
  <si>
    <t>16-01-2026 11:24:55</t>
  </si>
  <si>
    <t>830004748</t>
  </si>
  <si>
    <t>Pricewaterhousecoopers Information Services SAS</t>
  </si>
  <si>
    <t>7ea0673faa30066c4f46064739037eebb9cce6aa95212d3076fe03dae1f5b873bfa8dfe077f23e84f8f9bc50448bb2a1</t>
  </si>
  <si>
    <t>105152</t>
  </si>
  <si>
    <t>16-01-2026 11:24:08</t>
  </si>
  <si>
    <t>830040455</t>
  </si>
  <si>
    <t>Pricewaterhousecoopers Servicios Legales Y Tributarios SAS</t>
  </si>
  <si>
    <t>c7bb3f7de7eb9c24ac638bfa4956afd2f463074f64d50b73e758d749cfa34a84457eaf87d29eb2ddbfece954c6719d02</t>
  </si>
  <si>
    <t>105153</t>
  </si>
  <si>
    <t>16-01-2026 11:24:15</t>
  </si>
  <si>
    <t>860046645</t>
  </si>
  <si>
    <t>Pricewaterhousecoopers Asesores Gerenciales SAS</t>
  </si>
  <si>
    <t>1c94091510cd7c99a96b7077ab80a5dd2d01e5f8de1b75a99937cc27987d5900b9e3101985cd150e6818e53a4bf75e9b</t>
  </si>
  <si>
    <t>105154</t>
  </si>
  <si>
    <t>16-01-2026 11:24:20</t>
  </si>
  <si>
    <t>901345524</t>
  </si>
  <si>
    <t xml:space="preserve">Corporacion Colombia Crea Talento </t>
  </si>
  <si>
    <t>37678357e2acaa1bdd1123c34d92eda5b02715e6e88f3c2b81d736865163a17db7dddefeda11ffb8bb555a28d8415d3a</t>
  </si>
  <si>
    <t>105155</t>
  </si>
  <si>
    <t>900033883</t>
  </si>
  <si>
    <t>Quimicos Integrales SAS</t>
  </si>
  <si>
    <t>4fe367c801ad7c7ebea4143613fcf7fdac2b0425dcadac130ceac80bd16a40954d707615a10ae86f415ca5c5db0866b3</t>
  </si>
  <si>
    <t>105156</t>
  </si>
  <si>
    <t>16-01-2026 11:43:08</t>
  </si>
  <si>
    <t>900328834</t>
  </si>
  <si>
    <t>P J Col SAS</t>
  </si>
  <si>
    <t>932c7949c4189c02fec05b889bf1648b266118ecfb1e08b2ed0ce610896fc406808f66b655f5d8aa7970d535a27b868e</t>
  </si>
  <si>
    <t>16-01-2026 11:43:07</t>
  </si>
  <si>
    <t>811260f4e8b94cd84aba03d336fb3087718c19536773016dcf7f85b65b9fb3282a980894c63c177c13bf51af57f6b325</t>
  </si>
  <si>
    <t>105158</t>
  </si>
  <si>
    <t>16-01-2026 11:43:09</t>
  </si>
  <si>
    <t>964a8f2c2f2e9081b5b60c2dd2b3b97931254be7c61cf5bf413c1e45a56dbc09e0bd9b8671744232f42a31114aff5cdf</t>
  </si>
  <si>
    <t>105159</t>
  </si>
  <si>
    <t>16-01-2026 11:43:14</t>
  </si>
  <si>
    <t>860045210</t>
  </si>
  <si>
    <t>Ropim SAS</t>
  </si>
  <si>
    <t>e291bf8f03aabf61f546164ff5769a465f33b4a39c5b22e00bc4feac5b55b2b6c5da737b77a75b21cf92c9d36892d8fb</t>
  </si>
  <si>
    <t>105160</t>
  </si>
  <si>
    <t>16-01-2026 11:54:59</t>
  </si>
  <si>
    <t>2a7e4ac57b915ba8ddcf662f9ae1d7efbb22fb9ad380760f1ff3481185a145e69e476249b146e8b025d3aa84a4942f49</t>
  </si>
  <si>
    <t>105161</t>
  </si>
  <si>
    <t>16-01-2026 12:10:10</t>
  </si>
  <si>
    <t>860508392</t>
  </si>
  <si>
    <t>Servioptica SAS</t>
  </si>
  <si>
    <t>40f7bb366f95b10aab89cc532888b30b1775d41aa539fd31ba1c87b5fbc8f25f91bb30ac721167e7dc8393aafa5e07fe</t>
  </si>
  <si>
    <t>105162</t>
  </si>
  <si>
    <t>16-01-2026 12:10:15</t>
  </si>
  <si>
    <t>6a6a98c24c29793bf608ebc1193b68d7978f2c647e8d743438bd2ff6b884109949c647a62d8ed91e0be76fa1f93bc58f</t>
  </si>
  <si>
    <t>105163</t>
  </si>
  <si>
    <t>16-01-2026 12:10:19</t>
  </si>
  <si>
    <t>b31294cc68228bcb61048a4afac37b473837a8a713422595cc6a192b7458f53e4a65102f9fb1f81f669d6c91b249a416</t>
  </si>
  <si>
    <t>105164</t>
  </si>
  <si>
    <t>16-01-2026 12:10:24</t>
  </si>
  <si>
    <t>aee1af9805a1cabb708f8ca523b25704af8373dbb28e9c3842f4b4bbe49832013b17651c7c6254364718939c60e8b337</t>
  </si>
  <si>
    <t>105165</t>
  </si>
  <si>
    <t>16-01-2026 12:10:28</t>
  </si>
  <si>
    <t>860022382</t>
  </si>
  <si>
    <t>Corporacion Universidad Piloto De Colombia</t>
  </si>
  <si>
    <t>FACTURA PAGA EN EL SISTEMA 25/02/2026</t>
  </si>
  <si>
    <t>c2dd3ce0fb7969fbede1b9bc8d2a9f3d1a1a2cec2a4f82b22f80b412ad25debf29db9e3a4f90e4cc8a797e740217e4e9</t>
  </si>
  <si>
    <t>105166</t>
  </si>
  <si>
    <t>16-01-2026 12:10:34</t>
  </si>
  <si>
    <t>9053f84157e636e958332803ce6fc19c625bee0b59ff74922cd16743ce6da354f02c97050c493aa33bd94629ec6f77cc</t>
  </si>
  <si>
    <t>105167</t>
  </si>
  <si>
    <t>16-01-2026 12:10:38</t>
  </si>
  <si>
    <t>800181114</t>
  </si>
  <si>
    <t>Puerto Pimsa SA</t>
  </si>
  <si>
    <t>0a50ab6046c15b82c98e9e3b7cb6a373e3fc62cc153850c51caaeda4de5b029e7f30a72d76b0540ec4f592ca8c43a404</t>
  </si>
  <si>
    <t>105168</t>
  </si>
  <si>
    <t>16-01-2026 12:25:49</t>
  </si>
  <si>
    <t>dbe08d770f3268e3887b57223cd9c1b8357d3b5ff909385fa7a8aca27ce410ff6e9d894f200d0c1d39aec72c3176161c</t>
  </si>
  <si>
    <t>105169</t>
  </si>
  <si>
    <t>16-01-2026 12:25:54</t>
  </si>
  <si>
    <t>900703363</t>
  </si>
  <si>
    <t>Gigas Hosting Colombia SAS</t>
  </si>
  <si>
    <t>02d262dc6f4064bf7e8eee9d1cba05fc4d78944bab9617a767a9dd6c0d5a1f00706acbca316eca2e01b9b97fd5f0b36f</t>
  </si>
  <si>
    <t>105170</t>
  </si>
  <si>
    <t>16-01-2026 12:25:59</t>
  </si>
  <si>
    <t>900921826</t>
  </si>
  <si>
    <t>Soluciones Itpc SAS</t>
  </si>
  <si>
    <t>1acdb9fe43c5c39ef2259666d0752eac4906130ac73f4a92b7d66afd7613c090b66a587ed81525d95273913cd8d5c707</t>
  </si>
  <si>
    <t>105171</t>
  </si>
  <si>
    <t>16-01-2026 12:26:03</t>
  </si>
  <si>
    <t>1030534674</t>
  </si>
  <si>
    <t>Jonatan Walter Charry Guzman</t>
  </si>
  <si>
    <t>c599b66e8e465185ea5558047df93624d0045c5b64496ce90daf5b88a9270e09b8680b19e4f25aba18f5fdac0fabe0d9</t>
  </si>
  <si>
    <t>105172</t>
  </si>
  <si>
    <t>16-01-2026 12:41:15</t>
  </si>
  <si>
    <t>6d44f73966aed5e96ae94873d5393c3d2e312272ff0d876bb10b9bee3f322aee01e108874b4e7a2923c0d1836d098755</t>
  </si>
  <si>
    <t>105173</t>
  </si>
  <si>
    <t>16-01-2026 12:41:19</t>
  </si>
  <si>
    <t>901819545</t>
  </si>
  <si>
    <t>Vado Combustibles SAS</t>
  </si>
  <si>
    <t>42578cd778ad652c5807426def0356133444935a9dd554d31d805833519e77ce40df03c47fa9b13d311b568d0a01e8ba</t>
  </si>
  <si>
    <t>105174</t>
  </si>
  <si>
    <t>16-01-2026 12:41:24</t>
  </si>
  <si>
    <t>b6a847268793e5e871baf8e19c6725b97ca5b2f1e2709058443aad6dcac2ca6adc87a04d3072317652e233af1fe58ae1</t>
  </si>
  <si>
    <t>105175</t>
  </si>
  <si>
    <t>16-01-2026 12:41:29</t>
  </si>
  <si>
    <t>900418860</t>
  </si>
  <si>
    <t>Marketing Oil Company SAS</t>
  </si>
  <si>
    <t>376c4ab529df9cc1e0f29174f370dd4c40d9adcd243384a9311b6fa292b4cb5074e475fde57f29ddb76007ea879863c1</t>
  </si>
  <si>
    <t>105176</t>
  </si>
  <si>
    <t>16-01-2026 12:41:33</t>
  </si>
  <si>
    <t>860517608</t>
  </si>
  <si>
    <t>Metaza SAS</t>
  </si>
  <si>
    <t>56bcf7dafb92e7975881e6a33ccd3b9255ba8b0ea91211916eec4dc7a185132b432115b4164275e499b01bb10a0dc346</t>
  </si>
  <si>
    <t>105177</t>
  </si>
  <si>
    <t>16-01-2026 12:56:45</t>
  </si>
  <si>
    <t>a1417049019e81663f546c7da58c37540a4f3e9de328b8d37999906908bdf77c8d042133c27ddd2d1e3699f2a84fae2f</t>
  </si>
  <si>
    <t>105178</t>
  </si>
  <si>
    <t>16-01-2026 13:11:56</t>
  </si>
  <si>
    <t>830059052</t>
  </si>
  <si>
    <t>Nagasi SAS</t>
  </si>
  <si>
    <t>5969855dd9fa94d70b90e375da410912f1d58d2649cba7adf270b78148fe34bbff5ea1c13882ee4286ecdeb788567150</t>
  </si>
  <si>
    <t>105179</t>
  </si>
  <si>
    <t>16-01-2026 14:57:56</t>
  </si>
  <si>
    <t>890903858</t>
  </si>
  <si>
    <t>Industria Nacional De Gaseosas SA</t>
  </si>
  <si>
    <t>dbb85d6779483d44b3caf33d16983aca96d61dc75ee968388877a2482b0495ab51715f3af8373023c3b54b3a39656941</t>
  </si>
  <si>
    <t>105180</t>
  </si>
  <si>
    <t>16-01-2026 14:58:01</t>
  </si>
  <si>
    <t>522bfdf22cc07f3c68ddcf9b37c60a9388c680b5a0be809ff7ed1575b3d02096e2d9b30302ca9861f3cad7269012f334</t>
  </si>
  <si>
    <t>105181</t>
  </si>
  <si>
    <t>16-01-2026 14:58:06</t>
  </si>
  <si>
    <t xml:space="preserve"> </t>
  </si>
  <si>
    <t>0aed240820a652f29f6ada71a639ae21a28c24d8dd6f46a59006ea5b439a52e9d92287c82f01d2e6e49a880273a7aa41</t>
  </si>
  <si>
    <t>105182</t>
  </si>
  <si>
    <t>16-01-2026 14:58:11</t>
  </si>
  <si>
    <t>d786d905f20d7a5d34c987bbec3377986164d233cd6b5d3f3b16f929c8a347fe47ec367ce6c85c474416285de6b461ac</t>
  </si>
  <si>
    <t>105183</t>
  </si>
  <si>
    <t>16-01-2026 14:58:16</t>
  </si>
  <si>
    <t>24b644c76b2a86e12a5e1bc8910aa2bead4d0daa5a9b101111872eb3f3b07a04e2341d99d376199f8f90af32238e0a03</t>
  </si>
  <si>
    <t>105184</t>
  </si>
  <si>
    <t>16-01-2026 15:13:26</t>
  </si>
  <si>
    <t>4c445c13561fa2c9250fb6c4339bc2209728b7c09d11c728ee4cc9ba2e66ebcc38c1fde50a9b46098a2f45ab8f1ad663</t>
  </si>
  <si>
    <t>105185</t>
  </si>
  <si>
    <t>16-01-2026 16:02:09</t>
  </si>
  <si>
    <t>830102932</t>
  </si>
  <si>
    <t>Centro Ocular Demiopia Dr Rincon Sociedad Por Acciones Simplificada SAS</t>
  </si>
  <si>
    <t>a2438262f6d432e587fda055d8e71ac7c9eddd164f86c3bbfa764dbc0ae92d51292df12b53c5a5ecb81492cd94aced6b</t>
  </si>
  <si>
    <t>105186</t>
  </si>
  <si>
    <t>16-01-2026 16:02:16</t>
  </si>
  <si>
    <t>900611019</t>
  </si>
  <si>
    <t>Boticario Colombia S A S</t>
  </si>
  <si>
    <t>271e8256c5cbe43552497eb95539aba7800320871a50d325b3b842378f1c548f5e748a94d6e4a4daf6a55d7b497579b1</t>
  </si>
  <si>
    <t>105187</t>
  </si>
  <si>
    <t>16-01-2026 16:01:39</t>
  </si>
  <si>
    <t>d61f66f626e91e2e96000350d29e566febb0aaa2b6c55689f619c18fe4aa624fc34997e66696b0894fbc0725f98df4f8</t>
  </si>
  <si>
    <t>105188</t>
  </si>
  <si>
    <t>16-01-2026 16:21:35</t>
  </si>
  <si>
    <t>860006848</t>
  </si>
  <si>
    <t>Fundacion Universidad De Bogota Jorge Tadeo Lozano</t>
  </si>
  <si>
    <t>d3344e63cbfcd951847ca23c86bb66af02c4502519c1b0b5ebd970355748554d9c32477c034e16b5de205e5ad186b88b</t>
  </si>
  <si>
    <t>105189</t>
  </si>
  <si>
    <t>19-01-2026</t>
  </si>
  <si>
    <t>19-01-2026 08:26:48</t>
  </si>
  <si>
    <t>9cdbe70e8c538db337edac899034579b55760bf4e56ba635fe14ccd1a090a56ced3088a4e0b1d80c1bd3570585eeaa40</t>
  </si>
  <si>
    <t>105190</t>
  </si>
  <si>
    <t>19-01-2026 08:26:53</t>
  </si>
  <si>
    <t>485eebe53750a01eea073de45229946ea44d044bd9282d73470d7e0661f2ce99523a209695144be82e313291907ed78e</t>
  </si>
  <si>
    <t>105191</t>
  </si>
  <si>
    <t>19-01-2026 08:26:58</t>
  </si>
  <si>
    <t>900647719</t>
  </si>
  <si>
    <t>Educactiva Ediciones SAS</t>
  </si>
  <si>
    <t>4f6f0722bfb8862aed31e759590dfc3c3866cbe42fbc88eac5c3a46cfe921d1ce4cc8d2c6b945fbaf312e8987c4b50e5</t>
  </si>
  <si>
    <t>105192</t>
  </si>
  <si>
    <t>19-01-2026 08:27:01</t>
  </si>
  <si>
    <t>1ae9cc74e0cf1c5ba609c78275290e824c15f2e7a0c16c609c43b274044e33e9a9d590a6c1446174e45b621b2fb5b537</t>
  </si>
  <si>
    <t>105193</t>
  </si>
  <si>
    <t>19-01-2026 08:27:06</t>
  </si>
  <si>
    <t>e71bf586ea2ad6f52da3f84ab0f830d087c61ee8e19a41f6d5247fd24a625e6098a5c67ce3f66337fd0d3ce51b871f04</t>
  </si>
  <si>
    <t>105194</t>
  </si>
  <si>
    <t>19-01-2026 08:42:17</t>
  </si>
  <si>
    <t>d9b6c31ee880d181e2cb27fb5a0a34def84f9512d92f412ab80697e11f2e207dff5efa5d1e254eec1f3b18277c059be9</t>
  </si>
  <si>
    <t>105195</t>
  </si>
  <si>
    <t>19-01-2026 08:57:28</t>
  </si>
  <si>
    <t>8e0eeed5e28560081bf07d5126ec6fa150f2a3f0357b80e2c2719fd852254070d55a4563a10819b63146d59af9f79cbe</t>
  </si>
  <si>
    <t>105196</t>
  </si>
  <si>
    <t>19-01-2026 09:12:40</t>
  </si>
  <si>
    <t>860014040</t>
  </si>
  <si>
    <t>Cooperativa De Los Profesionales Coasmedas</t>
  </si>
  <si>
    <t>1ceccd0bca7220e1cb2129ac5f266a0347f42406601fe6f2e4d45f987be25176d11a3dbae472fb06026dd84cfc256d04</t>
  </si>
  <si>
    <t>19-01-2026 09:12:45</t>
  </si>
  <si>
    <t>6ebb79ffa61ad93c93865f75f251ce63bb42cdbc1d88ec3d9ef3a0604a32b1f78c815857f7ffa7bdf0878190e9327df8</t>
  </si>
  <si>
    <t>105198</t>
  </si>
  <si>
    <t>19-01-2026 09:27:56</t>
  </si>
  <si>
    <t>9feb335a279c0a0eb5f2316131874b7911a7851e6d2afc6708ccf1ee7efa7f9dd9f9a888cb8f3a73dacb6bcf619d44e5</t>
  </si>
  <si>
    <t>105199</t>
  </si>
  <si>
    <t>19-01-2026 09:58:15</t>
  </si>
  <si>
    <t>34996880</t>
  </si>
  <si>
    <t>Maria Lorenza Pastrana Ramos</t>
  </si>
  <si>
    <t>634fd0eddbf2ce178c203e3396fed40c231d0c3b2339a3b459dbc7e333cdbba00a680b3ab074c69e8f06dbb5435d423f</t>
  </si>
  <si>
    <t>105200</t>
  </si>
  <si>
    <t>19-01-2026 09:58:27</t>
  </si>
  <si>
    <t>704784698d0305e7d737ddedabab6ac02a990e55915d884d94137de25823a8a80f14a31312d1a8632c37bbb0bf5172fb</t>
  </si>
  <si>
    <t>105201</t>
  </si>
  <si>
    <t>19-01-2026 09:58:23</t>
  </si>
  <si>
    <t>900978332</t>
  </si>
  <si>
    <t>Univision Colombia SAS</t>
  </si>
  <si>
    <t>22fbca518d68bd7f974f80a42285d9f874c803c86fd3252cbb9ae473b10a3eda1db96066c8585676bd6a5ceae097ccc7</t>
  </si>
  <si>
    <t>105202</t>
  </si>
  <si>
    <t>19-01-2026 09:58:31</t>
  </si>
  <si>
    <t>5077d3a07c7a12734f1303028d1710c0e902d21a40586d45b3218ea6fae141fb48d61d64739f05dcc81e9c2079d603eb</t>
  </si>
  <si>
    <t>105203</t>
  </si>
  <si>
    <t>19-01-2026 09:58:33</t>
  </si>
  <si>
    <t>800174633</t>
  </si>
  <si>
    <t>Laboratorio Internacional De Colombia SAS</t>
  </si>
  <si>
    <t>e7bed958ec2571a73997796cf758e9d81829d53e40a3ebe8acc90a3ac2cec91d6e2d0eeabf212df1807a9cf0ed69040a</t>
  </si>
  <si>
    <t>105204</t>
  </si>
  <si>
    <t>19-01-2026 09:58:37</t>
  </si>
  <si>
    <t>360f8010a43676da1198a37d7a5ef8c615a71c8d5292f5209a9abf32ec78953990219cc4a6b13e71fd04355848a31e0c</t>
  </si>
  <si>
    <t>105205</t>
  </si>
  <si>
    <t>19-01-2026 09:58:41</t>
  </si>
  <si>
    <t>901956952</t>
  </si>
  <si>
    <t>Vlera SAS</t>
  </si>
  <si>
    <t>c6bd2d231ab98830228d3f0062056561ab861f1133f972f1ad5a046e217989460c98126894ca639e554dcd1250dc5fe4</t>
  </si>
  <si>
    <t>105206</t>
  </si>
  <si>
    <t>19-01-2026 10:13:57</t>
  </si>
  <si>
    <t>FACTURA PAGA EN EL SISTEMA4/02/2026</t>
  </si>
  <si>
    <t>8edd31e809c7bcc6557f90dd6cf8a21a1159a03f695285fd0e71cb5acf154e9ff8a8ff9dc3c78ee53cc93e4234a169ef</t>
  </si>
  <si>
    <t>105207</t>
  </si>
  <si>
    <t>19-01-2026 10:14:01</t>
  </si>
  <si>
    <t>900474794</t>
  </si>
  <si>
    <t>Price Res SAS</t>
  </si>
  <si>
    <t>63f9c0a82511e0b40c8e7288a93b7ef271abc01d5d86b2400eb9f857846ea0d07fe58321445f46c68a8cc0f068872bf6</t>
  </si>
  <si>
    <t>105208</t>
  </si>
  <si>
    <t>19-01-2026 10:29:16</t>
  </si>
  <si>
    <t>860049363</t>
  </si>
  <si>
    <t>Cooperativa De Empleados de Cafam</t>
  </si>
  <si>
    <t>8cd124c10a97d937e540ce74f05363fc956b9f69722eedc58d8fb18b214f3e3bf8e28a8bba618ef7822597f17cc00ad5</t>
  </si>
  <si>
    <t>105209</t>
  </si>
  <si>
    <t>19-01-2026 10:29:21</t>
  </si>
  <si>
    <t>fd17cada9185c2ce34898c2900e3068424e76419a289a36a41ec5f078b29536baae17228b81a9a43d4b3870838fe3892</t>
  </si>
  <si>
    <t>105210</t>
  </si>
  <si>
    <t>19-01-2026 10:29:26</t>
  </si>
  <si>
    <t>900598191</t>
  </si>
  <si>
    <t>Vr Inversiones Ltda</t>
  </si>
  <si>
    <t>b7a82eebff761a35ffac28327b9bdaa13ae2c9ae2f2e087e32400f2d3955c570073719875a8c3618d94e224210384400</t>
  </si>
  <si>
    <t>105211</t>
  </si>
  <si>
    <t>19-01-2026 10:29:30</t>
  </si>
  <si>
    <t>36fddf5c2a607cb24ef7e33abf4c25a95eeb5a09249535e4950fd321a87c1143e445e82910ff6f639dc6739faa2aecd7</t>
  </si>
  <si>
    <t>105212</t>
  </si>
  <si>
    <t>19-01-2026 10:44:42</t>
  </si>
  <si>
    <t>fef839825e65b8c1d2453451150d85616b7cd55b451a35432e86cd150b45a0445e3c7d4369543ae1c191e778407a1f99</t>
  </si>
  <si>
    <t>105213</t>
  </si>
  <si>
    <t>19-01-2026 10:44:47</t>
  </si>
  <si>
    <t>57175b58c94c5c45545ce12db3924f088a547f4c9a37f19f09a369a83748337c6277122f8d917de1602cb29609f19e98</t>
  </si>
  <si>
    <t>105214</t>
  </si>
  <si>
    <t>19-01-2026 10:44:51</t>
  </si>
  <si>
    <t>830126204</t>
  </si>
  <si>
    <t>Gate Gourmet Colombia SAS</t>
  </si>
  <si>
    <t>a970df18fc438810ddb527e5ea6fb201f22294d77a3fd62394c0d479a77f229593e6fadbf1e0240c89517eecb75905cf</t>
  </si>
  <si>
    <t>105215</t>
  </si>
  <si>
    <t>19-01-2026 11:00:05</t>
  </si>
  <si>
    <t>2f57d47e1cdebc4b513b92c7965e8b9aaa327e2320d65c1ca9701fa527debba90df2e5dfdae80c11fbfeefd8fff82586</t>
  </si>
  <si>
    <t>105216</t>
  </si>
  <si>
    <t>19-01-2026 11:00:08</t>
  </si>
  <si>
    <t>900413420</t>
  </si>
  <si>
    <t>Pcshek Tecnologia Y Servicios SAS</t>
  </si>
  <si>
    <t>FACTURA PAGA EN EL SISTEMA 5/02/2026</t>
  </si>
  <si>
    <t>fdc5bdf1b5b8bb54b25c72495057c5f3cff3e6168f298d5ca814f44550b608e704cbba318eb2805ea99a31c016d6a198</t>
  </si>
  <si>
    <t>105217</t>
  </si>
  <si>
    <t>19-01-2026 11:00:13</t>
  </si>
  <si>
    <t>900842071</t>
  </si>
  <si>
    <t xml:space="preserve">Supermastick SAS </t>
  </si>
  <si>
    <t>cdd563be208f15e805121c7bc3763ed087e29f8e9a2c6e3aab205e543cb03fbaf65a8cecce06ad3c551404fa564fb83e</t>
  </si>
  <si>
    <t>105218</t>
  </si>
  <si>
    <t>19-01-2026 11:00:17</t>
  </si>
  <si>
    <t>830096376</t>
  </si>
  <si>
    <t>Transportes Humadea SAS</t>
  </si>
  <si>
    <t>0cb4e2242a86ce8f543a8f4d54872ccb5e584a35f5e6717a35a3d604986ca027caac2d619601f622a79bd21767f5f09d</t>
  </si>
  <si>
    <t>105219</t>
  </si>
  <si>
    <t>19-01-2026 11:00:26</t>
  </si>
  <si>
    <t>32bfbe086baf8265e0cac934fd8aa1469496b7b5cafd2f848cc8f95183c7349c5242ee7013c477ed56093af58b43194e</t>
  </si>
  <si>
    <t>105220</t>
  </si>
  <si>
    <t>19-01-2026 11:00:32</t>
  </si>
  <si>
    <t>08f3af4d641696a8936a4fb80198a7548b0d45ad2e6e1a2997ae214a17d062c7f5a9484125b76e8fca3c1c48386743b6</t>
  </si>
  <si>
    <t>105221</t>
  </si>
  <si>
    <t>19-01-2026 11:45:56</t>
  </si>
  <si>
    <t>24fb6ed00cd6992adcf22be4335027a52b7dcabdc196eec74b741e4a96802d695c3a363d978dffdc75c5aa4e1fa678b2</t>
  </si>
  <si>
    <t>105222</t>
  </si>
  <si>
    <t>19-01-2026 12:01:50</t>
  </si>
  <si>
    <t>34e27ec02fa7ce9f7a79fb1adbc8a4645fd1706c0333a50c30b223495819e082c0a368e1d6ce0688d3c9580f44dad9f5</t>
  </si>
  <si>
    <t>105223</t>
  </si>
  <si>
    <t>19-01-2026 12:01:13</t>
  </si>
  <si>
    <t>166366c162c899f8374caed7d701324b002f8c211e502fce2d0ab8c68e888d649e8af30efec5e282a24c9a34c1f4e10d</t>
  </si>
  <si>
    <t>105224</t>
  </si>
  <si>
    <t>19-01-2026 12:01:18</t>
  </si>
  <si>
    <t>4957ffbeb0cb154405b83e25e3779e5b8d88ca194a2176f230ac9c44abb038b21062079ed2c1856338095f1b960991fa</t>
  </si>
  <si>
    <t>105225</t>
  </si>
  <si>
    <t>19-01-2026 12:16:31</t>
  </si>
  <si>
    <t>830009653</t>
  </si>
  <si>
    <t>Organizacion Nacional De Los Pueblos Indigenas De La Amazonia Colombiana</t>
  </si>
  <si>
    <t>af7e53b648393385385b7be53751045496dc7e360b43963a9484907f309e3f0d54d16543fbabb3947f3daa915db2d04d</t>
  </si>
  <si>
    <t>105226</t>
  </si>
  <si>
    <t>19-01-2026 12:31:47</t>
  </si>
  <si>
    <t>f501bc9dda61f443dcd3c8f6943bbb84f8372378bb4673505eb87440be0fc72fa0de78dc5b35f66c92a4f7cdcc0a633c</t>
  </si>
  <si>
    <t>105227</t>
  </si>
  <si>
    <t>19-01-2026 12:31:50</t>
  </si>
  <si>
    <t>800227333</t>
  </si>
  <si>
    <t>Sociedad De Medicina Reproductiva Sas</t>
  </si>
  <si>
    <t>5c9b588a37d24c83cda9ac6bf0dac8d4b99dc26aec598f75d6c9888fbe64b7e8c06237627fd88af755f839805c9de0d1</t>
  </si>
  <si>
    <t>105228</t>
  </si>
  <si>
    <t>19-01-2026 12:31:55</t>
  </si>
  <si>
    <t>800193271</t>
  </si>
  <si>
    <t>Cocinas Nicol SAS</t>
  </si>
  <si>
    <t>0b110a1252d3856528f12b94a0f2f07d7d9e819f2ad9821ee16d05751898a1512509d5d7b205c136ac14cfc587affd2e</t>
  </si>
  <si>
    <t>105229</t>
  </si>
  <si>
    <t>19-01-2026 12:32:00</t>
  </si>
  <si>
    <t>900749690</t>
  </si>
  <si>
    <t>Motored De Colombia SAS</t>
  </si>
  <si>
    <t>b94ee9e976094d757bb35f15c574c4080f9c854518a7b2b579c9542e4b326c7ce084502fc539d1da568244ce8432ac68</t>
  </si>
  <si>
    <t>105230</t>
  </si>
  <si>
    <t>19-01-2026 12:47:12</t>
  </si>
  <si>
    <t>1105dd7891bac804801e92ea29d89ea740499e659734cdd4341c4125b3d9ec5546b69608198cf7499d588437e6d3815f</t>
  </si>
  <si>
    <t>105231</t>
  </si>
  <si>
    <t>19-01-2026 13:02:22</t>
  </si>
  <si>
    <t>830103525</t>
  </si>
  <si>
    <t>Oftalmosanitas SAS</t>
  </si>
  <si>
    <t>60a629f26de8974e419b41e42713938eaf7b699ddb67cd945adc73713e6c79e06cec24b7933862f2f208cdfaf47e1583</t>
  </si>
  <si>
    <t>105232</t>
  </si>
  <si>
    <t>19-01-2026 13:02:28</t>
  </si>
  <si>
    <t>7ab6babcc5144975cbbd6c778bd062b5e4ef2cfb042b9f5479f758eb5250cb57016fb93d72ae35a70ef7154f19ac2634</t>
  </si>
  <si>
    <t>105233</t>
  </si>
  <si>
    <t>19-01-2026 13:02:32</t>
  </si>
  <si>
    <t>24ef32b180959db8810a1631816d4de19b6a6bfd29a9748e9497baf5c0fdd134829aca07966f2beaddc45d41ead0614f</t>
  </si>
  <si>
    <t>105234</t>
  </si>
  <si>
    <t>19-01-2026 13:17:43</t>
  </si>
  <si>
    <t>860033227</t>
  </si>
  <si>
    <t>Cooperativa Empresarial Multiactiva Popular</t>
  </si>
  <si>
    <t>ae932f50a98c7ddd85d71386daf1b3c66987bd21dcd3bedfa967e699e2d39df3beaa8400845017be7e6bf810bbe3de78</t>
  </si>
  <si>
    <t>105235</t>
  </si>
  <si>
    <t>19-01-2026 14:18:46</t>
  </si>
  <si>
    <t>2e7b065aa6cc0800fc371ae36b24d99a1e80052e86675383b3bad9823e29b4a04300adb4e091424f29adf9ab33506029</t>
  </si>
  <si>
    <t>105236</t>
  </si>
  <si>
    <t>19-01-2026 15:18:47</t>
  </si>
  <si>
    <t>832000464</t>
  </si>
  <si>
    <t>Visionamos Salud Centro De Diagnostico Clinico SAS</t>
  </si>
  <si>
    <t>333a3700847c269283bd41f5c98b677dc0a153599fdd242f5d0eed3175d3db86acb358c03a6aed9cb765f49909059c3f</t>
  </si>
  <si>
    <t>105237</t>
  </si>
  <si>
    <t>19-01-2026 15:33:59</t>
  </si>
  <si>
    <t>FACTURA PAGA EN EL SISTEMA 27/02/2026</t>
  </si>
  <si>
    <t>7820e8bc47b7b5416daa20abbc71e9aa49f3a313323b8535db5d0dbf03db78b9813a62004495d80151e0f101183c6b4d</t>
  </si>
  <si>
    <t>105238</t>
  </si>
  <si>
    <t>19-01-2026 15:34:03</t>
  </si>
  <si>
    <t>fe9e8c57b2ad81d1ebdbbbb9b6a49b820af7f3d53e62ff8125f41ff560e5cc0ae8cfdac1e30b6a3759579ddda782b063</t>
  </si>
  <si>
    <t>105239</t>
  </si>
  <si>
    <t>19-01-2026 15:34:08</t>
  </si>
  <si>
    <t>026809fe66e70ac34ba17ed339e368cc36751db46b2070ba3b39aa9815b7f3af46971fb09aaac5d3798d42b5db7bd657</t>
  </si>
  <si>
    <t>105240</t>
  </si>
  <si>
    <t>19-01-2026 15:34:12</t>
  </si>
  <si>
    <t>bcddcb25e932d4c95524078cedbd5f9533ebd3ba68a2aec38137dd5d95a75d12a7411a6e3aade5e14d298ca782ec3060</t>
  </si>
  <si>
    <t>105241</t>
  </si>
  <si>
    <t>19-01-2026 15:34:17</t>
  </si>
  <si>
    <t>901099937</t>
  </si>
  <si>
    <t>Ferreteria Tools Center SAS</t>
  </si>
  <si>
    <t>5e85794cd8c32eb84bdd7c30864effcd2904b864a74ab7becf067738b6294472b71ad0405a32bed4ec3329661b84c656</t>
  </si>
  <si>
    <t>105242</t>
  </si>
  <si>
    <t>19-01-2026 15:34:22</t>
  </si>
  <si>
    <t>42a3ce25f25716de5f2ec32558b2a39f032b6da878a69a7185bcf37c6c3228c68d99bef1328c7c2906b19044890a533d</t>
  </si>
  <si>
    <t>105243</t>
  </si>
  <si>
    <t>19-01-2026 15:49:33</t>
  </si>
  <si>
    <t>860038299</t>
  </si>
  <si>
    <t>Pan American Life De Colombia Compañia De Seguros SA</t>
  </si>
  <si>
    <t>8ac22228a445e2eff82b0e3682f9c1aa9a8717d801496d73fa5cac40d06cf8814c7c29803a7f0dc4621eeb51e3d92117</t>
  </si>
  <si>
    <t>105244</t>
  </si>
  <si>
    <t>19-01-2026 15:49:38</t>
  </si>
  <si>
    <t>325f0ea35965f668cf0a8e42756d15eb501f4b95d801382c315ded3194af229e38622ee11f2ab85eb31dbfb850d3ebfc</t>
  </si>
  <si>
    <t>105245</t>
  </si>
  <si>
    <t>19-01-2026 15:49:42</t>
  </si>
  <si>
    <t>cfd40d8420811e90106264f1384f2c54449da4e4b1d6689264531fadfdf74033ca68ca2f4d22bf50345021dbb8b78735</t>
  </si>
  <si>
    <t>105246</t>
  </si>
  <si>
    <t>19-01-2026 15:49:47</t>
  </si>
  <si>
    <t>890984002</t>
  </si>
  <si>
    <t>Universidad CES</t>
  </si>
  <si>
    <t>83008e4d26d0cbe0669ff9c68627dbebf16ff75d17609de129a8d3980f04ccadb3abd49caf893545f91a262ef328be78</t>
  </si>
  <si>
    <t>105247</t>
  </si>
  <si>
    <t>19-01-2026 15:49:52</t>
  </si>
  <si>
    <t>830037843</t>
  </si>
  <si>
    <t>Winner Group SA</t>
  </si>
  <si>
    <t>6bd96f29471ce3a2fc2976a4b18564bf306fb8c773cb753df73645606bd73c848d4330d158d7a8f675f3429077d5ea41</t>
  </si>
  <si>
    <t>105248</t>
  </si>
  <si>
    <t>19-01-2026 15:49:56</t>
  </si>
  <si>
    <t>900896981</t>
  </si>
  <si>
    <t>Endress+Hauser Colombia SAS</t>
  </si>
  <si>
    <t>c1f660c8984b6315dab669976434687b66f290d59126fdbd2168dc45f7ddf448d7e2591ba9fc99d6deed79789166d660</t>
  </si>
  <si>
    <t>105249</t>
  </si>
  <si>
    <t>19-01-2026 15:50:01</t>
  </si>
  <si>
    <t>900353434</t>
  </si>
  <si>
    <t>Dichter Neira Colombia SAS</t>
  </si>
  <si>
    <t>4e6b07e3290f7ce0eb10b4f9e18a63eb6c4f42b7a3ee44c1975d7de7016c4bd616116880ae08a05d7556058aaa3e9660</t>
  </si>
  <si>
    <t>105250</t>
  </si>
  <si>
    <t>19-01-2026 16:05:13</t>
  </si>
  <si>
    <t>830020274</t>
  </si>
  <si>
    <t>Aei Arquitectura E Interiores SAS</t>
  </si>
  <si>
    <t>b1ef0e9d8d3c1b3c19af6080c81a17acafe7b8e53e1a11efb56e338fef12c62839e613fb041b31b1f141a1a61e39fa63</t>
  </si>
  <si>
    <t>105251</t>
  </si>
  <si>
    <t>19-01-2026 16:05:17</t>
  </si>
  <si>
    <t>baefed7c3cc2c89669dd80444f55203b9f964e15ad62a64cda9064f990ccc435a49b3873a3269800238da70a09227886</t>
  </si>
  <si>
    <t>105252</t>
  </si>
  <si>
    <t>19-01-2026 16:05:22</t>
  </si>
  <si>
    <t>900616317</t>
  </si>
  <si>
    <t>Parra Rodriguez Abogados SAS</t>
  </si>
  <si>
    <t>c04c5af04b30ff124817784f8049afd69ee5845dddec9c454d6a3600a78ff5c61547fd5136e86aaaf418c2103427175c</t>
  </si>
  <si>
    <t>105253</t>
  </si>
  <si>
    <t>19-01-2026 16:05:28</t>
  </si>
  <si>
    <t>99891788e9c6470c37d9ad355b7134a261a39bedb787fdf0ef8de07e27f7030f58802592adf283f8a5d83b77d5a804d4</t>
  </si>
  <si>
    <t>105254</t>
  </si>
  <si>
    <t>19-01-2026 16:05:32</t>
  </si>
  <si>
    <t>860016322</t>
  </si>
  <si>
    <t>Cooperativa Multiactiva De Trabajadores Empleados Y Pensionados De Exxon</t>
  </si>
  <si>
    <t>f9e79ae2d1cb99d2375cf67788017d4e6a640ea5e3b541718854877f94eaa8b4384ff14bd5f30b9321892448d83136f6</t>
  </si>
  <si>
    <t>105255</t>
  </si>
  <si>
    <t>19-01-2026 16:05:36</t>
  </si>
  <si>
    <t>830121897</t>
  </si>
  <si>
    <t>Aquia SAS</t>
  </si>
  <si>
    <t>11e4fd7e82ac020418d98e5d7f3c2af5b0e44b64116466696041e6ff6879d930e2de40071fa0e82b241a5cf28964c0cd</t>
  </si>
  <si>
    <t>105256</t>
  </si>
  <si>
    <t>19-01-2026 16:05:41</t>
  </si>
  <si>
    <t>830081058</t>
  </si>
  <si>
    <t>Morand Servicios Legales Y De Impuestos SAS</t>
  </si>
  <si>
    <t>56af8e3a3b4534a58df84b31c7bd59ea1fcfa587de08312cc351780f6f09925a21c720f5b6acaa6c547f9e12fe1f64cb</t>
  </si>
  <si>
    <t>105257</t>
  </si>
  <si>
    <t>19-01-2026 16:05:46</t>
  </si>
  <si>
    <t>830068110</t>
  </si>
  <si>
    <t>Astaf Auditores Y Consultores Contables SAS</t>
  </si>
  <si>
    <t>9c5edec4bd9d10b52179eca10f813ece010e4137d22acc756b261fc3eb9eaf1e580d01d214552de8fe466c6a38f8bfb2</t>
  </si>
  <si>
    <t>105258</t>
  </si>
  <si>
    <t>20-01-2026</t>
  </si>
  <si>
    <t>20-01-2026 07:12:20</t>
  </si>
  <si>
    <t>830051573</t>
  </si>
  <si>
    <t>Medios Y Servicios Integrados  M I S Ltda</t>
  </si>
  <si>
    <t>27c629ebb439c51c46c8ba6067b4361245a520820da1a369b6ac820d2d80d8f4d1fcb898910f3a02a6d994b041512815</t>
  </si>
  <si>
    <t>105259</t>
  </si>
  <si>
    <t>20-01-2026 07:27:31</t>
  </si>
  <si>
    <t>f3d3c575e79de30f70501fa5fbdf6f4f14b763a5fb0b12a21ec8d70f500447f7f75762463e6559085897f5d47c0f6bea</t>
  </si>
  <si>
    <t>105260</t>
  </si>
  <si>
    <t>20-01-2026 07:42:42</t>
  </si>
  <si>
    <t>6f91070bb6e1a7515a1a09d0a3c52b124127e5ba1abce52e5a471ce0bd7d63451e0b499ba9a2b5c8458db3656c82e4bc</t>
  </si>
  <si>
    <t>105261</t>
  </si>
  <si>
    <t>20-01-2026 07:42:46</t>
  </si>
  <si>
    <t>830022556</t>
  </si>
  <si>
    <t>Edificio Calle 79 Oficinas Propiedad Horizontal</t>
  </si>
  <si>
    <t>c448a46f65e38ea7c85c80ceab561655cb2d61fa90ad08b5f1144ae16777869ea31998a9bc5131df2d49fc92560f71fe</t>
  </si>
  <si>
    <t>105262</t>
  </si>
  <si>
    <t>20-01-2026 07:42:51</t>
  </si>
  <si>
    <t>900720758</t>
  </si>
  <si>
    <t>Cheil Colombia</t>
  </si>
  <si>
    <t>c960be3e2faa712693e644f58b4f6d63ecbef29646afd48915631bfd298d3257f0effd9514b9719b8414f3d1b08d38bd</t>
  </si>
  <si>
    <t>105263</t>
  </si>
  <si>
    <t>20-01-2026 07:42:56</t>
  </si>
  <si>
    <t>860350127</t>
  </si>
  <si>
    <t>Colegio Ciedi SAS</t>
  </si>
  <si>
    <t>ba665f69c9f44cdae5ae1fe4e077fdcf2a522437ed9c489f1919dadc0e087b96550d2ebb0d402dcdbbc39dde3a351bfe</t>
  </si>
  <si>
    <t>105264</t>
  </si>
  <si>
    <t>20-01-2026 07:58:06</t>
  </si>
  <si>
    <t>817001672</t>
  </si>
  <si>
    <t>Colinagro SA</t>
  </si>
  <si>
    <t>84d77f00894fb97a5339df40313cd77a9b9435e0543e0967711b9b8bd0bf4320906829fa503e231b1c9d3550f375e3d8</t>
  </si>
  <si>
    <t>105265</t>
  </si>
  <si>
    <t>20-01-2026 07:58:11</t>
  </si>
  <si>
    <t>26388da5f0f21ea74b1ba4aed6a57bb07c641b4f7bc9a8eaa73ceb1b57c870c9e140a2614ed7a579b80bc7318e4c1924</t>
  </si>
  <si>
    <t>105266</t>
  </si>
  <si>
    <t>20-01-2026 07:58:16</t>
  </si>
  <si>
    <t>373ce63c517438cd369c750af513eb187158b1d91241d1d0de096d23d26d7fbdff4efb50290c513551610c96160134b7</t>
  </si>
  <si>
    <t>105267</t>
  </si>
  <si>
    <t>20-01-2026 07:58:20</t>
  </si>
  <si>
    <t>89d7c7ddfe261e49366383e7b4d022011878885e367b283ec20e9427f9dbcff5507e8c6b8ff205427a3c895bf1ceb78c</t>
  </si>
  <si>
    <t>105268</t>
  </si>
  <si>
    <t>20-01-2026 07:58:25</t>
  </si>
  <si>
    <t>800249704</t>
  </si>
  <si>
    <t>Colwagen SAS</t>
  </si>
  <si>
    <t>9f5e59bf83080f0fba57f555590469e5fdf75c91eb7335c338ac24948f59858a43396a98bed72c9572c48f28a30cd479</t>
  </si>
  <si>
    <t>105269</t>
  </si>
  <si>
    <t>20-01-2026 07:58:30</t>
  </si>
  <si>
    <t>860071562</t>
  </si>
  <si>
    <t>Acciones Y Valores SA Comisionista De Bolsa</t>
  </si>
  <si>
    <t>4022cfef3ace65c3d011cb605d5956b0a3f22154b69ec9647118c9efd7b4a5e70d52c78d0c6cb26480a7f41472430669</t>
  </si>
  <si>
    <t>105270</t>
  </si>
  <si>
    <t>20-01-2026 07:58:34</t>
  </si>
  <si>
    <t>3aaa1a2b7e2730c24fad162fb32eecfde3b77a217eb2ec8c2cc8ac2ddaf7344a3b5c386c36a338d24bdf3fe262e6fb4b</t>
  </si>
  <si>
    <t>105271</t>
  </si>
  <si>
    <t>20-01-2026 07:58:38</t>
  </si>
  <si>
    <t>0cfb92e468e9955bd1d7e2632e4748fdde2b5f1b330603b8d796974808c037e5d6c1dc27d35ae4eae939197b7f410628</t>
  </si>
  <si>
    <t>105272</t>
  </si>
  <si>
    <t>20-01-2026 07:58:43</t>
  </si>
  <si>
    <t>901057541</t>
  </si>
  <si>
    <t>Labodigital Colombia SAS</t>
  </si>
  <si>
    <t>e8a53fae1c68464df9c6cf7616738f88b725d45cb7ce2cea8691f83dd392d2b1245237bcfb302abedd3863cb05912b11</t>
  </si>
  <si>
    <t>105273</t>
  </si>
  <si>
    <t>20-01-2026 07:58:48</t>
  </si>
  <si>
    <t>900477097</t>
  </si>
  <si>
    <t>Deep Blue Ship Agency SAS</t>
  </si>
  <si>
    <t>7ab31fb969c3895b27faa6c90acd74164f5a4115f90398e0c265863a609e86966e757cfd7799a3b84bf073d45a31297a</t>
  </si>
  <si>
    <t>105274</t>
  </si>
  <si>
    <t>20-01-2026 08:13:59</t>
  </si>
  <si>
    <t>faec847648fb53470be1c7362d54fd5aff373260fa47fdb86a9b09fa5e587fecd4d94ee1f52c79faf5b691e3f8a907fc</t>
  </si>
  <si>
    <t>105275</t>
  </si>
  <si>
    <t>20-01-2026 08:14:05</t>
  </si>
  <si>
    <t>860001778</t>
  </si>
  <si>
    <t>Industrias Ivor SA Casa Inglesa</t>
  </si>
  <si>
    <t>e4d6aebad78e8e1e521178fcf7d2b65a19e4df969952b4e97ddf8cc4a1cddae5c508e70991fd6f36367f7bcb20c38b3f</t>
  </si>
  <si>
    <t>105276</t>
  </si>
  <si>
    <t>20-01-2026 08:14:09</t>
  </si>
  <si>
    <t>900458332</t>
  </si>
  <si>
    <t>Ferreteria Importadora Colombiana SAS</t>
  </si>
  <si>
    <t>c62b561a54e1716963cc1fd79a7c48bd9c6bc112dbdfd9b73f85b83aa97190fdc327defcd73eec9101914d43e282ad65</t>
  </si>
  <si>
    <t>105277</t>
  </si>
  <si>
    <t>20-01-2026 08:14:14</t>
  </si>
  <si>
    <t>89a4767640a0d91303234e7819b94db6cbb00392aa461a965e8585a6e1ca0a5dc92c4b755e4a77bf5e89ae8a0baf9da3</t>
  </si>
  <si>
    <t>105278</t>
  </si>
  <si>
    <t>20-01-2026 08:14:19</t>
  </si>
  <si>
    <t>ec56128188bb39ddc4952e3670237780dac6d3b3f5110c4488b7299e247dc7ea7ad68838b67c849a171b67d2005ff108</t>
  </si>
  <si>
    <t>105279</t>
  </si>
  <si>
    <t>20-01-2026 08:14:23</t>
  </si>
  <si>
    <t>860009985</t>
  </si>
  <si>
    <t>Congregacion De Los Hermanos De Las Escuelas Cristianas</t>
  </si>
  <si>
    <t>626c57ea206da90b3a3e102923193ac80cad26da9585d536e73e84ba6779071c8abe71506da7aba2c84bd65441dd8110</t>
  </si>
  <si>
    <t>105280</t>
  </si>
  <si>
    <t>20-01-2026 08:14:27</t>
  </si>
  <si>
    <t>901146434</t>
  </si>
  <si>
    <t>Area Limpia Distrito Capital SAS E.S.P</t>
  </si>
  <si>
    <t>cd3b70acc7b3b0a20c8cb58c87e377a8be09f802380937807c337eee511cef9d2bb4b3c2cc8399f0f76921a6991cc7ba</t>
  </si>
  <si>
    <t>105281</t>
  </si>
  <si>
    <t>20-01-2026 08:14:32</t>
  </si>
  <si>
    <t>fa7eefbe0bcc1675752324ae90b2bd38566b55ed44d4669ef253ca3362d56c8552ffba3e3a3fc85051885e3453e67584</t>
  </si>
  <si>
    <t>105282</t>
  </si>
  <si>
    <t>20-01-2026 08:14:36</t>
  </si>
  <si>
    <t>f79e2924b7e618cca081d662c53317539ddbaa18eb7e8c825d278127f14a01c463a1fcbf411ea407b6d7bdc2a49bda99</t>
  </si>
  <si>
    <t>105283</t>
  </si>
  <si>
    <t>20-01-2026 08:14:42</t>
  </si>
  <si>
    <t>900916608</t>
  </si>
  <si>
    <t>Gavinco Ingenieros Consultores SAS</t>
  </si>
  <si>
    <t>77b5944670d4ba0a7bc55e2292993f32510a7e32093e9e68f941df537910d15853f5dc259270f425d36288c9dab944e0</t>
  </si>
  <si>
    <t>105284</t>
  </si>
  <si>
    <t>20-01-2026 08:14:45</t>
  </si>
  <si>
    <t>901907841</t>
  </si>
  <si>
    <t xml:space="preserve">Consorcio Inter - Cp </t>
  </si>
  <si>
    <t>db97875cc4d85ff916222c664a59538083be02449f549273363c9be28d5138b6cb4798c9889a880ae804a1e2d8bc43cf</t>
  </si>
  <si>
    <t>105285</t>
  </si>
  <si>
    <t>20-01-2026 08:14:52</t>
  </si>
  <si>
    <t>901900502</t>
  </si>
  <si>
    <t>Consorcio Inter - Pas</t>
  </si>
  <si>
    <t>902589aa907ae3a43ab8adeacfce78f359ee0a6e01bba8b7735f8bca6a364ff1ee250024359371ec7d11ef7cb63f7827</t>
  </si>
  <si>
    <t>105286</t>
  </si>
  <si>
    <t>20-01-2026 08:14:55</t>
  </si>
  <si>
    <t>900182389</t>
  </si>
  <si>
    <t>Camara De Riesgo Central De Contraparte De Colombia S A</t>
  </si>
  <si>
    <t>8e7805361e40f2e027cdb703c81f334ccb12f691ea800b4e5c53c92af18f763a865ecf567d56391acfb30971b324bbbc</t>
  </si>
  <si>
    <t>105287</t>
  </si>
  <si>
    <t>20-01-2026 08:15:00</t>
  </si>
  <si>
    <t>830014450</t>
  </si>
  <si>
    <t>Ingenieria Y Telecomunicaciones SAS</t>
  </si>
  <si>
    <t>6bfd6d915840dbbd8fcea1edf6cb21e3194369fdb6cdd686eba38ccb3681831fc5eb34431bd4cd9f92a570497de0e393</t>
  </si>
  <si>
    <t>105288</t>
  </si>
  <si>
    <t>20-01-2026 08:15:03</t>
  </si>
  <si>
    <t>d05f9a4d3d301a5be3864ab17bfd3d742c9d93f102bee7733b85b807f5d0ebc5b91ddf444e9b38b7dfbd47c57ab2f926</t>
  </si>
  <si>
    <t>105289</t>
  </si>
  <si>
    <t>20-01-2026 08:15:09</t>
  </si>
  <si>
    <t>6dc000cfc2bd48f1c4379242e9f82d2f03ca85bd2c743460f0f04007b41a93739b99845fc7db742b9c18150ef655c9fa</t>
  </si>
  <si>
    <t>105290</t>
  </si>
  <si>
    <t>20-01-2026 08:15:13</t>
  </si>
  <si>
    <t>69e5ad86677df9b6f893137c71fb7e8e476747b7cb02f990bafc54db4b68f84dba23dcdb693fcc07857677af84b06266</t>
  </si>
  <si>
    <t>105291</t>
  </si>
  <si>
    <t>20-01-2026 08:30:29</t>
  </si>
  <si>
    <t>900298025</t>
  </si>
  <si>
    <t>Curquin SAS</t>
  </si>
  <si>
    <t>fdbafa34d28bfc8edf367bbe7c16f2af8337618c44cff83069529f916502d0c0d323206a2b8ffcd816e949cbc089142d</t>
  </si>
  <si>
    <t>105292</t>
  </si>
  <si>
    <t>20-01-2026 08:30:33</t>
  </si>
  <si>
    <t>900885028</t>
  </si>
  <si>
    <t>Union Temporal Servicios Especializados De Registro Y Transito - Socha</t>
  </si>
  <si>
    <t>bffc4e5a91f77181e7412cee5cca9d00e53ac5d8993c6093f36904a9dc5ddfc9b5cf3904c682c8e1e943a1115187ace4</t>
  </si>
  <si>
    <t>105293</t>
  </si>
  <si>
    <t>20-01-2026 08:30:38</t>
  </si>
  <si>
    <t>860090721</t>
  </si>
  <si>
    <t>Colviseg Colombiana De Vigilancia Y Seguridad Ltda</t>
  </si>
  <si>
    <t>8d07b7227e3967d19baa2b7d83003670a12f9eef3c3b62121b3d0149cbb4337d22bf8b7c8c25659a1c2a767f566d470f</t>
  </si>
  <si>
    <t>105294</t>
  </si>
  <si>
    <t>20-01-2026 08:30:43</t>
  </si>
  <si>
    <t>830089785</t>
  </si>
  <si>
    <t xml:space="preserve">Pegomax S A S </t>
  </si>
  <si>
    <t>1fd3fb702a72f68f3739f608327f3f9378aca2100d7e5750b4a486b9746053ef3230a67cd52614117bdce868bc0dd61d</t>
  </si>
  <si>
    <t>105295</t>
  </si>
  <si>
    <t>20-01-2026 08:30:47</t>
  </si>
  <si>
    <t>901494846</t>
  </si>
  <si>
    <t>Overnia S A S</t>
  </si>
  <si>
    <t>ef55131686ee800ee5f6f0b2b441dd80920e7076060c523b08b89b12b02c904a1dcb6decfbda5a530ce62eb38a1954fc</t>
  </si>
  <si>
    <t>105296</t>
  </si>
  <si>
    <t>20-01-2026 08:30:53</t>
  </si>
  <si>
    <t>860002184</t>
  </si>
  <si>
    <t>Axa Colpatria Seguros SA</t>
  </si>
  <si>
    <t>FACTURA PAGA EN EL SISTEMA 29/01/2026</t>
  </si>
  <si>
    <t>fce083a9058aeff9e72cf98cbf6cc8f0eecfe251843a364d4cd4795ceb5b4343c2d8d2b920547dfa906fb4301bb98ff9</t>
  </si>
  <si>
    <t>105297</t>
  </si>
  <si>
    <t>20-01-2026 08:30:56</t>
  </si>
  <si>
    <t>c4bd317c249851b42264290d042f6d9fa9593bd61c121d8f7b5ff41fa0fb6f40520a161c532e49a52e3b54040cb6a640</t>
  </si>
  <si>
    <t>105298</t>
  </si>
  <si>
    <t>20-01-2026 08:31:01</t>
  </si>
  <si>
    <t>6a4fd2b85e01b36cd65101d6852a5b6eeee8850c1d027be393e3826f502ae1e177f06ad6802ed73b4353728ef2a2aac8</t>
  </si>
  <si>
    <t>105299</t>
  </si>
  <si>
    <t>20-01-2026 08:46:16</t>
  </si>
  <si>
    <t>7dd7b31224166691889dbf4fbc5d8b3cc2791607a5f4ed2b58ec2490178d48482ea37bde435f8796c0341df5e83e3ff2</t>
  </si>
  <si>
    <t>105300</t>
  </si>
  <si>
    <t>20-01-2026 09:02:09</t>
  </si>
  <si>
    <t>ad0ff55eb9c75f0a52f2ff35d4abeb998dbc94ea05e6ae12136dbb94b9b5d061ebd1ec7427514df2882fcab023090f8a</t>
  </si>
  <si>
    <t>105301</t>
  </si>
  <si>
    <t>20-01-2026 09:31:41</t>
  </si>
  <si>
    <t>830125837</t>
  </si>
  <si>
    <t>Mass Digital SAS</t>
  </si>
  <si>
    <t>PAGA EN EL SISTEMA 23/02/2026</t>
  </si>
  <si>
    <t>aa069b83e2b0ffce957c7f8264b95028a7a4526e86f9e28dc7b32512790ea09626101b753d6796d8dbb9748f82046c8d</t>
  </si>
  <si>
    <t>105302</t>
  </si>
  <si>
    <t>20-01-2026 09:31:47</t>
  </si>
  <si>
    <t>ae11f3f012e2f6ccf4ee3df0c8256dbe2c7db19c8fcff0fbc879351aab75737c17c7ba99ee95fdb3e84bb673eab8e645</t>
  </si>
  <si>
    <t>20-01-2026 09:31:51</t>
  </si>
  <si>
    <t>b011f8923ab1d9e6e4109ba681724df9627748c6037fa0672f559788ef712bee1049c5ba5eeeb720e40ff905244dc5f4</t>
  </si>
  <si>
    <t>105304</t>
  </si>
  <si>
    <t>20-01-2026 09:31:59</t>
  </si>
  <si>
    <t>447a9801c285439cc8e483182f612744fe4fead4dd769dd3dfcb52a7437e1a9e9627283893e9ee0cff68f6f6de51e048</t>
  </si>
  <si>
    <t>105305</t>
  </si>
  <si>
    <t>20-01-2026 09:32:07</t>
  </si>
  <si>
    <t>e2365da4f7e681acce5ef41b30d895676bce4c4297f548c22300b93c5d9062e7a08cfca69a739929e854d824508b2843</t>
  </si>
  <si>
    <t>105306</t>
  </si>
  <si>
    <t>20-01-2026 10:02:25</t>
  </si>
  <si>
    <t>8533b5dd99a0429348ce2269dd52f9cb4355d83e4b4c9ed677b72fc2b8f3fa45be4c4d144362d9e032978e1ea629b0f7</t>
  </si>
  <si>
    <t>105307</t>
  </si>
  <si>
    <t>20-01-2026 10:02:29</t>
  </si>
  <si>
    <t>96e572808d5402140c1480b3b8c6a9868a235998d760084772c721619b0949d7ab399a639275bf50192a6c9b8e1a0ee4</t>
  </si>
  <si>
    <t>105308</t>
  </si>
  <si>
    <t>20-01-2026 10:02:34</t>
  </si>
  <si>
    <t>258351ae726a02aa17e609a20ee5e97b5a9388b1be2e983b99bdaa9932cb4b4ff47fe14a432a894f008fc9380818b1f5</t>
  </si>
  <si>
    <t>105309</t>
  </si>
  <si>
    <t>20-01-2026 10:02:41</t>
  </si>
  <si>
    <t>173940c6afda7f9ffcff5f68fadf5a765a30afdd2790991e6581e9e1d90eb5e587ace9d7577178388f8da42f5b3d3ab5</t>
  </si>
  <si>
    <t>105310</t>
  </si>
  <si>
    <t>20-01-2026 10:02:43</t>
  </si>
  <si>
    <t>800018165</t>
  </si>
  <si>
    <t>Jargu SA Corredores De Seguros</t>
  </si>
  <si>
    <t>cfafcd3825ffbd6919c9532e54bafe80a19e2e42d94d30bea439e9481782f62b54d6ed5124ee65ba9c59e0ab14be26a6</t>
  </si>
  <si>
    <t>105311</t>
  </si>
  <si>
    <t>20-01-2026 10:02:48</t>
  </si>
  <si>
    <t>7e62e78738849dfb4c8f46aef0e92c83bd6f36f3aef9ba1d93c52961d5d9dd033e2d0b7a70c6c4c6bb885269dd7ca7a7</t>
  </si>
  <si>
    <t>105312</t>
  </si>
  <si>
    <t>20-01-2026 10:33:06</t>
  </si>
  <si>
    <t>518f2779c68aa09773ab3b89b20f70f43241693ae1d1d6298c990d07ccc7dc3991914840b72aeb9a8f71423bd7d8a892</t>
  </si>
  <si>
    <t>105313</t>
  </si>
  <si>
    <t>20-01-2026 10:33:11</t>
  </si>
  <si>
    <t>901882241</t>
  </si>
  <si>
    <t>Dalog Americas SAS</t>
  </si>
  <si>
    <t>49969f8f24dc2160dc586e07360a1a75dbccaf9a500db0749c7d4f150c33b4c90884021d6dcec7d0b33759474147bda7</t>
  </si>
  <si>
    <t>105314</t>
  </si>
  <si>
    <t>20-01-2026 10:33:15</t>
  </si>
  <si>
    <t>80d5aed4648de18b7df8f3078c805d844000a03953ac7fd2b9ac69491d56d942cefa10fff7e9a266783a46bc203394fe</t>
  </si>
  <si>
    <t>105315</t>
  </si>
  <si>
    <t>20-01-2026 10:33:20</t>
  </si>
  <si>
    <t>901061978</t>
  </si>
  <si>
    <t>Perfiles Tecnologicos SAS</t>
  </si>
  <si>
    <t>78521ed81bec1b42ae31b3e614799b1d9c7750a314c3da4fce6299deb241d2417812f3a4ce80a536293054ca7dfc60a6</t>
  </si>
  <si>
    <t>105316</t>
  </si>
  <si>
    <t>20-01-2026 10:48:31</t>
  </si>
  <si>
    <t>b32629ebc13dcd8d7deaca86504932614acdc1ebbe35966099e9cc7b7a8cdd59bbe912756ab3a713949a8715aaeefa6f</t>
  </si>
  <si>
    <t>105317</t>
  </si>
  <si>
    <t>20-01-2026 10:48:35</t>
  </si>
  <si>
    <t>830130520</t>
  </si>
  <si>
    <t>Arm Transformadores SAS</t>
  </si>
  <si>
    <t>e3dfb15ee67482eec69a6654a1a17041efbf4af2892c466884c08c0e46f3d97804b6b1356279ae1d968e3a517990cd30</t>
  </si>
  <si>
    <t>105318</t>
  </si>
  <si>
    <t>20-01-2026 10:48:41</t>
  </si>
  <si>
    <t>891101577</t>
  </si>
  <si>
    <t>Alcanos De Colombia SA ESP</t>
  </si>
  <si>
    <t>6441f91097fa392d8b8b73bf4b865a944a02957b8d255a065eb29a779ca37e2b27fe7cc77d163c7d38d7a688593e1979</t>
  </si>
  <si>
    <t>105319</t>
  </si>
  <si>
    <t>20-01-2026 11:03:51</t>
  </si>
  <si>
    <t>901202687</t>
  </si>
  <si>
    <t>Seguritech Colombia SAS</t>
  </si>
  <si>
    <t>13ca205862d07f15ec9d43164d0038f34fd0ccc6ee7141fd754d6614f24ef4fc9bc3f24eebd65086a4025877c2143d67</t>
  </si>
  <si>
    <t>105320</t>
  </si>
  <si>
    <t>20-01-2026 11:03:56</t>
  </si>
  <si>
    <t>900705294</t>
  </si>
  <si>
    <t>Yipao S A S</t>
  </si>
  <si>
    <t>15e66a0aa2fd42b6b37b1b02a35b79a37df9d8a2bc1b657b8e2e54f3614431be64b22cb3b315c2702174b71629af9be3</t>
  </si>
  <si>
    <t>105321</t>
  </si>
  <si>
    <t>20-01-2026 11:04:01</t>
  </si>
  <si>
    <t>830110734</t>
  </si>
  <si>
    <t>Servicio De Ingenieria Transito Y Tecnologia SAS Sitt Y Cia SAS</t>
  </si>
  <si>
    <t>90a57726fd3c9da88b2318b813bf5debf96f1d28b254be5ea1474705193ab3890942eabe175f06f6e656f9c74c6916c9</t>
  </si>
  <si>
    <t>105322</t>
  </si>
  <si>
    <t>20-01-2026 11:04:06</t>
  </si>
  <si>
    <t>4b1fd4bd79745c5dccb531b2b097e00ce77c59f561e30eac58388790fd960eed9e8f1e4314bf71d5dc64084384906359</t>
  </si>
  <si>
    <t>105323</t>
  </si>
  <si>
    <t>20-01-2026 11:19:23</t>
  </si>
  <si>
    <t>901732247</t>
  </si>
  <si>
    <t>Thunder Production SAS</t>
  </si>
  <si>
    <t>fdffceefd1cf1b5516b399f10017b82ad9eee4387977b0bc2bbd8785cd5a1fec46a11967dc1db3fd556fa8fb9be53c84</t>
  </si>
  <si>
    <t>105324</t>
  </si>
  <si>
    <t>20-01-2026 11:19:24</t>
  </si>
  <si>
    <t>830090909</t>
  </si>
  <si>
    <t>Centak Andina SAS</t>
  </si>
  <si>
    <t>fcef1a5ed0407857f3a7f10dc72e3db0099c33ec4f328d76b084b995868b86940d519be4dd3cbb164e1d3470ee2b78cb</t>
  </si>
  <si>
    <t>105325</t>
  </si>
  <si>
    <t>20-01-2026 11:20:32</t>
  </si>
  <si>
    <t>9770ccab785e2e45b9d8775259a5cca1eca4a1740900a36e3761d94d3024ceeef5de0a88abe6cf450d9e23cd1707b4f4</t>
  </si>
  <si>
    <t>105326</t>
  </si>
  <si>
    <t>20-01-2026 11:19:32</t>
  </si>
  <si>
    <t>860001615</t>
  </si>
  <si>
    <t>Automundial SA</t>
  </si>
  <si>
    <t>e890ea0af3edff2c502f2365a8cdeeb30f1a06c9eec87c080b1e306a3ba076a22233dc74ff42c9a583c81127fb67b359</t>
  </si>
  <si>
    <t>105327</t>
  </si>
  <si>
    <t>20-01-2026 11:19:36</t>
  </si>
  <si>
    <t>800016635</t>
  </si>
  <si>
    <t>Corporacion San Isidro</t>
  </si>
  <si>
    <t>0b7a906be60e013c0c2594fad145ffff6bd2d7f4853684fbb3f928f3388b9076a727c0d93fb9b8cabc2d49b17bc98fec</t>
  </si>
  <si>
    <t>105328</t>
  </si>
  <si>
    <t>20-01-2026 11:19:41</t>
  </si>
  <si>
    <t>PAGA EN EL SISTEMA 10/02/2026</t>
  </si>
  <si>
    <t>099913969fc196e76c79bff2293b5e09964bd6d6b1aba65305dc0cef559c6e16443191ada72ad881e7168446e0dad981</t>
  </si>
  <si>
    <t>105329</t>
  </si>
  <si>
    <t>20-01-2026 11:19:45</t>
  </si>
  <si>
    <t>e3314d2336bddb877217f3640d13cafe9671cd22f878e29e5405db9906ebf4e20c864ae98f8bb69763664e8273d16f72</t>
  </si>
  <si>
    <t>105330</t>
  </si>
  <si>
    <t>20-01-2026 11:35:42</t>
  </si>
  <si>
    <t>901811099</t>
  </si>
  <si>
    <t>Consultec Offshore Zona Franca SAS</t>
  </si>
  <si>
    <t>PAGA EN EL SISTEMA 24/02/2026</t>
  </si>
  <si>
    <t>e31bdcf57a1ff7d202274ca5f28b562d5af55794304928f3c8fd33004385957f5ca3f0d7cf19172149262c73c09bf20e</t>
  </si>
  <si>
    <t>105331</t>
  </si>
  <si>
    <t>901034380</t>
  </si>
  <si>
    <t>The Muzo Foundation</t>
  </si>
  <si>
    <t>f4e99a9dc3cc969c35c5365b7fb4ba363051bc0440a3e99c662432a257e776613715a03a7f9247830cc125b3a4fc62e4</t>
  </si>
  <si>
    <t>105332</t>
  </si>
  <si>
    <t>20-01-2026 11:50:12</t>
  </si>
  <si>
    <t>891700037</t>
  </si>
  <si>
    <t>Mapfre Seguros Generales De Colombia SA</t>
  </si>
  <si>
    <t>f1fe2767baf366abde5a843fc404f89a9252b1b02a7cd85a7c5550273967e382bbe68b4d0d22e87dc4e08552355b3504</t>
  </si>
  <si>
    <t>105333</t>
  </si>
  <si>
    <t>20-01-2026 11:50:16</t>
  </si>
  <si>
    <t>8bae59be55c1c48d4c66f3b5782e5713d0eb428bc4431824a14cd50c2d47c1d899c3532d324c62d8a9c70ff38ff39a6b</t>
  </si>
  <si>
    <t>105334</t>
  </si>
  <si>
    <t>20-01-2026 11:50:21</t>
  </si>
  <si>
    <t>800106962</t>
  </si>
  <si>
    <t>Omnitempus Limitada</t>
  </si>
  <si>
    <t>1082ea4aa45c910301f8d8214b3f77bd154973644322873c0c88aeb5d52edae90c15a2f8a1a9df57bf2a787112f32571</t>
  </si>
  <si>
    <t>105335</t>
  </si>
  <si>
    <t>20-01-2026 11:50:25</t>
  </si>
  <si>
    <t>19b9b6559b06ae41b56511943d7af11c79d44824379145c0aaa433b6d145d6e520a385133ce4b2987da900446e195f5b</t>
  </si>
  <si>
    <t>105336</t>
  </si>
  <si>
    <t>20-01-2026 12:05:36</t>
  </si>
  <si>
    <t>827c25680655d52ff7d7e39516c07e95e61fe4403255b035a5b0a0b32ed3d9b2ae4d13c58f879afb361b0d0ede74bcee</t>
  </si>
  <si>
    <t>105337</t>
  </si>
  <si>
    <t>20-01-2026 12:20:48</t>
  </si>
  <si>
    <t>860503159</t>
  </si>
  <si>
    <t>Pash SAS</t>
  </si>
  <si>
    <t>fc6dc5d57f1582fd51269bf7fc0aa9eec132f2f3898b3f9b5bfe587105f527a44c5f5e2fc853efeb518999ccb40132f8</t>
  </si>
  <si>
    <t>105338</t>
  </si>
  <si>
    <t>20-01-2026 12:20:52</t>
  </si>
  <si>
    <t>a94c8a207bd7e1501122f1d975bdeee9c7797f5ad889d4d4394c030cc6249fcd6016938de101354e7ad017604b801779</t>
  </si>
  <si>
    <t>105339</t>
  </si>
  <si>
    <t>20-01-2026 12:36:08</t>
  </si>
  <si>
    <t>900774333</t>
  </si>
  <si>
    <t>Patria Investments Colombia SAS</t>
  </si>
  <si>
    <t>3db5ec8ef082a94156324b689222f136d8394259896bbe0dbaedeb3cdae2909200a0aa614640b42cdf5b17d35d82fdbf</t>
  </si>
  <si>
    <t>105340</t>
  </si>
  <si>
    <t>20-01-2026 13:06:26</t>
  </si>
  <si>
    <t>bfc1949a883a7dd9f070cba19afe3967f4c8562cbdd47979dc8c52bf7d9f4432c5b935fe40efb11f7d0e7352c5a6f1f3</t>
  </si>
  <si>
    <t>105341</t>
  </si>
  <si>
    <t>20-01-2026 14:37:09</t>
  </si>
  <si>
    <t>84590ad9493d31bed3eae37d084152f78851475dc8e57fdb8d7dee1801e3de3e228285e43560143022680a5263f4d08c</t>
  </si>
  <si>
    <t>105342</t>
  </si>
  <si>
    <t>20-01-2026 14:37:15</t>
  </si>
  <si>
    <t>NC 5894</t>
  </si>
  <si>
    <t>f9708d3e965a56e6e6b7c2cd7cd9f1380c99a110c9e5e95312210cd4674623ef78963d28e7b183ba0c32c49c176c0d41</t>
  </si>
  <si>
    <t>105343</t>
  </si>
  <si>
    <t>20-01-2026 14:37:19</t>
  </si>
  <si>
    <t>900422533</t>
  </si>
  <si>
    <t>Nutrabiotics SAS</t>
  </si>
  <si>
    <t>eebf0c04972f63853fe5bf1998231eeddcaf7e749fce461f1904a2b71b71afd38491ba4c4e0aeae6a065a5b733f8a3d2</t>
  </si>
  <si>
    <t>105344</t>
  </si>
  <si>
    <t>20-01-2026 14:37:24</t>
  </si>
  <si>
    <t>28508a71d731d1c73671d31ba987f21e92cb249c418a9b953cd4dca68afa7e56af8166fd5a7bedcf59325533c0b291a7</t>
  </si>
  <si>
    <t>105345</t>
  </si>
  <si>
    <t>20-01-2026 14:52:35</t>
  </si>
  <si>
    <t>4af24d7039478717dd54fe1bda5282b05f0a82ec499298f3164c0ab990ee18654683887c6315381f39854944161a28d2</t>
  </si>
  <si>
    <t>105346</t>
  </si>
  <si>
    <t>20-01-2026 14:52:39</t>
  </si>
  <si>
    <t>bae62af373fe4f0128e8fa7b34d1a0d96210499301a727d0c72bd36f8f44d022de4d130452616b624e88e82c44898d05</t>
  </si>
  <si>
    <t>105347</t>
  </si>
  <si>
    <t>20-01-2026 15:07:50</t>
  </si>
  <si>
    <t>9884e4143abf883eb8ec536b53817c25e2098c95d53fd09f02b931ae6c75e3b7260224ea65e01a0da4c9cd556567fdc4</t>
  </si>
  <si>
    <t>105348</t>
  </si>
  <si>
    <t>20-01-2026 15:07:55</t>
  </si>
  <si>
    <t>0d8f69682c8dfc881e792d7375842753a74ee0d140b5fc89597668c33cf92b2604097f8e7ba81446142dc82e2dc5c3cc</t>
  </si>
  <si>
    <t>105349</t>
  </si>
  <si>
    <t>20-01-2026 15:08:05</t>
  </si>
  <si>
    <t>b2ffcb6dab38c94649aea133cea1d79153a018c9af828a6f9ce9b8412874a84dec3172601c1ba085f956d81476b59405</t>
  </si>
  <si>
    <t>105350</t>
  </si>
  <si>
    <t>20-01-2026 15:23:19</t>
  </si>
  <si>
    <t>800161633</t>
  </si>
  <si>
    <t>Constructora Las Galias S A S</t>
  </si>
  <si>
    <t>PAGA EN EL SISTEMA 2/03/2026</t>
  </si>
  <si>
    <t>1b13f0c5e0a15770d416787d4c00b3fbe03a0d873630570371ca97f91738bf33642d18bf99ca22039c560e29a560900a</t>
  </si>
  <si>
    <t>105351</t>
  </si>
  <si>
    <t>20-01-2026 15:23:31</t>
  </si>
  <si>
    <t>b6bb77714ce1a54eb79e20c1f97469a031d1e955d3754ab03252dd91eee5ed217f422152410401fd70a9d899ca9281ac</t>
  </si>
  <si>
    <t>105352</t>
  </si>
  <si>
    <t>20-01-2026 15:40:25</t>
  </si>
  <si>
    <t>900577140</t>
  </si>
  <si>
    <t>Larrain Vial Colombia SA Comisionista De Bolsa</t>
  </si>
  <si>
    <t>6d7ee410ad07a8a7e53ed659e7dbcc8d3afd8e77e252cd4612ffce56a5a91aebed27752b9ddfc42951185718b11f774a</t>
  </si>
  <si>
    <t>105353</t>
  </si>
  <si>
    <t>20-01-2026 15:40:22</t>
  </si>
  <si>
    <t>830094312</t>
  </si>
  <si>
    <t>Visual Point SAS</t>
  </si>
  <si>
    <t>f7e086123747f9f39420f7476e6d6c5f7e5eb69b76897d75b251beb83e4264ca43867a65472d63e428e707a096a68453</t>
  </si>
  <si>
    <t>20-01-2026 15:40:28</t>
  </si>
  <si>
    <t>da1831bad8c58e780662cc7130bf4959aaed854b932abfec0697584e2a9f8880b8d332fb133f11830410b7d8544d6b61</t>
  </si>
  <si>
    <t>2780b81b1b4a4d75fb4a4e428b9a72782fea933d3ee8a919102494e7d92a17ad059156e3d61b1d931e33949f1c6c7d46</t>
  </si>
  <si>
    <t>105356</t>
  </si>
  <si>
    <t>20-01-2026 15:40:30</t>
  </si>
  <si>
    <t>58192a29776d5570a5340635f77e674dfc9a0ec937611cc0ab595f52ee7a3ca65822294c4190f7b0165700b014d4d09e</t>
  </si>
  <si>
    <t>105357</t>
  </si>
  <si>
    <t>20-01-2026 15:40:31</t>
  </si>
  <si>
    <t>3db5f0bb7fc12776d83b0d52ef22e4b4baa3dfd887d174f39ef4a0340decf4a086c1445ef9467aa26ce7ed8395422059</t>
  </si>
  <si>
    <t>105358</t>
  </si>
  <si>
    <t>20-01-2026 15:40:41</t>
  </si>
  <si>
    <t>900387076</t>
  </si>
  <si>
    <t>Inetum España SA Sucursal Colombia</t>
  </si>
  <si>
    <t>aa05329397519ad9d36d77631b362c538a43b16da517d46ff96c23f2c3c0138b854faa400cf29754de88da9339b7fc32</t>
  </si>
  <si>
    <t>105359</t>
  </si>
  <si>
    <t>20-01-2026 15:40:35</t>
  </si>
  <si>
    <t>830115738</t>
  </si>
  <si>
    <t>Sec Latam Comunicaciones Estrategicas SAS</t>
  </si>
  <si>
    <t>f9132b74846ad996c1eaef0057fe6b7adec746b73c3a4b2ded7bed675dbfd5e20b58d0031c6294151832d40824e1a54e</t>
  </si>
  <si>
    <t>105360</t>
  </si>
  <si>
    <t>20-01-2026 15:40:39</t>
  </si>
  <si>
    <t>800201307</t>
  </si>
  <si>
    <t>Coala Arquitectura Y Construccion SAS</t>
  </si>
  <si>
    <t>314244e10774d44a8296a12072ca4fc02ebf26a79c865c723a2fe0877570acb87dfc61e16fe316cb26b86823f67fb982</t>
  </si>
  <si>
    <t>105361</t>
  </si>
  <si>
    <t>20-01-2026 15:54:30</t>
  </si>
  <si>
    <t>830000844</t>
  </si>
  <si>
    <t>Business People Unlimited SAS</t>
  </si>
  <si>
    <t>0be9afc98e4330c08d9a7f54b759eaa95f76ec7373af3204253f4e9f7bb5bebe00e362b410f0bcbe98b22d27cf3ae15b</t>
  </si>
  <si>
    <t>105362</t>
  </si>
  <si>
    <t>20-01-2026 15:54:35</t>
  </si>
  <si>
    <t>5f862d74112c8cefec227a79c1a2e0931f72cb2765d87c6d37a0451e5e3ffdc1645583e7d8e5639b2acc0cc48807bf21</t>
  </si>
  <si>
    <t>105363</t>
  </si>
  <si>
    <t>20-01-2026 15:54:39</t>
  </si>
  <si>
    <t>23c9d743e575768f7a911e05291cff044bdb7baee28166320af2b82d46b261da93dd49585f2bab6d423a6ea87b36db9a</t>
  </si>
  <si>
    <t>105364</t>
  </si>
  <si>
    <t>20-01-2026 15:54:44</t>
  </si>
  <si>
    <t>6ab6b041bece6236ac82a835da0a10992929304ddbcec91788eb1e73ca7c18a5019dc3b7047c385debdaf6d4219ac897</t>
  </si>
  <si>
    <t>105365</t>
  </si>
  <si>
    <t>20-01-2026 15:54:49</t>
  </si>
  <si>
    <t>860402847</t>
  </si>
  <si>
    <t>Corporacion Educativa Los Nogales</t>
  </si>
  <si>
    <t>PAGA EN EL SISTEMA 9/02/2026</t>
  </si>
  <si>
    <t>93ffb86be9dbd37231db86748cdd6d0eb8b7e4d1cc7d0c00f6caa7d485d07b289fff49cabc6150e7efe4c18c9205183b</t>
  </si>
  <si>
    <t>105366</t>
  </si>
  <si>
    <t>20-01-2026 15:54:53</t>
  </si>
  <si>
    <t>900237820</t>
  </si>
  <si>
    <t>Quantum Data Processing De Colombia SAS</t>
  </si>
  <si>
    <t>9d7555fa17d3b40be17abaa2f05dea320c7cb8e5c642a674b617cc57811aa1b20b5aac54249d0619f5c7dadb147c7c62</t>
  </si>
  <si>
    <t>105367</t>
  </si>
  <si>
    <t>20-01-2026 15:54:59</t>
  </si>
  <si>
    <t>52730350</t>
  </si>
  <si>
    <t>Carolina  Bossa Obregozo</t>
  </si>
  <si>
    <t>a4199d2edbcc7e6e2f0c9c2e34706d58009c4a04c60d651c97add8a3c189ac55b3430895f1cc3a751f02386188d5f04f</t>
  </si>
  <si>
    <t>105368</t>
  </si>
  <si>
    <t>20-01-2026 16:10:09</t>
  </si>
  <si>
    <t>d0da2050036e09030a189b4386a3fcd3d686e657ba4516d411a5416b46e9df6e5ae214c18bf02e22d3d28c847389565d</t>
  </si>
  <si>
    <t>105369</t>
  </si>
  <si>
    <t>21-01-2026</t>
  </si>
  <si>
    <t>21-01-2026 07:47:01</t>
  </si>
  <si>
    <t>800172871</t>
  </si>
  <si>
    <t>Geocol Consultores SA</t>
  </si>
  <si>
    <t>0a6baf424e3f1f5a15d893d73e4b9648f48a407414481041efc6f4c7943ae1f24bc2a9250df9b2d305405f9046d2051e</t>
  </si>
  <si>
    <t>105370</t>
  </si>
  <si>
    <t>21-01-2026 07:47:05</t>
  </si>
  <si>
    <t>4cee4cc7ecd736ec7d2cd0ad48f521eb92262d75bdd1033a817baa63ef16d0018826463f4944b26e1c452e470bc476f8</t>
  </si>
  <si>
    <t>105371</t>
  </si>
  <si>
    <t>21-01-2026 07:47:10</t>
  </si>
  <si>
    <t>4168eb33d3fe812ab2dc55403c0e0b5b4f307acb7ef94c28ed72b3d825052eea55a5909763bc486ac45a8b941b1a6d43</t>
  </si>
  <si>
    <t>105372</t>
  </si>
  <si>
    <t>21-01-2026 07:47:16</t>
  </si>
  <si>
    <t>9bad28bb026fa20fead634efba070b6ed830c96a38abdf7c9619ff6218066e5ef175343dcab9ae494073bf914c06e72c</t>
  </si>
  <si>
    <t>105373</t>
  </si>
  <si>
    <t>21-01-2026 07:47:20</t>
  </si>
  <si>
    <t>93962dc8c41b0771bee71ab5488a0a253fb57565dae1aa032793cf5a3d57e47c6249eded68bb826b23d20ce3080373b8</t>
  </si>
  <si>
    <t>105374</t>
  </si>
  <si>
    <t>21-01-2026 07:47:25</t>
  </si>
  <si>
    <t>b317fb2d66cc98670631b3e2c725da20d0029a6f5aed7b56d27cbab0657c918b38b059dffc2328b8f7a1511e62e298f8</t>
  </si>
  <si>
    <t>105375</t>
  </si>
  <si>
    <t>21-01-2026 07:47:30</t>
  </si>
  <si>
    <t>b9858ecf808e52ac90580b083598923f4f8098e6416f1b5dd0b42ee4c13b76f1e8d26812af60bed43597ed9d387624ad</t>
  </si>
  <si>
    <t>105376</t>
  </si>
  <si>
    <t>21-01-2026 08:32:53</t>
  </si>
  <si>
    <t>832003882</t>
  </si>
  <si>
    <t>Schott Envases Framaceuticos SAS</t>
  </si>
  <si>
    <t>0df8131bdf86379d58a13e16c1480803427a5b6eab7f7ec16b595fba07c3a0837d4948c1d90d92447d96cdecb8f5ac8e</t>
  </si>
  <si>
    <t>105377</t>
  </si>
  <si>
    <t>21-01-2026 08:32:59</t>
  </si>
  <si>
    <t>901598294</t>
  </si>
  <si>
    <t>Armirene Colombia SAS</t>
  </si>
  <si>
    <t>1485db10b955b5556f5e49e555a4142fc8aaa68c7af0f49101d4a11773c4e8ad5a90bf12610ec6854a7ac9d9fd77614e</t>
  </si>
  <si>
    <t>105378</t>
  </si>
  <si>
    <t>21-01-2026 09:18:28</t>
  </si>
  <si>
    <t>860055583</t>
  </si>
  <si>
    <t>Equipos Y Controles Industriales SA</t>
  </si>
  <si>
    <t>6b44a698953425a43282364f1eb0b78aa80340f7b97d80d25b8f1f6e6a0621796d0e3c0f343c195cfa2e432f652524ff</t>
  </si>
  <si>
    <t>105379</t>
  </si>
  <si>
    <t>21-01-2026 09:18:32</t>
  </si>
  <si>
    <t>830037893</t>
  </si>
  <si>
    <t xml:space="preserve">Inversiones Rueda Angel Limitada </t>
  </si>
  <si>
    <t>54c6233b480f86cf20effcaa0a762a4035f2a5b17485599fdd056cee2627b224493ec4cceb024e5d1b9474c531b1b466</t>
  </si>
  <si>
    <t>105380</t>
  </si>
  <si>
    <t>21-01-2026 09:18:37</t>
  </si>
  <si>
    <t>900324784</t>
  </si>
  <si>
    <t xml:space="preserve">Consultec International Sucursal Colombia </t>
  </si>
  <si>
    <t>a2bd5691fc1e82f8265c6b1efc8e3905e7469360ef920d23ad27ebcb755ab91e60657de35933750965a69d6306835f6e</t>
  </si>
  <si>
    <t>105381</t>
  </si>
  <si>
    <t>21-01-2026 09:18:41</t>
  </si>
  <si>
    <t>9499125f23a60a4b752a0f91c9e6c2286a2bef84b7c376308c484dd6807d8d66247ef02ac20c51871220e3a4bcfd92e9</t>
  </si>
  <si>
    <t>105382</t>
  </si>
  <si>
    <t>21-01-2026 09:18:46</t>
  </si>
  <si>
    <t>901337070</t>
  </si>
  <si>
    <t>Nateevo Digital SAS</t>
  </si>
  <si>
    <t>6b38e4714437e318bb2e2c43ef99f20986a53966c283ac38061f09fef9d9bac2f2eb5293489bb7991bc06a3054feb05a</t>
  </si>
  <si>
    <t>105383</t>
  </si>
  <si>
    <t>21-01-2026 09:33:58</t>
  </si>
  <si>
    <t>830059718</t>
  </si>
  <si>
    <t>Aecsa SAS</t>
  </si>
  <si>
    <t>8c3a74272ef74718ab87cc7e6f519f0f0cac61cac72934b4f64466412042675836c088b16ddec94d51317a8fd3dd0e4d</t>
  </si>
  <si>
    <t>105384</t>
  </si>
  <si>
    <t>21-01-2026 09:34:42</t>
  </si>
  <si>
    <t>52785000</t>
  </si>
  <si>
    <t>Maria Angelica Alvarez Morales</t>
  </si>
  <si>
    <t>5da708cd5fe7684b450546dd7db4f35f616cb8bdf45067135c60902cffac29fcfd0e944557226621ed8623d4ed3c7e19</t>
  </si>
  <si>
    <t>105385</t>
  </si>
  <si>
    <t>21-01-2026 09:34:44</t>
  </si>
  <si>
    <t>3872c35e679c0498e0b0b56b263ee29089afe2d71b86472c3962235605c58343c12c6bdab278dd8c027324e7c05ffcb6</t>
  </si>
  <si>
    <t>105386</t>
  </si>
  <si>
    <t>21-01-2026 09:49:18</t>
  </si>
  <si>
    <t>b55c2c53bf37689bf44e2cdc17cf43b8a8baadda35f7741b6a16bd981ecf98eac2517916d1056046e6447cf71030111a</t>
  </si>
  <si>
    <t>105387</t>
  </si>
  <si>
    <t>21-01-2026 09:49:23</t>
  </si>
  <si>
    <t>da1b242fa7014307c0262259bd25496ffd192377bc5610e5e6655f9c456b1c69ced493f78cf4eab26a05813f5b65c853</t>
  </si>
  <si>
    <t>105388</t>
  </si>
  <si>
    <t>21-01-2026 09:49:28</t>
  </si>
  <si>
    <t>14ad16a29d50f72e30cb56071a0164bf98076c6c0ef7412f9a03598bf43ef412c425531238fc7d00ba1c86bb37c22dac</t>
  </si>
  <si>
    <t>105389</t>
  </si>
  <si>
    <t>21-01-2026 09:49:33</t>
  </si>
  <si>
    <t>900262511</t>
  </si>
  <si>
    <t>Conjunto Residencial Monteazul Propiedad Horizontal</t>
  </si>
  <si>
    <t>fa08dba0b9fa86cd281d6d4cdb405e3df7b78830e8b67004c4c2d18ab193001b823476b2c7485b164b2e8657a1794c7d</t>
  </si>
  <si>
    <t>105390</t>
  </si>
  <si>
    <t>21-01-2026 10:05:25</t>
  </si>
  <si>
    <t>0fc68aaa50c6a99decb99cdd53e865cfbeee6605ea882c484db1da9f7d36e0cdf4f3dc2b4b425efeda0a9efde4a5b747</t>
  </si>
  <si>
    <t>105391</t>
  </si>
  <si>
    <t>21-01-2026 10:20:59</t>
  </si>
  <si>
    <t>9e19a0f7e236f60b6d75b55d420e199608bd606cf7a56f58795641f029efa1999c8489b3b02b8055b18dfc6bf89c86c3</t>
  </si>
  <si>
    <t>105392</t>
  </si>
  <si>
    <t>21-01-2026 10:20:43</t>
  </si>
  <si>
    <t>03046f065345f447ca9cbe9efc054412f6ea079dc407520c2768b06e8aef7390819572b6f75c80d0e4b1f38c6ab60b39</t>
  </si>
  <si>
    <t>105393</t>
  </si>
  <si>
    <t>21-01-2026 10:20:45</t>
  </si>
  <si>
    <t>30a22cee8b49cf90ec78a5fc3e57065925533c900d58918392966d39193eb8c4a70b5fa74aa9913c892c45f0c63539b2</t>
  </si>
  <si>
    <t>105394</t>
  </si>
  <si>
    <t>21-01-2026 10:20:58</t>
  </si>
  <si>
    <t>49a21ebda3ed173846f1141c5e1310fb88805654d18422c186453bd482770be82377a5fe34f6696428b91a59c56b6cf3</t>
  </si>
  <si>
    <t>105395</t>
  </si>
  <si>
    <t>21-01-2026 10:20:52</t>
  </si>
  <si>
    <t>11650ea66262a3ff5933f63497fcf70f8f9be2b608e7356b079647d9208bee7b35ce2f09aa80bb47f7f9abbd2ac745a5</t>
  </si>
  <si>
    <t>105396</t>
  </si>
  <si>
    <t>21-01-2026 10:41:57</t>
  </si>
  <si>
    <t>9ef18bad15e021ad05315afe1e447a0115ce2ec4871dfa8add9142c4c34d772990531dfc46f1c85aafaabcc143fecc2f</t>
  </si>
  <si>
    <t>105397</t>
  </si>
  <si>
    <t>21-01-2026 10:42:01</t>
  </si>
  <si>
    <t>830502282</t>
  </si>
  <si>
    <t>Orthopraxis SAS</t>
  </si>
  <si>
    <t>d922f1c7ff2d16ed388510bdf0fa1ede90a8c6834b993a30034e7cadf2d9f7a667c0062e92a06cbddeec67399383e9b9</t>
  </si>
  <si>
    <t>105398</t>
  </si>
  <si>
    <t>21-01-2026 10:43:08</t>
  </si>
  <si>
    <t>eccf2b106195d1ab7a7769aac25c826998d4b74282cc2b5aebf1095e9fbb9b51070874b6fe139863d4d8c3c0d038be24</t>
  </si>
  <si>
    <t>105399</t>
  </si>
  <si>
    <t>21-01-2026 10:42:06</t>
  </si>
  <si>
    <t>df4e9e9a9897947706309eb96e412191657ae2bb7ede08c266ab12caff980440a25ae6b8fff1267bd6960ace3bbc15e8</t>
  </si>
  <si>
    <t>105400</t>
  </si>
  <si>
    <t>21-01-2026 10:42:10</t>
  </si>
  <si>
    <t>8024fef851c317cf189886cd6cf3818cb7f91028678e3ac65f49b61aaa12ff47d6752c35bfd57aae6cf9a0f017303af0</t>
  </si>
  <si>
    <t>105401</t>
  </si>
  <si>
    <t>21-01-2026 11:02:00</t>
  </si>
  <si>
    <t>1073510389</t>
  </si>
  <si>
    <t>Angie Tatiana Parra Duran</t>
  </si>
  <si>
    <t>28197adf7ab978bf9be9629aece850adc29c4e6fb2666b76de8179678a1c66c4c52ee4f965f1672284d1420c32e925e1</t>
  </si>
  <si>
    <t>105402</t>
  </si>
  <si>
    <t>21-01-2026 11:03:00</t>
  </si>
  <si>
    <t>830099238</t>
  </si>
  <si>
    <t>Cementos Tequendama SAS</t>
  </si>
  <si>
    <t>261aa877d8eeed2234ca6199c1e05f60feb2f9b8034df9f87f62c153c3239d0e706eba54cc7ed4f1fcb61bdf7cc57db4</t>
  </si>
  <si>
    <t>105403</t>
  </si>
  <si>
    <t>21-01-2026 11:15:01</t>
  </si>
  <si>
    <t>1014296137</t>
  </si>
  <si>
    <t>Jeison Stiven Baldion Prieto</t>
  </si>
  <si>
    <t>3ca0bfe1b33a3aa0aec3049690203efcda595febee70c58581615f27a28e6c25fea33b089cfbbf7ffc2fe426dd9b598c</t>
  </si>
  <si>
    <t>105404</t>
  </si>
  <si>
    <t>21-01-2026 11:26:54</t>
  </si>
  <si>
    <t>830117370</t>
  </si>
  <si>
    <t>Servimeters SAS</t>
  </si>
  <si>
    <t>912a62c62d1e26124cb12984fbf730d075791049f1547c4201f3e3ae955e7a686304bfc68c032fdad0af82a73dc0a343</t>
  </si>
  <si>
    <t>105405</t>
  </si>
  <si>
    <t>21-01-2026 11:51:49</t>
  </si>
  <si>
    <t>6c30177e8cecdf51b7f18084c9ff8563f5bfb43431bd5a46ea049fbdecd9aee5d170ce5e179da71bda82d9d8a1af2125</t>
  </si>
  <si>
    <t>105406</t>
  </si>
  <si>
    <t>21-01-2026 11:52:08</t>
  </si>
  <si>
    <t>a2909d02eb079285efede09ae000dd6c78f371a4a27a52026134c09d084731f9eb25d1e66d2fa32c389d72226983cc0a</t>
  </si>
  <si>
    <t>105407</t>
  </si>
  <si>
    <t>21-01-2026 11:51:57</t>
  </si>
  <si>
    <t>75965671a6b4a50256bfbf0c39d66d187a014bec1e0ae783479b65ce8f1782c538f8380a1a6fa73d09d3546880e70340</t>
  </si>
  <si>
    <t>105408</t>
  </si>
  <si>
    <t>21-01-2026 11:52:02</t>
  </si>
  <si>
    <t>9e0bfed028d5df13f7990aea8e92751f4b2143c3cb7467e46f49213cca269ac8c0a8961a0bd39388542d35bee0e17f99</t>
  </si>
  <si>
    <t>105409</t>
  </si>
  <si>
    <t>21-01-2026 11:52:09</t>
  </si>
  <si>
    <t>900966568</t>
  </si>
  <si>
    <t>Thomas Processing &amp; System SAS</t>
  </si>
  <si>
    <t>f55721ac39e38f50e8302245060c94b9eea6bf632022312537e8a2d730feb43b08457d856ded8d570958a72b807c8ce6</t>
  </si>
  <si>
    <t>105410</t>
  </si>
  <si>
    <t>21-01-2026 11:52:11</t>
  </si>
  <si>
    <t>f44ba78f342c9c950d531500cfa75a44103b288a077b8c725126324606a051821743f3ddc28ebd8ce52b4386fc49535b</t>
  </si>
  <si>
    <t>105411</t>
  </si>
  <si>
    <t>21-01-2026 11:52:15</t>
  </si>
  <si>
    <t>dcf00eb072ad813416755d9480ad0c1a2c5b9c8c77840da11b68ac37b0b1538316dde48fcd2d176b7c9f03eb553fc68f</t>
  </si>
  <si>
    <t>105412</t>
  </si>
  <si>
    <t>21-01-2026 11:52:21</t>
  </si>
  <si>
    <t>6895f6e1eabd2801537f3b74aa6ae1833b22387ccd4d2708b36b12bf09e0ee9badab71927edadf4d6632120d2e6f6038</t>
  </si>
  <si>
    <t>105413</t>
  </si>
  <si>
    <t>21-01-2026 12:22:41</t>
  </si>
  <si>
    <t>901301865</t>
  </si>
  <si>
    <t>Enfragen Colombia SAS</t>
  </si>
  <si>
    <t>feaa94f6d08a03cff531d071f83e617f98c6c66348b13f1c2e9ab6ce3fe1b0f307a8e58481252e97c3c7930052f0b401</t>
  </si>
  <si>
    <t>105414</t>
  </si>
  <si>
    <t>21-01-2026 12:22:47</t>
  </si>
  <si>
    <t>PAGA EN EL SISTEMA 5/02/2026</t>
  </si>
  <si>
    <t>4d7d3e90df04f1b106888960453c60b05fc3ed490bcafb7593af94e5eca04214cdf9d701f0a0749733af9f8a508c2400</t>
  </si>
  <si>
    <t>105415</t>
  </si>
  <si>
    <t>21-01-2026 12:22:50</t>
  </si>
  <si>
    <t>800081833</t>
  </si>
  <si>
    <t>Lineas Tecnicas De Cargamentos SAS</t>
  </si>
  <si>
    <t>2e83b800d037c64ce8bde4d44a710846bb5543c0264c4d0e22a60a100fb92878298e6fd0f65c9f6b153fd7511311d761</t>
  </si>
  <si>
    <t>105416</t>
  </si>
  <si>
    <t>21-01-2026 12:22:55</t>
  </si>
  <si>
    <t>bd8004fb8dd9e8e0064a54f255cb441cc950f00306d08f74fc2609c772712f979e834979afccc3951640cf558b033eda</t>
  </si>
  <si>
    <t>105417</t>
  </si>
  <si>
    <t>21-01-2026 12:53:13</t>
  </si>
  <si>
    <t>900224814</t>
  </si>
  <si>
    <t>Buho Media SAS</t>
  </si>
  <si>
    <t>2182d876563d0222ff7b33b43d9fde019aaffaa2e1a2c08d58a1153f9f83ce8d0d6856c926c8e46dfbf906e694f60460</t>
  </si>
  <si>
    <t>105418</t>
  </si>
  <si>
    <t>21-01-2026 12:53:17</t>
  </si>
  <si>
    <t>830122431</t>
  </si>
  <si>
    <t>Marketing Services De Colombia SAS</t>
  </si>
  <si>
    <t>7a19bba7e3e9475c1ccb1e993891a86be09abb85fe2c5bffcf72784347bdd80f3eeb181551794a361c362fe6942341f0</t>
  </si>
  <si>
    <t>105419</t>
  </si>
  <si>
    <t>21-01-2026 12:53:23</t>
  </si>
  <si>
    <t>81ed042a50c1929c2457efb14317edac15d750c2658c894e76d5b32c0abe390453f89532ed5a4422f6f1096292fb13a2</t>
  </si>
  <si>
    <t>105420</t>
  </si>
  <si>
    <t>21-01-2026 12:53:27</t>
  </si>
  <si>
    <t>832000957</t>
  </si>
  <si>
    <t>Iglesia Cristiana De Los Testigos De Jehova</t>
  </si>
  <si>
    <t>f32a8f4c59c3bae9716330d8c4e7ad4d92ab5fbb20d9c72b168254634b42f8cb7b2fe3a4b074b7fe514b90d1206ef174</t>
  </si>
  <si>
    <t>105421</t>
  </si>
  <si>
    <t>21-01-2026 12:53:31</t>
  </si>
  <si>
    <t>800204652</t>
  </si>
  <si>
    <t>Agp Representaciones SAS</t>
  </si>
  <si>
    <t>ba2c046f93c9eb9d037151f4481c611746f5d80c269aa1e5c4cb1bc7f541fde3171f85d36d8ef3a6f02758dfe7fa68e3</t>
  </si>
  <si>
    <t>105422</t>
  </si>
  <si>
    <t>21-01-2026 13:08:45</t>
  </si>
  <si>
    <t>900195878</t>
  </si>
  <si>
    <t>Ittera De Colombia SAS</t>
  </si>
  <si>
    <t>9dc37d241d61ab8ec8ab4f85cabbcbf1dcc4c8959113f80edc8c65be7de695a71a9aa03677fd38b12b81c865991b961b</t>
  </si>
  <si>
    <t>105423</t>
  </si>
  <si>
    <t>21-01-2026 15:17:58</t>
  </si>
  <si>
    <t>3c0ca07b518cec5f375bdc8ff343edd689f49131ec523d4bbd5f3cc57465048d9143b07496445e4bf58c52675445ff34</t>
  </si>
  <si>
    <t>105424</t>
  </si>
  <si>
    <t>21-01-2026 15:18:15</t>
  </si>
  <si>
    <t>70cafe20424f44c37ae795e372727622a066f4eba57491235d5723df5f569652675b0db62d557264f5c5c519081cec22</t>
  </si>
  <si>
    <t>105425</t>
  </si>
  <si>
    <t>21-01-2026 15:39:24</t>
  </si>
  <si>
    <t>811282261</t>
  </si>
  <si>
    <t>Ensembleiq Inc</t>
  </si>
  <si>
    <t>20452a2c83a7c817da393ed37793fbdd569f6aff51fa24781e7996aa308896d461ee3ffdc05c1a352b661f6ba547cde4</t>
  </si>
  <si>
    <t>105426</t>
  </si>
  <si>
    <t>21-01-2026 15:38:29</t>
  </si>
  <si>
    <t>5634a4c509c5ab958dd5f19c1940621fdd14a927b5cf50d8443295f038bb7ecc998cbe7cd4396d9f9cfd390776ccfe7c</t>
  </si>
  <si>
    <t>105427</t>
  </si>
  <si>
    <t>21-01-2026 15:39:23</t>
  </si>
  <si>
    <t>5f1d937de87729c0346a03e0529b3aba33e7732254b0b296e8d06091f19f5848b17794fd04b032c79e0e6fc46c439521</t>
  </si>
  <si>
    <t>105428</t>
  </si>
  <si>
    <t>21-01-2026 15:57:15</t>
  </si>
  <si>
    <t>901295223</t>
  </si>
  <si>
    <t>Cosco Shipping Lines Colombia SAS</t>
  </si>
  <si>
    <t>bf52111d1a5923ff44eeebcaa69e4639ba05ef0c7f11a854b5d43c74a453abfa4aa3d8a75c5f2901e5b7afb91abab3fa</t>
  </si>
  <si>
    <t>105429</t>
  </si>
  <si>
    <t>21-01-2026 15:56:10</t>
  </si>
  <si>
    <t>900521357</t>
  </si>
  <si>
    <t>Jmv Construktora SAS</t>
  </si>
  <si>
    <t>672d0b758628f8a2091e05d3b10dd2b901382fb3a0d267ede7b774cfabe8bc22e76a8818905ec3617efa2df419f33b03</t>
  </si>
  <si>
    <t>105430</t>
  </si>
  <si>
    <t>21-01-2026 16:12:19</t>
  </si>
  <si>
    <t>5041dd5ee1f423e5591ddb860e3d94d5cfeee65cc8644ae0259acda8646b2250cad16bf9006f3b2070dcf2a1519dacef</t>
  </si>
  <si>
    <t>105431</t>
  </si>
  <si>
    <t>21-01-2026 16:26:53</t>
  </si>
  <si>
    <t>900106694</t>
  </si>
  <si>
    <t>Am Medical SAS</t>
  </si>
  <si>
    <t>7f052a6d2c632bb8917d7792787f97a2d34d48f230ade2d170cdc69a8d7b66b2a6432f76d769f3f42631a1c5f7312819</t>
  </si>
  <si>
    <t>105432</t>
  </si>
  <si>
    <t>21-01-2026 16:26:56</t>
  </si>
  <si>
    <t>800103903</t>
  </si>
  <si>
    <t>Quad Graphics Colombia SAS</t>
  </si>
  <si>
    <t>76660c50e227ff7952ed59ab9ed21ec656c4a2cf550044b51b58ba43fcff5fa790f969dd03e23fce17ea9276ee76eba4</t>
  </si>
  <si>
    <t>105433</t>
  </si>
  <si>
    <t>22-01-2026</t>
  </si>
  <si>
    <t>22-01-2026 07:17:33</t>
  </si>
  <si>
    <t>6d50e70386ede3ddc8c89156b9d57c556ec29ea7361e9bd9e797e67d8c36e1f7920be6072471ff44639060079d4053b0</t>
  </si>
  <si>
    <t>105434</t>
  </si>
  <si>
    <t>22-01-2026 07:17:39</t>
  </si>
  <si>
    <t>100e4f12d4059d87978ae66fbdd837a95388988a654e8072b2734ac16a923fd84402343756dfebd4f0c0fc9670ccb65c</t>
  </si>
  <si>
    <t>105435</t>
  </si>
  <si>
    <t>22-01-2026 07:32:51</t>
  </si>
  <si>
    <t>88e1002428efb0bbdd1b3352ad46e946660f473e04cdbaf7cad77d966006aff9f4352d490855b45be19a8f12175a813b</t>
  </si>
  <si>
    <t>105436</t>
  </si>
  <si>
    <t>22-01-2026 07:32:55</t>
  </si>
  <si>
    <t>92103db67381a805efb43a2f8bf04d8e82a48970cd3c836c6b6c4dc50e8e5d66bdcbebd5520bfdaa316f0348cb77d537</t>
  </si>
  <si>
    <t>105437</t>
  </si>
  <si>
    <t>22-01-2026 07:48:06</t>
  </si>
  <si>
    <t>a002b08730fa43a73b73c5b27f5a0efeea584992c0f99c8ae83285b9b19cf1c77707b4562ddd90ceb2fdf9dd8707c6f2</t>
  </si>
  <si>
    <t>105438</t>
  </si>
  <si>
    <t>22-01-2026 07:48:11</t>
  </si>
  <si>
    <t>efa6ef4eb0e650d905eef6c77e52be0f3d1a8d01cccbc957bda255f82278506fb16b6df11f30fdb7ffe63a263f22bc84</t>
  </si>
  <si>
    <t>105439</t>
  </si>
  <si>
    <t>22-01-2026 07:48:15</t>
  </si>
  <si>
    <t>5b4e88a6286ec00f3ad2f6370a112385eca69c4ef81ff07f188b37c7f1d71d1966ddbd93bbef125c441202ed7449d5e7</t>
  </si>
  <si>
    <t>105440</t>
  </si>
  <si>
    <t>22-01-2026 08:48:46</t>
  </si>
  <si>
    <t>3c33fd1a3a2662c03c16f3b821fe3ca935c8727d4a470372ae6a4a26a0e89d8076c2006ccb721130567810e2d7f85fbf</t>
  </si>
  <si>
    <t>105441</t>
  </si>
  <si>
    <t>22-01-2026 08:48:51</t>
  </si>
  <si>
    <t>28e70971711aea4188bd7ddc23d9a4d84df568b817d6a2785839186b3df89e5e54c525787f62c1bac3f0eca7d15dbc6f</t>
  </si>
  <si>
    <t>105442</t>
  </si>
  <si>
    <t>22-01-2026 08:48:56</t>
  </si>
  <si>
    <t>860072172</t>
  </si>
  <si>
    <t>Empacor SA</t>
  </si>
  <si>
    <t>875752bcf09fa2e40f51bba34fb26bff763a6bde782592b18737703b7d0b2b1584b9177eee697135086b1325679e5e28</t>
  </si>
  <si>
    <t>105443</t>
  </si>
  <si>
    <t>22-01-2026 09:04:07</t>
  </si>
  <si>
    <t>900736003</t>
  </si>
  <si>
    <t>Zona Franca Pir SAS</t>
  </si>
  <si>
    <t>e52962290d36ac1d8966db03b9d58b40a7a1d4bbb38b2d2e3d7ff82abbdeb59be4157728bf99676166ba29c23e7f87cf</t>
  </si>
  <si>
    <t>105444</t>
  </si>
  <si>
    <t>22-01-2026 09:34:25</t>
  </si>
  <si>
    <t>830030945</t>
  </si>
  <si>
    <t>E C Cargo S A S</t>
  </si>
  <si>
    <t>42ecb85e57ce078d360234107c16108e6f2ea4aea6644f66edec15b99f868a4480d831a6f0dbe27dc5755f96e0dfae2c</t>
  </si>
  <si>
    <t>105445</t>
  </si>
  <si>
    <t>22-01-2026 09:34:29</t>
  </si>
  <si>
    <t>c3c6ecd8fe67bdc17b99a15e500492f58917be4163f89ec7c403a3df60134324badb72e3643672dddee9374471e47106</t>
  </si>
  <si>
    <t>105446</t>
  </si>
  <si>
    <t>22-01-2026 09:49:41</t>
  </si>
  <si>
    <t>00c1bb9438331b48930264f1731c6a38b1368bc88e27873fe7961d889e1a2c0d553493dd52a69143d2f806a1e2f3f1c4</t>
  </si>
  <si>
    <t>105447</t>
  </si>
  <si>
    <t>22-01-2026 09:49:46</t>
  </si>
  <si>
    <t>43e117b952b7bf198b61c057c66022f0e61d289e1a005a311967d5e517766eba53a3f371a8dfba54f4737a63184926fd</t>
  </si>
  <si>
    <t>105448</t>
  </si>
  <si>
    <t>22-01-2026 09:49:50</t>
  </si>
  <si>
    <t>75c8d7f9086026c1a9dda0a685b86811ca3fa11c7b770f34d40ab9d5825a18a130b3466fd815b504f2ccc7e405cbeb34</t>
  </si>
  <si>
    <t>105449</t>
  </si>
  <si>
    <t>22-01-2026 09:49:55</t>
  </si>
  <si>
    <t>860029846</t>
  </si>
  <si>
    <t>Asociacion Nacional De Comercio Exterior</t>
  </si>
  <si>
    <t>e16989c9f3898a39ee13f8508d75cfb5c176aff8b119891e5123085d2609637ad3b9f0dec76488d9c4147c6f1215a9b3</t>
  </si>
  <si>
    <t>105450</t>
  </si>
  <si>
    <t>22-01-2026 09:50:00</t>
  </si>
  <si>
    <t>d88e6edbf982ecc05f921dcdb10f5ae1025c92811a858f3ef149b388b274453977142dad54a85cdb9af319092fad8d0c</t>
  </si>
  <si>
    <t>105451</t>
  </si>
  <si>
    <t>22-01-2026 09:50:05</t>
  </si>
  <si>
    <t>c6878220fe65718f92a463bb239f07dd85c5cce48e48714d2e8e9ad078dd6bbabf6d8e6b97a0cc5d3cae296e73ed4b16</t>
  </si>
  <si>
    <t>105452</t>
  </si>
  <si>
    <t>22-01-2026 09:50:09</t>
  </si>
  <si>
    <t>fce60e2e8a223c4c1a7181767f626e04c31fcabe3115e390d28356907869b22bbccd4302c0f0d82dc9068b2250a6e098</t>
  </si>
  <si>
    <t>105453</t>
  </si>
  <si>
    <t>22-01-2026 09:50:13</t>
  </si>
  <si>
    <t>eb88381ae9b78518cbd554915a7e1b0eac11599c0b5d8673a95fd5a54caf093f3b95766f7365e6f16564eb8e42a91ae2</t>
  </si>
  <si>
    <t>105454</t>
  </si>
  <si>
    <t>22-01-2026 10:05:28</t>
  </si>
  <si>
    <t>b36dac8e3c36afe8eff789cb2223df02c528ad0b766b8a05ef32966f3951204edb6e62013b69a9c79e03cd0e6e7439af</t>
  </si>
  <si>
    <t>105455</t>
  </si>
  <si>
    <t>22-01-2026 10:20:40</t>
  </si>
  <si>
    <t>74ea61dcd9ef53533042c8bf3a0d356046eeecf09193545d115d4c7c554c4096b5a3340ac7a5a53eafebc92a2071ae39</t>
  </si>
  <si>
    <t>105456</t>
  </si>
  <si>
    <t>22-01-2026 10:20:44</t>
  </si>
  <si>
    <t>18a4a9a689a70e3ab80f90263e768d1c2e31971227883f9c07439368c036520157ada9a2269463007763a5eb9c130d5d</t>
  </si>
  <si>
    <t>105457</t>
  </si>
  <si>
    <t>22-01-2026 10:20:48</t>
  </si>
  <si>
    <t>77a16d0514717eaf6bb1e0817cef0221f85419674d937f8abfe824540e7395169c161bb7b4f72c6d95bb5eea7fdcf3b6</t>
  </si>
  <si>
    <t>105458</t>
  </si>
  <si>
    <t>22-01-2026 10:20:53</t>
  </si>
  <si>
    <t>959b147ba8ff4f67305cde9335286e11450e46b99fba790739fd10963b92e0ab9aded82f2258c50630cda177ed02957c</t>
  </si>
  <si>
    <t>105459</t>
  </si>
  <si>
    <t>22-01-2026 10:51:19</t>
  </si>
  <si>
    <t>22ff6a08738fcc75d8d4e8c4bbba70d2afc5ee63fc146eafb39d697a0dfc87a6b2164e63c67f6563729a65f906ba7723</t>
  </si>
  <si>
    <t>105460</t>
  </si>
  <si>
    <t>22-01-2026 11:06:30</t>
  </si>
  <si>
    <t>be94d04bae34d0c943fab719410f97156d593b7a2d6ec536d38d0b8498b7d63c0f78970efda2e9573d109e4a2667e599</t>
  </si>
  <si>
    <t>105461</t>
  </si>
  <si>
    <t>22-01-2026 11:06:35</t>
  </si>
  <si>
    <t>d9f9700f28e9ea96cf3693b6af740ca22b27300f0312d6f09a8b3662e20156b8b24257e52c89b23bc3e0e18ed4525502</t>
  </si>
  <si>
    <t>105462</t>
  </si>
  <si>
    <t>22-01-2026 11:06:40</t>
  </si>
  <si>
    <t>860021786</t>
  </si>
  <si>
    <t>Cooperativa Multiactiva Familiar De La Superintendencia Financiera De Colombia</t>
  </si>
  <si>
    <t>da44831905f3ffc063b217a948355c0338d1d14a1ba036ad3ff34bade79ca5952b3be8663284b10a5ff5cfd5576846de</t>
  </si>
  <si>
    <t>105463</t>
  </si>
  <si>
    <t>22-01-2026 11:06:45</t>
  </si>
  <si>
    <t>900935262</t>
  </si>
  <si>
    <t>General Business Machines De Colombia SAS</t>
  </si>
  <si>
    <t>81425485252c2bafdaffab947f2e3de1a37fd0b33e6fbb4e5afdf78a75ddb7c378c617402d9d3f4fc8f8f08daf4ffab2</t>
  </si>
  <si>
    <t>105464</t>
  </si>
  <si>
    <t>22-01-2026 11:06:49</t>
  </si>
  <si>
    <t>9671f1bc6db811678114bccfd178f85e3769ce12d59a6f14d00bcead7e64f3dbb04054fce8e1d2195d417a1fd7d373d9</t>
  </si>
  <si>
    <t>105465</t>
  </si>
  <si>
    <t>22-01-2026 11:22:03</t>
  </si>
  <si>
    <t>2f5932bc0d3fbafafda38672d5084a7b9eaf389fb85e4961f9a387636bc49cadc9389cf368eaab68ee46231e7ce5d2d0</t>
  </si>
  <si>
    <t>105466</t>
  </si>
  <si>
    <t>22-01-2026 11:22:54</t>
  </si>
  <si>
    <t>900355936</t>
  </si>
  <si>
    <t>Inversiones Proxima Centauri SAS</t>
  </si>
  <si>
    <t>93cc2e17bced7ffbdb8478256e90eb0d35ee1f44c5604a8916bbea659d569474ec8e0e516772424c3d0bdd73720659fe</t>
  </si>
  <si>
    <t>105467</t>
  </si>
  <si>
    <t>62f01c7699a96a8d5ad4ee616c212e67ea69d8d0bd89f24eb922d21e0dd1e89373f438b395e312178bdd29b207463461</t>
  </si>
  <si>
    <t>105468</t>
  </si>
  <si>
    <t>22-01-2026 11:22:53</t>
  </si>
  <si>
    <t>089b1951c1d0120bc3c125d245ef85d9931aeb3e712204104731cd9c51bb477d07dd1d072908bd2e082de883185176f5</t>
  </si>
  <si>
    <t>105469</t>
  </si>
  <si>
    <t>22-01-2026 11:22:25</t>
  </si>
  <si>
    <t>86de108f311e2275bc5f2e02228dd15fb067749dfe3b86e98b17116baf0886328b8fe8b55a835ae29845a2aecb60ced8</t>
  </si>
  <si>
    <t>105470</t>
  </si>
  <si>
    <t>22-01-2026 11:22:31</t>
  </si>
  <si>
    <t>73c9744102f6d731b672843535052f298a743de79c72ada81bc6a9daee79a05128ae55beccdb2c0610771cb6dfb7a97a</t>
  </si>
  <si>
    <t>105471</t>
  </si>
  <si>
    <t>22-01-2026 11:37:42</t>
  </si>
  <si>
    <t>713156ac2ca02b461eabd751a43e24fe6eff6ad6e0c73c639f3016428b7e0684405178981623b3411b25292603eb9d50</t>
  </si>
  <si>
    <t>105472</t>
  </si>
  <si>
    <t>22-01-2026 11:37:46</t>
  </si>
  <si>
    <t>402ed13369e37275c9e7bed44531d2c36a74e05aa9963065a4cbed96e903bbbfa933695c70d1295d2f0d2e90bf6a2f85</t>
  </si>
  <si>
    <t>105473</t>
  </si>
  <si>
    <t>22-01-2026 11:37:51</t>
  </si>
  <si>
    <t>791df2078d82808765f0cd8275dfb4396abdd3bf4f15c589f82531370c1fa9b00de20650011f0938ea6ea03c78cac0d1</t>
  </si>
  <si>
    <t>105474</t>
  </si>
  <si>
    <t>22-01-2026 11:37:56</t>
  </si>
  <si>
    <t>b3d0c7004ab73ab9c5f91f3ffdf608cfc069a9fada582828b61524cae0c4def3f2e05b9a8d8548c009509d98fde8971b</t>
  </si>
  <si>
    <t>105475</t>
  </si>
  <si>
    <t>22-01-2026 11:38:01</t>
  </si>
  <si>
    <t>51467baf858737bc80ef51f976ab7221a18c152d1d04fc2aecfb320ac943a6efeef1790362bc35b9683e0fb6e633f410</t>
  </si>
  <si>
    <t>105476</t>
  </si>
  <si>
    <t>22-01-2026 11:38:05</t>
  </si>
  <si>
    <t>901197448</t>
  </si>
  <si>
    <t>Scania Finance Colombia SAS</t>
  </si>
  <si>
    <t>fc2160628ebf217eab2d95b7e01ad615cac5d4e8346e91892c478c2204cc86d526670d19c28031f8a1c871403e016a6b</t>
  </si>
  <si>
    <t>105477</t>
  </si>
  <si>
    <t>22-01-2026 11:38:10</t>
  </si>
  <si>
    <t>121c23050ed10ccc1740d8a78803ef2300518ee062fa04efb4b6c99e95c212b56de47970d54f8e57d5607e47164b7702</t>
  </si>
  <si>
    <t>105478</t>
  </si>
  <si>
    <t>22-01-2026 11:38:14</t>
  </si>
  <si>
    <t>018647186221bda7f1aec95d8430a8a2c00ecf0d0e7f181561e0c9cd3f0d02ff38da24ba4391dbf8ff179b4bb60defff</t>
  </si>
  <si>
    <t>105479</t>
  </si>
  <si>
    <t>22-01-2026 11:53:26</t>
  </si>
  <si>
    <t>830031886</t>
  </si>
  <si>
    <t>Creative Colors SA</t>
  </si>
  <si>
    <t>bbf4b1e00dfe92d7f9d7de1b972d1857ce19a2b972fca69733fc4fd0bbb46526ce76e9f476124c9dd2d4de0a2c8b997b</t>
  </si>
  <si>
    <t>105480</t>
  </si>
  <si>
    <t>22-01-2026 11:53:31</t>
  </si>
  <si>
    <t>38797630b88da66109bd935016d6126e47e3b5d6190b7eede9389a35c365c2b05056f3114efbfe4490f944eef9ab51a0</t>
  </si>
  <si>
    <t>105481</t>
  </si>
  <si>
    <t>22-01-2026 11:53:35</t>
  </si>
  <si>
    <t>830000324</t>
  </si>
  <si>
    <t>Teleset SAS</t>
  </si>
  <si>
    <t>fadedb69675c683637201da41c2e44f5250c23cffdd830b79ec2b057c047f7777da51576cc45d88294a1e39f32a3b81c</t>
  </si>
  <si>
    <t>105482</t>
  </si>
  <si>
    <t>22-01-2026 11:53:41</t>
  </si>
  <si>
    <t>901239345</t>
  </si>
  <si>
    <t>Alimentos Thearion Suqa SAS</t>
  </si>
  <si>
    <t>8e0e49bb6298121f3ae443c9eba6041c0628d5e66add14fdef2c2bf46dda4f6b971485259848296db0b6d76a3d46bea5</t>
  </si>
  <si>
    <t>105483</t>
  </si>
  <si>
    <t>22-01-2026 12:08:52</t>
  </si>
  <si>
    <t>900319696</t>
  </si>
  <si>
    <t>Concentrix Cvg Customer Management Colombia SAS</t>
  </si>
  <si>
    <t>1974de70fdbc4f08b2a892472b7f9a276ff44f56b755ac7ab02643ca5bb7e9ac225784791fd52be47726a83575e1d4ff</t>
  </si>
  <si>
    <t>105484</t>
  </si>
  <si>
    <t>22-01-2026 12:08:56</t>
  </si>
  <si>
    <t>99b88e279e959a945896528a50e521eac78f91cb76327e27a4deee7d1c58b7819b9811c04254e7c249a6c7e5560efc84</t>
  </si>
  <si>
    <t>105485</t>
  </si>
  <si>
    <t>22-01-2026 12:09:02</t>
  </si>
  <si>
    <t>860017005</t>
  </si>
  <si>
    <t>Challenger SAS</t>
  </si>
  <si>
    <t>3f7c2b968e80dd58296dea74cacf3b238e688d2d7c9669e54e872c4930de3d00faea02736c5d18248e8f6834ab1af786</t>
  </si>
  <si>
    <t>105486</t>
  </si>
  <si>
    <t>22-01-2026 12:09:06</t>
  </si>
  <si>
    <t>900706422</t>
  </si>
  <si>
    <t>Buentipo Anchor Worldwide SAS</t>
  </si>
  <si>
    <t>cee46b5389ce32c9580f817ad098b5b6e652768fe162a060924071e468619accd9fe1725d22b54ede677350a39b8ff30</t>
  </si>
  <si>
    <t>105487</t>
  </si>
  <si>
    <t>22-01-2026 12:24:17</t>
  </si>
  <si>
    <t>1856063c532ac02f3c7c057dc6e43fa108ef7d18641a1fe96e05de3aa9f259f79b149bdda5f587c8bdbfc229476543f8</t>
  </si>
  <si>
    <t>105488</t>
  </si>
  <si>
    <t>22-01-2026 12:24:32</t>
  </si>
  <si>
    <t>c5c42dfdc14b03d2c989adcdc7d908fb2d82207eb047931e1e3a07e5fc1b803156ecb987a87b88a2f23573d557c94101</t>
  </si>
  <si>
    <t>105489</t>
  </si>
  <si>
    <t>22-01-2026 12:24:27</t>
  </si>
  <si>
    <t>f8735d4327fa7797ad294185218193b84eb22148bd817c4b6a5daaeda5f7e16589366cc54536c6502e333b58bab5df81</t>
  </si>
  <si>
    <t>105490</t>
  </si>
  <si>
    <t>22-01-2026 12:24:31</t>
  </si>
  <si>
    <t>e84112ea46cfe4a9c33e17953d2709dfeaf0f29f115aa128249884e3a349c902f1154e60298f707519aabba31f995034</t>
  </si>
  <si>
    <t>105491</t>
  </si>
  <si>
    <t>22-01-2026 12:39:43</t>
  </si>
  <si>
    <t>830112250</t>
  </si>
  <si>
    <t>Rio Technology S.A.S</t>
  </si>
  <si>
    <t>2c7717c645c81225538f6397129907e3de6203ed03d3a586561d2875be68b90a039192bf1b4571f3c6834a759d7a155e</t>
  </si>
  <si>
    <t>105492</t>
  </si>
  <si>
    <t>22-01-2026 12:39:47</t>
  </si>
  <si>
    <t>01db4569c9398b1e2eded7d0f845acab415f9ed1eb66a89fa496c6b7902d9a373b18b25b2b7bf5a99d2b57f24b6f0b6e</t>
  </si>
  <si>
    <t>105493</t>
  </si>
  <si>
    <t>22-01-2026 12:39:52</t>
  </si>
  <si>
    <t>901916856</t>
  </si>
  <si>
    <t>Green Emerald Mining Services SAS</t>
  </si>
  <si>
    <t>e2ff313823114e9bc41b443fc715281921d5e9dd7c49ffac7dfe0a24455b9978244290cee5e141c30d8ba55c354fef53</t>
  </si>
  <si>
    <t>105494</t>
  </si>
  <si>
    <t>22-01-2026 12:39:57</t>
  </si>
  <si>
    <t>7d7c65ee2f891dbea040021456c70f46c6ee114a1665adc2a694c29eff25458972ad78cfb0a6dfe77d56749ff8090d3e</t>
  </si>
  <si>
    <t>105495</t>
  </si>
  <si>
    <t>22-01-2026 12:55:10</t>
  </si>
  <si>
    <t>81a153fe1493fed31f7eb1f540c2e3f3c00bd8003d660c0259cd1ece9ecdf23ce19932d4725a7c202824439932fcce03</t>
  </si>
  <si>
    <t>105496</t>
  </si>
  <si>
    <t>22-01-2026 12:55:13</t>
  </si>
  <si>
    <t>901116616</t>
  </si>
  <si>
    <t>Colombian Shared Services SAS</t>
  </si>
  <si>
    <t>b22bc898e0f25941af0de3c3dd44134e40e83acffcb71264ce3cea79e2bc05edc7434d7ff49d358d8e2111c1ed3f4554</t>
  </si>
  <si>
    <t>105497</t>
  </si>
  <si>
    <t>22-01-2026 12:55:19</t>
  </si>
  <si>
    <t>900283577</t>
  </si>
  <si>
    <t>Sinnetic SAS</t>
  </si>
  <si>
    <t>9e6f71cb03dcf02286c72a77bc3f37de2542d8de8be0b06f52f0cc4151d850427e0ad46e73e805db6748f4ca50186dc7</t>
  </si>
  <si>
    <t>105498</t>
  </si>
  <si>
    <t>22-01-2026 14:42:09</t>
  </si>
  <si>
    <t>800127780</t>
  </si>
  <si>
    <t>Arcelor Mittal International Colombia SAS</t>
  </si>
  <si>
    <t>a7279b20a72333569ac9e601828e0e14ff29cbd7523a66a8402508b0c2d4d096f994254a48b9d86436fa7e5dbcdbf02b</t>
  </si>
  <si>
    <t>105499</t>
  </si>
  <si>
    <t>8591232b0951e294b9bf6a12835f1806d2e95dd20a814e6c17125fd31d904faac32464fc93bf496ace6d56dda2e46c5f</t>
  </si>
  <si>
    <t>105500</t>
  </si>
  <si>
    <t>22-01-2026 14:56:23</t>
  </si>
  <si>
    <t>900555485</t>
  </si>
  <si>
    <t>Tecnologia Plastica Tecnosa SAS</t>
  </si>
  <si>
    <t>06be131d32b49ddc2cd8ed73ba52782b115306606b731ad15e9bf6298ac14f8a6a9c3fea37e54e484dbfd8d382e1fe99</t>
  </si>
  <si>
    <t>105501</t>
  </si>
  <si>
    <t>22-01-2026 14:56:28</t>
  </si>
  <si>
    <t>53132b48e3bedf474b0e97a1006d54606a92ececb43d6e690bfc730767d7bb024c89db8696eff00cc2a1e49dc7d3366d</t>
  </si>
  <si>
    <t>105502</t>
  </si>
  <si>
    <t>22-01-2026 15:12:32</t>
  </si>
  <si>
    <t>a82c27a033412e9f1104657532391d3d57bb84ecd1a6197f0628376a11562ade3eebea9a3c510a53f5b304f715dab1b1</t>
  </si>
  <si>
    <t>105503</t>
  </si>
  <si>
    <t>22-01-2026 15:12:33</t>
  </si>
  <si>
    <t>53bdbd19e8a36340964dd0782b4fbe093525d0dc1dce574ac35f8d262e4c283bc26301a5d02ef8096c2e84f722afa3cf</t>
  </si>
  <si>
    <t>105504</t>
  </si>
  <si>
    <t>22-01-2026 15:12:36</t>
  </si>
  <si>
    <t>FACTURA RECHAZADA 23/01/2026</t>
  </si>
  <si>
    <t>c60737cedb0e6457f85e1d59dba0eec43c0ef5251fc2e905fd855f15413ba09641cdd5a28bc9e97901d95084131345eb</t>
  </si>
  <si>
    <t>105505</t>
  </si>
  <si>
    <t>22-01-2026 15:27:03</t>
  </si>
  <si>
    <t>860075558</t>
  </si>
  <si>
    <t>Universidad De La Sabana</t>
  </si>
  <si>
    <t>PAGA EN EL SISTEMA 16/02/2026</t>
  </si>
  <si>
    <t>19ba0dd3a8b356b7969294abcc94d90b82beac1846ccf6f0e6f0a0acd179a08e41a7503f7ec4922c9f4d662387f1b4c7</t>
  </si>
  <si>
    <t>105506</t>
  </si>
  <si>
    <t>22-01-2026 15:27:08</t>
  </si>
  <si>
    <t>830060858</t>
  </si>
  <si>
    <t>Ambientti Constructora Inmobiliaria S A S</t>
  </si>
  <si>
    <t>f15fb7440f42225c4f0ddc85d11f5ea30d3ec5e6b97d0a34badae5980f25b2cb17bb12eabb36de571bfbec8f5883f677</t>
  </si>
  <si>
    <t>105507</t>
  </si>
  <si>
    <t>22-01-2026 15:27:13</t>
  </si>
  <si>
    <t>ccb60e69c7065037e59a4b670dde86083c11f5302556d8a496daede02b67a9ce9ef545b8a502614950a8be7a08ec72a6</t>
  </si>
  <si>
    <t>105508</t>
  </si>
  <si>
    <t>22-01-2026 15:43:07</t>
  </si>
  <si>
    <t>731f22083d0ca5d3736cd1cd262300055fe93cc78c22d84ee76c129c61c54c896cd886e0447b511dc6cd1a0d3ece8b3f</t>
  </si>
  <si>
    <t>105509</t>
  </si>
  <si>
    <t>22-01-2026 15:42:57</t>
  </si>
  <si>
    <t>5b50cd97db4f48772ae1796d28c905be3993b2176e4e68c357847c0ce237cad10afd658473d035e920d610e5f7357611</t>
  </si>
  <si>
    <t>105510</t>
  </si>
  <si>
    <t>22-01-2026 15:57:45</t>
  </si>
  <si>
    <t>b081042ede4076850425b1d1cfbec47f2184fb352a86ff1a358cc9194f57efd90ac4e5f1490178a64cbf333bf394ac01</t>
  </si>
  <si>
    <t>105511</t>
  </si>
  <si>
    <t>23-01-2026</t>
  </si>
  <si>
    <t>23-01-2026 07:49:41</t>
  </si>
  <si>
    <t>830022462</t>
  </si>
  <si>
    <t>Orica Colombia SAS</t>
  </si>
  <si>
    <t>89a619aafa032ea9e47935c5e8341556a96d03388af33c8aa690c09fc477a3697a2f7eb620b0087d87d6931c2e64e670</t>
  </si>
  <si>
    <t>105512</t>
  </si>
  <si>
    <t>23-01-2026 08:04:53</t>
  </si>
  <si>
    <t>b856f399e26d4c445585fd7799b30ca9de1c40b275accb21b4eb4b5e5969636d4b5e47f45f55a95562d89baa5e5537d9</t>
  </si>
  <si>
    <t>105513</t>
  </si>
  <si>
    <t>23-01-2026 08:35:53</t>
  </si>
  <si>
    <t>72ac3122dac15dfbcbb6eb2a27505c09c4bfbf869f9abd7cab2d8b367627f19bce91250741f42fbe0926e561875f7b64</t>
  </si>
  <si>
    <t>105514</t>
  </si>
  <si>
    <t>23-01-2026 08:35:59</t>
  </si>
  <si>
    <t>e554db3a9ab740ac1fd00f8eee4333151470d75f66cb58175c9cff8b1933f711c9663904940160d1e2d34242ef305a61</t>
  </si>
  <si>
    <t>105515</t>
  </si>
  <si>
    <t>23-01-2026 08:35:48</t>
  </si>
  <si>
    <t>860509265</t>
  </si>
  <si>
    <t>Publicaciones Semana SA</t>
  </si>
  <si>
    <t>47979ba6897f35170da4a4438e3b6d16be9564fbc42f83ff05b0b4bead3e26fcc58aa11a675e8cedb3b539726fa67b44</t>
  </si>
  <si>
    <t>105516</t>
  </si>
  <si>
    <t>23-01-2026 08:36:24</t>
  </si>
  <si>
    <t>900021547</t>
  </si>
  <si>
    <t>Logiztik Alliance Group SAS</t>
  </si>
  <si>
    <t>dde70f34eb54b0e1ace89ae1252b92de135b774cadc236461a62cb456af62cbf6da788bc2f0739cae774782acbe50de4</t>
  </si>
  <si>
    <t>105517</t>
  </si>
  <si>
    <t>23-01-2026 08:50:35</t>
  </si>
  <si>
    <t>f3ec393cb98690fa383c05d17da83b479692a5be699c8e0f9282415740e09da8b5f8230bf9e7f5899daccd5ae4a34227</t>
  </si>
  <si>
    <t>105518</t>
  </si>
  <si>
    <t>23-01-2026 08:50:39</t>
  </si>
  <si>
    <t>d7e6e93d117e929c594d6afee41a4ae1bf378734537c414a2b4773e6d8fb7bb6c2bd9d3029e3f1347a823400b0d1b62d</t>
  </si>
  <si>
    <t>105519</t>
  </si>
  <si>
    <t>23-01-2026 08:50:44</t>
  </si>
  <si>
    <t>e09a291c0a020ae23a7c7a21ca3bca45d92ade208c9a99b8c988b61adc9f5be96a1a2560899ed1ec2d2e885f24593515</t>
  </si>
  <si>
    <t>105520</t>
  </si>
  <si>
    <t>23-01-2026 08:50:49</t>
  </si>
  <si>
    <t>010658e2321a2078c0208f806ce48f091ebe767b05d4531f04e9710d82238ee3df38845c5672a3308a031f50b293f862</t>
  </si>
  <si>
    <t>105521</t>
  </si>
  <si>
    <t>23-01-2026 08:50:53</t>
  </si>
  <si>
    <t>1c0b21256aac8bc10a787bc03589daf73dbe4fa51b14a84a77d8d7c6c8f295bc1b938e0138b9b31995df750971994c21</t>
  </si>
  <si>
    <t>105522</t>
  </si>
  <si>
    <t>23-01-2026 08:50:59</t>
  </si>
  <si>
    <t>9d2bf29f3a64a10906ad770a95a570a2641a4a4fa129f3909462795f2b306e7d83b6e7a54286ad0f8abb64c6f0d76273</t>
  </si>
  <si>
    <t>105523</t>
  </si>
  <si>
    <t>23-01-2026 08:51:03</t>
  </si>
  <si>
    <t>900300055</t>
  </si>
  <si>
    <t>Gestion De Activos Tecni SAS</t>
  </si>
  <si>
    <t>d4f432aecbfe83f69423247574e9b508ddc2022aa20104032b0570d6003ef3d72b77dfcaa0f553e6cfc7c0a0e85882d7</t>
  </si>
  <si>
    <t>105524</t>
  </si>
  <si>
    <t>23-01-2026 09:07:21</t>
  </si>
  <si>
    <t>860052634</t>
  </si>
  <si>
    <t>Distribuidora Los Coches La Sabana SAS</t>
  </si>
  <si>
    <t>b358df5c2df8208277cdf04e2b99b07e203e8195b01797d2eb6b7f11a27ac4b98e8353d604ef63aa6b2900b914d713e2</t>
  </si>
  <si>
    <t>105525</t>
  </si>
  <si>
    <t>23-01-2026 09:07:34</t>
  </si>
  <si>
    <t>cd64bfeff08162054a37f7a274eedc8f47f67d36340ebbe3927ec6851e26f7c70ecfb6415393812ba57f395890fd6e4f</t>
  </si>
  <si>
    <t>105526</t>
  </si>
  <si>
    <t>23-01-2026 09:36:36</t>
  </si>
  <si>
    <t>860512466</t>
  </si>
  <si>
    <t>Sabanalac SAS</t>
  </si>
  <si>
    <t>d98e9d918cb969595717d621d9114c552801374f7f065badaf9e9bb92b5be0506ecb6bd33ece9fe13eb6a99af319cc55</t>
  </si>
  <si>
    <t>105527</t>
  </si>
  <si>
    <t>23-01-2026 09:36:40</t>
  </si>
  <si>
    <t>c6fc66794cebb501304dc3a718bc69b632ee9581e1b8b332f599bec2f1deb1fad0b16a90456e519541ef8bb32f5e855b</t>
  </si>
  <si>
    <t>105528</t>
  </si>
  <si>
    <t>23-01-2026 09:36:45</t>
  </si>
  <si>
    <t>bb327265193edaaba4f1cca545b4a9b3fa85cf70c6dd64902338cd2ba48b257ce455f9d3d287392611e6188e78d2d4e3</t>
  </si>
  <si>
    <t>105529</t>
  </si>
  <si>
    <t>23-01-2026 09:36:50</t>
  </si>
  <si>
    <t>3994a8facc3d68585bf4a3baa7d258a14e3a30abc6a2033e552ce5d677dda097e2a6e3f632d7fd5fc4bf479bb4b00ee7</t>
  </si>
  <si>
    <t>105530</t>
  </si>
  <si>
    <t>23-01-2026 09:52:04</t>
  </si>
  <si>
    <t>e944a701e3b7321a4a424fd48c3ddbfb8a9b7f47a4ba7483b6bd73bbe4b585d9e84f6a3bdfd7f5f1c3e35f5e56136a24</t>
  </si>
  <si>
    <t>105531</t>
  </si>
  <si>
    <t>23-01-2026 09:52:08</t>
  </si>
  <si>
    <t>900348830</t>
  </si>
  <si>
    <t>Integral Solutions Sd S A S</t>
  </si>
  <si>
    <t>1681217e178404ea832131eef169ae0f6dfd22f4c270a2a7bd05b29be581eb72913531e7c73227d36ce2c1cfa6da769f</t>
  </si>
  <si>
    <t>105532</t>
  </si>
  <si>
    <t>23-01-2026 10:07:23</t>
  </si>
  <si>
    <t>900665411</t>
  </si>
  <si>
    <t>Bythewave SAS</t>
  </si>
  <si>
    <t>03d891f8039a076451788a0474d92d70b9d52a8569e50607938ad725f63c5e4bd62740f78985f1671f1b7bdeefc7ee76</t>
  </si>
  <si>
    <t>105533</t>
  </si>
  <si>
    <t>23-01-2026 10:07:27</t>
  </si>
  <si>
    <t>9f7d4380610ec1d6234b41c16adadf56e9da3dac83798a46f5eae237cdf0b6efa505dec58932d49e0e3b6e2b2e943b60</t>
  </si>
  <si>
    <t>105534</t>
  </si>
  <si>
    <t>23-01-2026 10:07:33</t>
  </si>
  <si>
    <t>a4044ddb25cb27f2a9c038f23155df34d4221b7973b7b8bb38cd28c167f41a9413e19e8b3db5b8091d43dd7f9fbb31e6</t>
  </si>
  <si>
    <t>105535</t>
  </si>
  <si>
    <t>23-01-2026 10:23:33</t>
  </si>
  <si>
    <t>1d7a8da6bd512616a83a02d9ebcaebc97fcf2706bec963c4d646f709cc434f992af45e72d0b22990a8c560b8c75566e6</t>
  </si>
  <si>
    <t>105536</t>
  </si>
  <si>
    <t>23-01-2026 10:37:54</t>
  </si>
  <si>
    <t>800250763</t>
  </si>
  <si>
    <t>Seaboard De Colombia SAS</t>
  </si>
  <si>
    <t>e698b6acd4cd978508aaa2ebd379a7c48944a4b9e2146dc9e89cfab9a6b24eb84aaab65cc64fe17d8933201ef596c7b0</t>
  </si>
  <si>
    <t>105537</t>
  </si>
  <si>
    <t>23-01-2026 10:38:19</t>
  </si>
  <si>
    <t>900481195</t>
  </si>
  <si>
    <t>Akila S A S</t>
  </si>
  <si>
    <t>9e2eaf8867d253d6b918fe8415159fa69dff133cb46ea11ea2e8b4613112540f5d281eb8c5d4ec110e2d9db966be9f8e</t>
  </si>
  <si>
    <t>105538</t>
  </si>
  <si>
    <t>23-01-2026 10:38:28</t>
  </si>
  <si>
    <t>90cd39294df695167b456489cea4464fc61643923beb90dab1f9101df864a24f020d1b09ed0a1a2e0b41e600eba2f69e</t>
  </si>
  <si>
    <t>105539</t>
  </si>
  <si>
    <t>5899f1559cf8478ccccc578b41cf04bba0f1eeb31bd348872869fbbb203b292bcff7258fe387e0159e557b1d75a8d7d9</t>
  </si>
  <si>
    <t>105540</t>
  </si>
  <si>
    <t>23-01-2026 10:38:14</t>
  </si>
  <si>
    <t>901321010</t>
  </si>
  <si>
    <t>Impacta Btl S A S</t>
  </si>
  <si>
    <t>77c35fb3fc28527c7d459c2bc1cfccd5efbf0518d054f14872b259d8a14035d0e3aa4044544b8acfdb2e769e8ab7439f</t>
  </si>
  <si>
    <t>105541</t>
  </si>
  <si>
    <t>23-01-2026 10:53:25</t>
  </si>
  <si>
    <t>800251087</t>
  </si>
  <si>
    <t>B i SAS</t>
  </si>
  <si>
    <t>e431633f1bb0ef66aa28d0ad569e77d8f1e3e9e3fea8c644689128ba1990d7df8c02c241cb3518cb4090b89f16e44dcd</t>
  </si>
  <si>
    <t>105542</t>
  </si>
  <si>
    <t>23-01-2026 10:53:29</t>
  </si>
  <si>
    <t>860006333</t>
  </si>
  <si>
    <t>Yara Colombia SA</t>
  </si>
  <si>
    <t>5747e093163896eb4d377d2f30785d9b9a4bc2655408bdfe51a84a3fe9ac8783b5275e5889815e2a5df67c2ea2ada33d</t>
  </si>
  <si>
    <t>105543</t>
  </si>
  <si>
    <t>23-01-2026 11:08:45</t>
  </si>
  <si>
    <t>63d8b3a0994624cba0099372f6c2af2a6501d1357f1a9c1cee2f871c0680eea762062e76e7b658e453e85ae0afba91c1</t>
  </si>
  <si>
    <t>105544</t>
  </si>
  <si>
    <t>23-01-2026 11:08:51</t>
  </si>
  <si>
    <t>1019006851</t>
  </si>
  <si>
    <t>Mario David Garcia Atra</t>
  </si>
  <si>
    <t>f1a5f13568cba27be8e679ce0992ac83fd00f11c9346379c5353fe6d4b832675a64197c783a8a55b8b7ba77a0fa0e003</t>
  </si>
  <si>
    <t>105545</t>
  </si>
  <si>
    <t>23-01-2026 11:09:53</t>
  </si>
  <si>
    <t>860073087</t>
  </si>
  <si>
    <t>La Font SAS</t>
  </si>
  <si>
    <t>aa26435a1eba4832978c0c3cc6bbe93d7d942a25e93a3bb1972e97e6e5b7d2f2432721074951f02900d167e95788d58a</t>
  </si>
  <si>
    <t>105546</t>
  </si>
  <si>
    <t>23-01-2026 11:24:10</t>
  </si>
  <si>
    <t>900860858</t>
  </si>
  <si>
    <t>L&amp;D Equipos Y Fundaciones SAS</t>
  </si>
  <si>
    <t>d7dd752147a9bae815e3e05cca0bbcfe942b6297b7db4f582afe09814ee9367e77d7222481acd7246f464f73ca2b829d</t>
  </si>
  <si>
    <t>105547</t>
  </si>
  <si>
    <t>23-01-2026 11:24:13</t>
  </si>
  <si>
    <t>830020915</t>
  </si>
  <si>
    <t>Informa Colombia SA</t>
  </si>
  <si>
    <t>dba762eef91c12d2f03b5526fced11820419b20f4f8512a4eeadf2da0cb88035d433e5e96ce087932a97289ee6419217</t>
  </si>
  <si>
    <t>105548</t>
  </si>
  <si>
    <t>23-01-2026 11:24:16</t>
  </si>
  <si>
    <t>830015820</t>
  </si>
  <si>
    <t>Dental 83 SAS</t>
  </si>
  <si>
    <t>9bd60979c82767e3c595d2106a8e99d3d99a669f63ab534eee4a91202e08faf1357906c306480b21e97742cb385ab934</t>
  </si>
  <si>
    <t>105549</t>
  </si>
  <si>
    <t>23-01-2026 11:39:27</t>
  </si>
  <si>
    <t>900711448</t>
  </si>
  <si>
    <t>Phoenix Tower International Colombia Ltda</t>
  </si>
  <si>
    <t>7f1bebda329167ad73f22ed0bbad8872244612b3ea255d9ddff69465ed79e577dda15e3fd02a8367d95470757b1ac5fa</t>
  </si>
  <si>
    <t>105550</t>
  </si>
  <si>
    <t>23-01-2026 11:39:32</t>
  </si>
  <si>
    <t>35a41a65b3fe21a5e0234d241822509583e2d7f2a7b40b54b2cb77a0694fe4a75b0bd7505e8654eb6594530958cef826</t>
  </si>
  <si>
    <t>105551</t>
  </si>
  <si>
    <t>23-01-2026 11:54:42</t>
  </si>
  <si>
    <t>941ffbb5010065e0b1b1de122c12cdbeb2e8ae630516ff2a1ed9cc809f168eb1d879f16e4960504e1cf9be3689a7323c</t>
  </si>
  <si>
    <t>105552</t>
  </si>
  <si>
    <t>23-01-2026 11:54:47</t>
  </si>
  <si>
    <t>ecdc2d5fc2d338f5b836b23b58425d53f3c7ffce1968ba6652b5da5531dd0b338bc61ea5a13647c0886d2833130d0c5a</t>
  </si>
  <si>
    <t>105553</t>
  </si>
  <si>
    <t>23-01-2026 11:54:52</t>
  </si>
  <si>
    <t>830124633</t>
  </si>
  <si>
    <t>Road Track De Colombia SAS</t>
  </si>
  <si>
    <t>a7386342305b14d1570ea649900d21109128f55e8d50099185a8d0374a0ce577beb812e687acdfac93a6873363aae8bc</t>
  </si>
  <si>
    <t>105554</t>
  </si>
  <si>
    <t>23-01-2026 12:10:16</t>
  </si>
  <si>
    <t>830055813</t>
  </si>
  <si>
    <t>Fundacion Ao Latino America</t>
  </si>
  <si>
    <t>c0b2db6288fe005efdfce43abb4fe5f5c6ef9eaf05175ecfe66d04767acf72edc7c290e5c83214f6f29699e044ed9da6</t>
  </si>
  <si>
    <t>105555</t>
  </si>
  <si>
    <t>23-01-2026 12:25:32</t>
  </si>
  <si>
    <t>406352a00d4063759a1ec4465725084d6e7d23e0c9e68e4db292782ea9c95b222aa9a392b0a45304a55c27db1abc3110</t>
  </si>
  <si>
    <t>105556</t>
  </si>
  <si>
    <t>23-01-2026 12:25:37</t>
  </si>
  <si>
    <t>f118cc6f28fc94d2e90836f0776744bd59cdba3e82c6cfa2f77ae6423c8b4f6558a35d720bfefa62c5396f00ba2df8e6</t>
  </si>
  <si>
    <t>105557</t>
  </si>
  <si>
    <t>23-01-2026 13:11:07</t>
  </si>
  <si>
    <t>c84ae59f8d3cad4348313c7d06b432a795e9399f237938c1d404fb3508fe57e2a1cab2485cd84c3df95cebf4b9c8375b</t>
  </si>
  <si>
    <t>105558</t>
  </si>
  <si>
    <t>23-01-2026 13:11:12</t>
  </si>
  <si>
    <t>860003437</t>
  </si>
  <si>
    <t>Central SAS</t>
  </si>
  <si>
    <t>5caa2f4a07d7183d388028fcaff5645dbeda498dbc8005c187eb71b188cd384da0f54780c8eda8181e9406765eeca701</t>
  </si>
  <si>
    <t>105559</t>
  </si>
  <si>
    <t>23-01-2026 14:41:56</t>
  </si>
  <si>
    <t>759bdda111b866a35e7b76c98971b415a9f3347316fd6b3dd6c87602f3b99d621e55abf3d777ddfb01ed5a8fb31fbd7a</t>
  </si>
  <si>
    <t>105560</t>
  </si>
  <si>
    <t>23-01-2026 14:42:00</t>
  </si>
  <si>
    <t>a523bd366ec2ab8b63d6f1a4f0db1673ea5e3b00ebd5ff63b6588eabf68779d48d041dffd9c07f48b04a73e306b1793f</t>
  </si>
  <si>
    <t>105561</t>
  </si>
  <si>
    <t>23-01-2026 14:42:05</t>
  </si>
  <si>
    <t>dd88bb32874f8437d258fca4b208eff5d8d128af7c612618088ca05c02b28373d3dfea7edefd7ad3831ec68fbb399ed2</t>
  </si>
  <si>
    <t>105562</t>
  </si>
  <si>
    <t>23-01-2026 14:42:10</t>
  </si>
  <si>
    <t>e007b9d62a775e5ab7478aeab351435f0d76d677934737f445bb52c7656b435154c3417b8dbf979591e99826e84f584a</t>
  </si>
  <si>
    <t>105563</t>
  </si>
  <si>
    <t>23-01-2026 15:12:28</t>
  </si>
  <si>
    <t>900255472</t>
  </si>
  <si>
    <t>Maurel &amp; Prom Colombia B.V.</t>
  </si>
  <si>
    <t>9c1815fdf1faba948a10ffed8a1814f92f6ef570a235c19235311d84e3d20c08ffee83630d3f36ef9d0633e977c18262</t>
  </si>
  <si>
    <t>105564</t>
  </si>
  <si>
    <t>23-01-2026 15:12:33</t>
  </si>
  <si>
    <t>900339803</t>
  </si>
  <si>
    <t>Extractora La Gloria SAS</t>
  </si>
  <si>
    <t>e8aa19017e92cae85aa58207bccbf4e42f88dfd0897bb64e548775f50549b31b7a3ff49038603d17f9bb0ee8909f68e9</t>
  </si>
  <si>
    <t>105565</t>
  </si>
  <si>
    <t>23-01-2026 15:12:37</t>
  </si>
  <si>
    <t>e0d455e72be8aafba9b0b62cb281b5c6cfae71c56e34a75ace97f9c2de86326afc91751866526711cb11e80ebf7122d6</t>
  </si>
  <si>
    <t>105566</t>
  </si>
  <si>
    <t>23-01-2026 15:27:49</t>
  </si>
  <si>
    <t>900449844</t>
  </si>
  <si>
    <t xml:space="preserve">Tecses S A S </t>
  </si>
  <si>
    <t>06e35df2cef561a5d41ceb9f178b933d494ebf78e9e1f35d8dd6ee29e661be9aae006bea92bdd4cda099f27d4855c854</t>
  </si>
  <si>
    <t>105567</t>
  </si>
  <si>
    <t>23-01-2026 15:27:54</t>
  </si>
  <si>
    <t>830136065</t>
  </si>
  <si>
    <t>Evertec Colombia SAS</t>
  </si>
  <si>
    <t>48ed4093b6121c5169e730ce4649baf1b9e941839dbd3fa992b89d66552458589d47a64f88ddf9a6f4717e9709c2f871</t>
  </si>
  <si>
    <t>105568</t>
  </si>
  <si>
    <t>23-01-2026 15:43:09</t>
  </si>
  <si>
    <t>901541749</t>
  </si>
  <si>
    <t>Kala Colombia S A S</t>
  </si>
  <si>
    <t>fa996f2a24e4b9a457bf2ee8e024ebff4fa2b330581cc4279f8b38cf89763100358ca9f1046bae94425a9aca14e0c617</t>
  </si>
  <si>
    <t>105569</t>
  </si>
  <si>
    <t>23-01-2026 15:43:14</t>
  </si>
  <si>
    <t>860008010</t>
  </si>
  <si>
    <t>Sociedad Salesiana Inspectoria De Bogota</t>
  </si>
  <si>
    <t>6e47bcbdd20d6321a2a0e72f612b92255f77055ea97133318ec1133024b26008502d39a803e9c2aff54b6cc0bdc86881</t>
  </si>
  <si>
    <t>105570</t>
  </si>
  <si>
    <t>23-01-2026 15:58:27</t>
  </si>
  <si>
    <t>c1f7b3e8c304519f8a28617b9dbfde4f75114c38b482f1a0a41ac8e163e37b077acfa8cc3814d2f744c41f2ba36c8c33</t>
  </si>
  <si>
    <t>105571</t>
  </si>
  <si>
    <t>23-01-2026 15:58:32</t>
  </si>
  <si>
    <t>805001149</t>
  </si>
  <si>
    <t>Almacenadora Interamericana De Carga SAS</t>
  </si>
  <si>
    <t>d39061165dbdf0e94648a981a5f54c7dffee2981a4dda7dee9a9eb40054bba170e8c3b915e1a570d2252aa78bdf5b568</t>
  </si>
  <si>
    <t>105572</t>
  </si>
  <si>
    <t>23-01-2026 15:58:36</t>
  </si>
  <si>
    <t>319d8bd4324f55a9e4d390e01557686862ff875d27981f46a89d056fb55af78328377fb695b23ff8312ff8889103955f</t>
  </si>
  <si>
    <t>105573</t>
  </si>
  <si>
    <t>23-01-2026 15:58:40</t>
  </si>
  <si>
    <t>890333023</t>
  </si>
  <si>
    <t>Siderurgica Del Occidente SAS Sidoc SAS</t>
  </si>
  <si>
    <t>1d7f4655a46411abbee38e34e85e866ce93400ed1ffaef02baa18d71179c96ba231faff06be8570f73e8dbf2756954c9</t>
  </si>
  <si>
    <t>105574</t>
  </si>
  <si>
    <t>23-01-2026 16:13:58</t>
  </si>
  <si>
    <t>1f414b6f99427f322686c1ea32d2fda370150726ed619e20937bd34783584636eb6070b985ad9f3b77401046695cda87</t>
  </si>
  <si>
    <t>105575</t>
  </si>
  <si>
    <t>23-01-2026 16:14:03</t>
  </si>
  <si>
    <t>e6b1e3b7b4b951f665b4b4b16bbd5b6c0133d3909a2866e35235c02624fd55f9c5adf1ceabf8cb77e30a6024f05e1ec3</t>
  </si>
  <si>
    <t>105576</t>
  </si>
  <si>
    <t>23-01-2026 16:14:10</t>
  </si>
  <si>
    <t>fe779472864dacffc80b89523bd1307f6f88bcf97ebdb57aeafb232ff750cf242634248a3b31a68721df5e2df9ec798f</t>
  </si>
  <si>
    <t>105577</t>
  </si>
  <si>
    <t>23-01-2026 16:14:14</t>
  </si>
  <si>
    <t>830047497</t>
  </si>
  <si>
    <t>Invergran Sociedad Por Acciones Simplificada</t>
  </si>
  <si>
    <t>5126b8b24777d1ed831ede46ebebb8c3c57306f49acaac17c2dc8dc1da994bc66dce5b0c8dc87f8e4ea4d9abc54b496b</t>
  </si>
  <si>
    <t>105578</t>
  </si>
  <si>
    <t>23-01-2026 16:44:33</t>
  </si>
  <si>
    <t>830133183</t>
  </si>
  <si>
    <t>S L Research Colombia SAS</t>
  </si>
  <si>
    <t>21771add16525bbce31a863db9a07a39bd03e32a3e09939260684a3dc60743be86c4a20d1960c54bca8e91bf35d3b528</t>
  </si>
  <si>
    <t>105579</t>
  </si>
  <si>
    <t>26-01-2026</t>
  </si>
  <si>
    <t>26-01-2026 09:15:31</t>
  </si>
  <si>
    <t>f52402521740d7efbf8cfb77dac27a7d1ee72658c5b30a691fc2835568d08a2ae23b743672e50f01a7a536cefc8138d6</t>
  </si>
  <si>
    <t>105580</t>
  </si>
  <si>
    <t>26-01-2026 09:44:39</t>
  </si>
  <si>
    <t>901101222</t>
  </si>
  <si>
    <t>Norlab SAS</t>
  </si>
  <si>
    <t>c82520f2a4b811159162f860f9b0f57da7139212c4c7c0ce22fcad7ff1a8ad2567966098d8a1becd99af3bbf32f3a0de</t>
  </si>
  <si>
    <t>105581</t>
  </si>
  <si>
    <t>26-01-2026 09:45:56</t>
  </si>
  <si>
    <t>900025140</t>
  </si>
  <si>
    <t>Ditexcon SAS Sociedad De Comercializacion Internacional  CI SAS</t>
  </si>
  <si>
    <t>fca30257d177a5709fd22a296e10e611266ce2d02f67dfc73434e04f594a87af3781ac53abecd0e4a87361059b486b03</t>
  </si>
  <si>
    <t>105582</t>
  </si>
  <si>
    <t>26-01-2026 10:00:41</t>
  </si>
  <si>
    <t>99beaacba3decf3983c044460154f59ae438e8dc5231c7b9d1d779791df7824b27b9caa915ce506aa68836b067d756a1</t>
  </si>
  <si>
    <t>105583</t>
  </si>
  <si>
    <t>26-01-2026 11:45:54</t>
  </si>
  <si>
    <t>860010305</t>
  </si>
  <si>
    <t>Club Campestre El Rancho</t>
  </si>
  <si>
    <t>b3e0f7371e984584434b93163413c290c2e1d4964480bf0d87538e7a8d9775e6ed93b7cf315585e39fdaab04ce34f2ca</t>
  </si>
  <si>
    <t>105584</t>
  </si>
  <si>
    <t>26-01-2026 11:45:59</t>
  </si>
  <si>
    <t>e43024d6e18fcbcd9f15c8e68688cf50a6da8c46c3a1b8539ea0b0bd0534ce7a35761467dbf24c9a26b6e6f461378c4f</t>
  </si>
  <si>
    <t>105585</t>
  </si>
  <si>
    <t>26-01-2026 12:01:10</t>
  </si>
  <si>
    <t>bd0138b1e3a35118168e68da97ee3f8d30962218d8b47d64adac653a6603193fa81fc1829b76600af77a2da10c169eb7</t>
  </si>
  <si>
    <t>105586</t>
  </si>
  <si>
    <t>26-01-2026 12:16:21</t>
  </si>
  <si>
    <t>900480172</t>
  </si>
  <si>
    <t>Operador Alia Sas</t>
  </si>
  <si>
    <t>210c8b7e044771a3e85f7c04667587e22381d8fc089806e159fe71b9a7f460faa1089f377e8d172f18c18aed36bf7f9a</t>
  </si>
  <si>
    <t>105587</t>
  </si>
  <si>
    <t>26-01-2026 12:16:26</t>
  </si>
  <si>
    <t>e8cbe7e54812ff7444f719d489aabb4621c63618cf25929f511b93a86c24d0a8b6823c933a18b8e9e81c98d21955cd3c</t>
  </si>
  <si>
    <t>105588</t>
  </si>
  <si>
    <t>26-01-2026 12:31:40</t>
  </si>
  <si>
    <t>b55fde64a85783787aa7a5c219b7e63999a8540b5dc4910f373d975ab6fac515e5640d83bdff9132a3822bd5dea80872</t>
  </si>
  <si>
    <t>105589</t>
  </si>
  <si>
    <t>26-01-2026 12:31:46</t>
  </si>
  <si>
    <t>20cd90ff6b57f174877dc7c068f1045605febae1aae88f3ddfbbe9b0b75fa685f3fd7735f308569b9b108b10113e25c2</t>
  </si>
  <si>
    <t>105590</t>
  </si>
  <si>
    <t>26-01-2026 13:02:07</t>
  </si>
  <si>
    <t>2757ec37167a02ecdff407bc7f97a41349c05f191aa1a553b9057c7a0fe72f00ec1d24b18c7d941e35c49dc20713a655</t>
  </si>
  <si>
    <t>105591</t>
  </si>
  <si>
    <t>26-01-2026 13:02:12</t>
  </si>
  <si>
    <t>860007355</t>
  </si>
  <si>
    <t>Fundacion Alejandro Angel Escobar</t>
  </si>
  <si>
    <t>445b57e7efa7fe5152426c0717f1f008646a21adc8440ec5afd26bae350a787b6a541280d81b473b4a2a8483c6a789d2</t>
  </si>
  <si>
    <t>105592</t>
  </si>
  <si>
    <t>26-01-2026 14:19:42</t>
  </si>
  <si>
    <t>860001093</t>
  </si>
  <si>
    <t>Grupo Y SAS</t>
  </si>
  <si>
    <t>5d7550b329bf4b264a76af8c4f3dd1ff39edf7340079e65cdcebb7d60478a3fc442f940dee23d0cfd9577f944e7f0bbe</t>
  </si>
  <si>
    <t>105593</t>
  </si>
  <si>
    <t>26-01-2026 14:32:59</t>
  </si>
  <si>
    <t>901191622</t>
  </si>
  <si>
    <t>Yunex SAS</t>
  </si>
  <si>
    <t>1e2a0d2e717e38962d078c78a70cd0748f18389e9da238a55e53bdfec9810bcd8b5ff7f91b7203ec274e7783f54f35aa</t>
  </si>
  <si>
    <t>105594</t>
  </si>
  <si>
    <t>26-01-2026 14:33:04</t>
  </si>
  <si>
    <t>900970439</t>
  </si>
  <si>
    <t>Bulkmatic De Colombia SAS</t>
  </si>
  <si>
    <t>d768fcdc1f22d3dabee5f3c2e09ca2b4facd791fc5babae94defad7ada20f384289ef92b7a9e98ae02fa3671357cae28</t>
  </si>
  <si>
    <t>105595</t>
  </si>
  <si>
    <t>26-01-2026 14:33:08</t>
  </si>
  <si>
    <t>824d5df86e6620a5bc6408233d73fd1a63c2be74dbc6868fd694f544ec7c8b7ff8efc60fb64a2c6425231fe995492285</t>
  </si>
  <si>
    <t>105596</t>
  </si>
  <si>
    <t>26-01-2026 14:48:20</t>
  </si>
  <si>
    <t>860046192</t>
  </si>
  <si>
    <t>Hoteles Bogota Plaza SA</t>
  </si>
  <si>
    <t>d27adbc5dcbf1d3eff10d4a58a9e107383a1ec225169e1a2fb4c987e3ad5c391a67bf6b88663ac1dd3f456beef272863</t>
  </si>
  <si>
    <t>105597</t>
  </si>
  <si>
    <t>26-01-2026 14:48:24</t>
  </si>
  <si>
    <t>e8ebb4e6d9c16878922e1d7c0c7a93cb9ae9b4006e4abb32c1268bdab9726614d01cee2de67549382532269c7898a62c</t>
  </si>
  <si>
    <t>105598</t>
  </si>
  <si>
    <t>26-01-2026 15:18:43</t>
  </si>
  <si>
    <t>900336316</t>
  </si>
  <si>
    <t>Montt Colombia SAS</t>
  </si>
  <si>
    <t>b5a86b56d42044df025df06de20b5b9a2b386e146730e66b564256e7172f249887799672e835d9b139136e824f52ddf6</t>
  </si>
  <si>
    <t>105599</t>
  </si>
  <si>
    <t>26-01-2026 15:18:46</t>
  </si>
  <si>
    <t>8339bd1a39b546a5b66216911df8c29343b52691858bccfba1d9becf6a75610de5ff0a4e62866b2e7c2f20c9ef0d271d</t>
  </si>
  <si>
    <t>105600</t>
  </si>
  <si>
    <t>26-01-2026 15:18:52</t>
  </si>
  <si>
    <t>901924401</t>
  </si>
  <si>
    <t>MDV Distribuidora SAS</t>
  </si>
  <si>
    <t>816cf92a3f21a68f53f7d7cb1c5e7a9d90d95a5de543d7f353a27dd151e875cfe5e71293546bc46b5e5732eeb78fb500</t>
  </si>
  <si>
    <t>105601</t>
  </si>
  <si>
    <t>26-01-2026 15:34:03</t>
  </si>
  <si>
    <t>901808160</t>
  </si>
  <si>
    <t>Vinmar Colombia SAS</t>
  </si>
  <si>
    <t>0144a7c77bb52ce3c742c2199f38fcb538f0d71e973da53f59645b2ce286e2736b61c9f2520dc22962c039c765797db7</t>
  </si>
  <si>
    <t>105602</t>
  </si>
  <si>
    <t>26-01-2026 15:34:07</t>
  </si>
  <si>
    <t>830098878</t>
  </si>
  <si>
    <t xml:space="preserve">Fundacion Colombiana Del Corazon </t>
  </si>
  <si>
    <t>7484e6c8a3d67144c0ea4cf6fe37b3f9e7e5254ff742b7550f3513bc674b01e02e526a2b445b351231dfdf4436465d3b</t>
  </si>
  <si>
    <t>105603</t>
  </si>
  <si>
    <t>26-01-2026 15:34:13</t>
  </si>
  <si>
    <t>3a0062e1aecbd47eb1f913e746114c2b741cabba39f091c723b72ff588e1c1272a327ef890c8cd1c2b60c2a32e888a37</t>
  </si>
  <si>
    <t>105604</t>
  </si>
  <si>
    <t>26-01-2026 15:49:23</t>
  </si>
  <si>
    <t>9afe10c1e6d5ccc3341534f57e384617068192b6d9bfcee033bf9aee9b4faec041255f459866d0c03446ec76a9222815</t>
  </si>
  <si>
    <t>105605</t>
  </si>
  <si>
    <t>26-01-2026 15:49:28</t>
  </si>
  <si>
    <t>5c604f5066ff5fa0451cc77b05edcee689503d9b9ac17484554202bc854fbd77e6bbcb9a8d0c3f051d3b8d89b6b71c79</t>
  </si>
  <si>
    <t>105606</t>
  </si>
  <si>
    <t>26-01-2026 15:49:33</t>
  </si>
  <si>
    <t>800210556</t>
  </si>
  <si>
    <t>Pasar Express SAS</t>
  </si>
  <si>
    <t>6bbd52bcd62896af8cdf7c0c3464e98a5a3bc87fca53ab0ca1a2b12275ef91ff0a98689f9c9c335b2e8583efb56d6e93</t>
  </si>
  <si>
    <t>105607</t>
  </si>
  <si>
    <t>27-01-2026</t>
  </si>
  <si>
    <t>27-01-2026 07:56:22</t>
  </si>
  <si>
    <t>860049609</t>
  </si>
  <si>
    <t>Milsen SAS</t>
  </si>
  <si>
    <t>b3151d17e87c9588dae3b7ba9ea264c484b88358d5a296548f114cf3c7d3ce92d50cd1b7c5060346d3335483d826c7d3</t>
  </si>
  <si>
    <t>105608</t>
  </si>
  <si>
    <t>27-01-2026 08:26:41</t>
  </si>
  <si>
    <t>7776f5c58e1428107bbeaec3d08f435fbf8c5886e2db4dae260304b5ed5eaf40345e6d0f8951ce3d5f66c78ece3b835d</t>
  </si>
  <si>
    <t>105609</t>
  </si>
  <si>
    <t>27-01-2026 08:26:45</t>
  </si>
  <si>
    <t>2bad1db4866649129ec7745a6925f261adfbe49247d1aa5e3a7079bb481d79c910c4bb72b40c2314347a0102a97be5a3</t>
  </si>
  <si>
    <t>105610</t>
  </si>
  <si>
    <t>27-01-2026 09:27:20</t>
  </si>
  <si>
    <t>f62c30dfb6c7899d50bdec8f02b2710d0573b4057c8cd155d8af017f0484b674fc9f31c030b0733c23f8f2a24f86e059</t>
  </si>
  <si>
    <t>105611</t>
  </si>
  <si>
    <t>27-01-2026 09:27:25</t>
  </si>
  <si>
    <t>d1b2ae7139e5ba36401730819742a2253ca5f961363a1571870a6a50965c546165debf15ca75c8694d4d8435e18af215</t>
  </si>
  <si>
    <t>105612</t>
  </si>
  <si>
    <t>27-01-2026 09:27:30</t>
  </si>
  <si>
    <t>4762be5b168dc4aecbad92cfc92af6f839dd13b15613d93a3ef226a02e1697ba5ca7141c48b8ab1ae0528cb522b99748</t>
  </si>
  <si>
    <t>105613</t>
  </si>
  <si>
    <t>27-01-2026 09:27:34</t>
  </si>
  <si>
    <t>901485363</t>
  </si>
  <si>
    <t>Persea Colombia SAS</t>
  </si>
  <si>
    <t>4a5f5affd71cdbf3d1c1cbd4702acc22c3ea220699ffef7bdb31c4da59b70e30210afb4d7068c95f12bd6f708352bb4e</t>
  </si>
  <si>
    <t>105614</t>
  </si>
  <si>
    <t>27-01-2026 11:13:34</t>
  </si>
  <si>
    <t>f1d503a04bd22fcb7732b6973bdf754fddf7ebea54f10367eb1e5c7fa34ba1b0a014b6fd2c338a2274784f12ac4a61a6</t>
  </si>
  <si>
    <t>105615</t>
  </si>
  <si>
    <t>27-01-2026 11:59:03</t>
  </si>
  <si>
    <t>33cddd6c41ea6a367c04138ea37474e54a82be0d1d2cf9138ac3c450bdb7f4d669e8ed1af0532e87eb45bc81ce67cb01</t>
  </si>
  <si>
    <t>105616</t>
  </si>
  <si>
    <t>27-01-2026 11:59:08</t>
  </si>
  <si>
    <t>a5c9fa0eba454752b0d016b2ac9748bdaf7a44cdb85ac4b133d756ae7bd1ba07c8200430dab7afd7a771c2bd28531b37</t>
  </si>
  <si>
    <t>105617</t>
  </si>
  <si>
    <t>27-01-2026 11:59:14</t>
  </si>
  <si>
    <t>860025674</t>
  </si>
  <si>
    <t>Caracol Television SA</t>
  </si>
  <si>
    <t>06d3ba0242526df65122f7c7125cac38969e69a1ac23930c6f08e5ab8403017178dcd45387f15d847d9c74ab8a37e746</t>
  </si>
  <si>
    <t>105618</t>
  </si>
  <si>
    <t>27-01-2026 11:59:18</t>
  </si>
  <si>
    <t>830022818</t>
  </si>
  <si>
    <t>Data File SA</t>
  </si>
  <si>
    <t>472271c41ab535dc9ba0273c346913303365b23e12fc42b47211c18e6b421c0097894e38f76843a6b0c12b5a90540e52</t>
  </si>
  <si>
    <t>105619</t>
  </si>
  <si>
    <t>27-01-2026 12:14:29</t>
  </si>
  <si>
    <t>841cbcf00c8d05e7c768fd44c49dc072f53e2c331c0e827077394f0b2b6e440e7995bca4d4874afeb30619562023b30c</t>
  </si>
  <si>
    <t>105620</t>
  </si>
  <si>
    <t>27-01-2026 12:44:48</t>
  </si>
  <si>
    <t>db371a4d69be55b06965fafbf50a9832fba16d8fd44951d87d69dae24937edb83ed0610e18eb7764ccdd076cfd1be0bc</t>
  </si>
  <si>
    <t>105621</t>
  </si>
  <si>
    <t>27-01-2026 13:00:03</t>
  </si>
  <si>
    <t>7c013ad69f8ec6aca5b34f4b12465092f8c7c5c33ed532d11d699c164589e937ff436320bf241117cfcb9a6a0d9196ba</t>
  </si>
  <si>
    <t>105622</t>
  </si>
  <si>
    <t>27-01-2026 15:00:56</t>
  </si>
  <si>
    <t>f6e24d6a92ede66b8b274c993ec337577afd3eb052d2a647c5faa6e44dc7ed0acc54bea8a05223222d3bbb360c2ef916</t>
  </si>
  <si>
    <t>105623</t>
  </si>
  <si>
    <t>27-01-2026 15:16:07</t>
  </si>
  <si>
    <t>891903392</t>
  </si>
  <si>
    <t>T-Vapan 500 S A S</t>
  </si>
  <si>
    <t>b0ba51f164b943313a55ac6f2826f998833ba8978ec96773be4a77f91cb4fb0d8e4ee33b72ed38f92646b623cdc1d02f</t>
  </si>
  <si>
    <t>105624</t>
  </si>
  <si>
    <t>27-01-2026 15:16:13</t>
  </si>
  <si>
    <t>3bc27239aaa8b7ac0a3ab9a41ebb2c63720b20554b57303c321d27e86cd76b4d5acb3e9da2f2a9f555421c7b0c859e17</t>
  </si>
  <si>
    <t>105625</t>
  </si>
  <si>
    <t>27-01-2026 16:01:44</t>
  </si>
  <si>
    <t>811033238</t>
  </si>
  <si>
    <t>Provenzal SAS</t>
  </si>
  <si>
    <t>0e318d75999636c37517fee5731645a1f016fe672154be33cd54e02ff1710769fc0d75ca4dde68ddfb9cd096b801d382</t>
  </si>
  <si>
    <t>105626</t>
  </si>
  <si>
    <t>27-01-2026 16:01:49</t>
  </si>
  <si>
    <t>830004861</t>
  </si>
  <si>
    <t>Mct SAS</t>
  </si>
  <si>
    <t>bac9250e92048022c6c43822e336430bfc095a82d2f0bbce1c17f9381e982f0e81b40df5e9d92bef0efa277a61695e12</t>
  </si>
  <si>
    <t>105627</t>
  </si>
  <si>
    <t>28-01-2026</t>
  </si>
  <si>
    <t>28-01-2026 08:38:58</t>
  </si>
  <si>
    <t>75cbc8a769e65e8690702ebedcf452d590cc4eaf1de6d174ce7cd4bf0f5708fcf10256d0870b63339238e1ff2202d490</t>
  </si>
  <si>
    <t>105628</t>
  </si>
  <si>
    <t>28-01-2026 08:39:02</t>
  </si>
  <si>
    <t>830063261</t>
  </si>
  <si>
    <t>Biocidas Y Quimicos SAS</t>
  </si>
  <si>
    <t>e68cbca7bbf549c9e1a1bbc3a00710ad8f0ad1e20de60e840d430e5dce8d5ddbb12fd499a4111e03f75e85a4ee12963e</t>
  </si>
  <si>
    <t>105629</t>
  </si>
  <si>
    <t>28-01-2026 09:39:32</t>
  </si>
  <si>
    <t>PAGA EN SISTEMA 2/03/2026</t>
  </si>
  <si>
    <t>5e9395ea153d7300e6d8b6098a48d663f2dabfd9996296e77c664aa0c897d7649265ab7259a2ec66351b5d689f3c32bd</t>
  </si>
  <si>
    <t>105630</t>
  </si>
  <si>
    <t>28-01-2026 09:39:36</t>
  </si>
  <si>
    <t>890203006</t>
  </si>
  <si>
    <t>Fondo De Empleados De Sierracol Energy Arauca LLC</t>
  </si>
  <si>
    <t>4ba79c9be1fe5e3ee5e6d6e69f548f780fb64af3c4783666204979833c4d48f080c9294f7eb5650098cdb42f74c7123f</t>
  </si>
  <si>
    <t>105631</t>
  </si>
  <si>
    <t>28-01-2026 09:54:51</t>
  </si>
  <si>
    <t>5db4517ff638a33023430ebb7d3f3b05a40983b6d17b8797f7ce3f139b23d4db75710d298f21610e51371af89d874ffd</t>
  </si>
  <si>
    <t>105632</t>
  </si>
  <si>
    <t>28-01-2026 09:54:55</t>
  </si>
  <si>
    <t>afe8a625e6388e7d6612583179464ad23c1e217cbd8c84faa8b80e0452145a0f84ed7bacc8db42bd0135dd86eb3ddd70</t>
  </si>
  <si>
    <t>105633</t>
  </si>
  <si>
    <t>28-01-2026 11:40:52</t>
  </si>
  <si>
    <t>ddf16c3917524c022df6702e45d495a3a6dbca63b949797f3a2c271419e6793aa4af6e844d61422b42c0d5c171de06a0</t>
  </si>
  <si>
    <t>105634</t>
  </si>
  <si>
    <t>28-01-2026 12:11:10</t>
  </si>
  <si>
    <t>3fa2b0bed4ca5fcbd16388ad8c1846cc0128cf5d52fa55a0d0bd4dd884695341559f9195896b70bd992e68159aacced8</t>
  </si>
  <si>
    <t>105635</t>
  </si>
  <si>
    <t>28-01-2026 12:26:21</t>
  </si>
  <si>
    <t>bbcff7892cd5c0e9cbae4cb23b596fb80c8c90ef6a00dba9d8dfba3a35ecdd8d878161b822d7493af302bb1fcffaccd8</t>
  </si>
  <si>
    <t>105636</t>
  </si>
  <si>
    <t>28-01-2026 12:41:32</t>
  </si>
  <si>
    <t>b683dde7df4f72cc8fd24a606729f513153aa2d692ae8d1fa0a3981357674acb5d33d5d7a3f750353ddfc9dce57ff96d</t>
  </si>
  <si>
    <t>105637</t>
  </si>
  <si>
    <t>28-01-2026 14:42:31</t>
  </si>
  <si>
    <t>0a9596030a69b34345cf148638e98a5a5966191e04b436cb3ca18bb31364a2a00e957e6bad45cb157326e22fc6f988b6</t>
  </si>
  <si>
    <t>105638</t>
  </si>
  <si>
    <t>28-01-2026 15:12:44</t>
  </si>
  <si>
    <t>97b51b3cd92dbc9e6f1827fa6098851b08d68a55120921f2c37c05b40cbd905af750b33a661dc69f74603720e1406f81</t>
  </si>
  <si>
    <t>105639</t>
  </si>
  <si>
    <t>28-01-2026 15:27:56</t>
  </si>
  <si>
    <t>901900189</t>
  </si>
  <si>
    <t>Grupo De Entretenimiento La Unica SAS</t>
  </si>
  <si>
    <t>da2b3e5112dd37bf82d7ceff7946cc6232df054f2b2da30a2d6fbdb992e83f5216cba2eb27c2214520ac5a4c01496f66</t>
  </si>
  <si>
    <t>105640</t>
  </si>
  <si>
    <t>28-01-2026 15:28:00</t>
  </si>
  <si>
    <t>860517300</t>
  </si>
  <si>
    <t>Agropecuaria La Trinidad Dos SAS</t>
  </si>
  <si>
    <t>931143796ad328a312034f1c162a65fb501c06bbbddb3ce03604035afc0234d3648abc130e367abefac5d974332077d0</t>
  </si>
  <si>
    <t>105641</t>
  </si>
  <si>
    <t>28-01-2026 16:28:36</t>
  </si>
  <si>
    <t>901255563</t>
  </si>
  <si>
    <t>Unitoys Colombia SAS</t>
  </si>
  <si>
    <t>d0177d3106ebbff0d2b75518a8666f24f219a3a7f8e0e3635ba66dba91b7515ddb2d2abf50255b481b3accd138364dc4</t>
  </si>
  <si>
    <t>105642</t>
  </si>
  <si>
    <t>28-01-2026 16:28:40</t>
  </si>
  <si>
    <t>860024041</t>
  </si>
  <si>
    <t>Aldeas Infantiles SOS Colombia</t>
  </si>
  <si>
    <t>48539822d04d09ad05cbe0551927651222b0139315521ba8bd97801623c51aecd9ae891453e518494698c78ff9f510e9</t>
  </si>
  <si>
    <t>105643</t>
  </si>
  <si>
    <t>28-01-2026 16:28:45</t>
  </si>
  <si>
    <t>e22a13cbf31eb1afdbf7456d03115522a8ddbc78aaca37661b156176f350b060d908692f6cac78a6ecdabfd09ef03d10</t>
  </si>
  <si>
    <t>105644</t>
  </si>
  <si>
    <t>29-01-2026</t>
  </si>
  <si>
    <t>29-01-2026 08:20:31</t>
  </si>
  <si>
    <t>830081407</t>
  </si>
  <si>
    <t>Ajecolombia SAS</t>
  </si>
  <si>
    <t>078bb89645e6811f5dcde0bc2a64486b3972ff648f97f6f368be458c6ad19b8e24c58aed29f2e74e5628fcb679caf57a</t>
  </si>
  <si>
    <t>105645</t>
  </si>
  <si>
    <t>29-01-2026 09:51:13</t>
  </si>
  <si>
    <t>900998982</t>
  </si>
  <si>
    <t>Palladium Colombia SAS</t>
  </si>
  <si>
    <t>4e51956a2b1885f014647d89c93dd753965c464eabdcd76b5abb03af0a671709fa408fb9c08592d8f61b2d974eeb545c</t>
  </si>
  <si>
    <t>105646</t>
  </si>
  <si>
    <t>29-01-2026 14:23:58</t>
  </si>
  <si>
    <t>d04caa66dc095f75b116d1f0f0988fce5b29a1562a2dd1d8c0a828060c534b0db669ba171e848c8d7993ca366528f6d8</t>
  </si>
  <si>
    <t>105647</t>
  </si>
  <si>
    <t>29-01-2026 14:39:09</t>
  </si>
  <si>
    <t>800214052</t>
  </si>
  <si>
    <t>Multiviajes LTDA</t>
  </si>
  <si>
    <t>4f056ffc9f16e2afd56768289ccdfbd79e3e98dbcacc1150fda6fe0f191baff22d3c6a14699770552e71427ccda6977b</t>
  </si>
  <si>
    <t>105648</t>
  </si>
  <si>
    <t>29-01-2026 14:54:22</t>
  </si>
  <si>
    <t>900115560</t>
  </si>
  <si>
    <t>Sociedad Operadora 72 Gran Hotel SAS</t>
  </si>
  <si>
    <t>876f541cb56a8a861968ba13773d27056b00bfbc95b0ea632bcf43834123e858ed77d5ea5c9a875a43cf8416dea84e39</t>
  </si>
  <si>
    <t>105649</t>
  </si>
  <si>
    <t>30-01-2026</t>
  </si>
  <si>
    <t>30-01-2026 09:28:33</t>
  </si>
  <si>
    <t>900883688</t>
  </si>
  <si>
    <t>Brink´S Incorporated Sucursal Colombia</t>
  </si>
  <si>
    <t>2f371a29f6c28e316758b4ac67950731753a4eb5cb8f9c21d4eb505d51e96dec46b49cfb5556496e6c375999576744e3</t>
  </si>
  <si>
    <t>105650</t>
  </si>
  <si>
    <t>30-01-2026 09:28:39</t>
  </si>
  <si>
    <t>1870f3ee4bd5ad7606346d2f761084bc60248efefa7a3d2bdeface8e7d2b709921c434fafad412bd27e18d4bf313a0ca</t>
  </si>
  <si>
    <t>105651</t>
  </si>
  <si>
    <t>30-01-2026 09:43:45</t>
  </si>
  <si>
    <t>352727782</t>
  </si>
  <si>
    <t>Fusionhit Inc</t>
  </si>
  <si>
    <t>075ab9f4651d9bfd1fae726583dd74ecea432a0a0b01223a3bdb22acfdde65db902ec781db3664039d13378f81927a9d</t>
  </si>
  <si>
    <t>105652</t>
  </si>
  <si>
    <t>30-01-2026 09:43:49</t>
  </si>
  <si>
    <t>900438438</t>
  </si>
  <si>
    <t>Clm Colombia SAS</t>
  </si>
  <si>
    <t>b5e7110d73c1e8f1c910cd0f5872e793e9da14d45773d60debc5fce98e62aa23a1ad22910d0e1119df9d10697f8202ca</t>
  </si>
  <si>
    <t>105653</t>
  </si>
  <si>
    <t>30-01-2026 10:44:14</t>
  </si>
  <si>
    <t>901061386</t>
  </si>
  <si>
    <t>Bmi Colombia Compañia De Seguros De Vida SA</t>
  </si>
  <si>
    <t>e7ea8cafcb944f232ac49428cd46bd6a9bb1e87bc14953d17e1f5060922c3d7ffb63fbab0252af59cea396e328a19c5b</t>
  </si>
  <si>
    <t>105654</t>
  </si>
  <si>
    <t>30-01-2026 12:14:13</t>
  </si>
  <si>
    <t>41947244</t>
  </si>
  <si>
    <t>Angelica Maria Chala Vidal</t>
  </si>
  <si>
    <t>ba9f84810ce34d08907f5263cb2a1e8be25cb2da8138e40d9a17805d526853d2fee7bc6c164646b1a5f93a1985895596</t>
  </si>
  <si>
    <t>105655</t>
  </si>
  <si>
    <t>30-01-2026 12:14:17</t>
  </si>
  <si>
    <t>900223930</t>
  </si>
  <si>
    <t>Promotora Corcega S A S</t>
  </si>
  <si>
    <t>2eedb859b8e654ec1fff5da07cd04cf71ecd86e3aa9bee2d58316e44a5bbd3f78e619199904f0b746bffd9ab3191ff6d</t>
  </si>
  <si>
    <t>105656</t>
  </si>
  <si>
    <t>30-01-2026 14:44:54</t>
  </si>
  <si>
    <t>1033721861</t>
  </si>
  <si>
    <t>Jasbleidy Johana Mojica Muñoz</t>
  </si>
  <si>
    <t>105657</t>
  </si>
  <si>
    <t>30-01-2027</t>
  </si>
  <si>
    <t>30-01-2026 14:44:55</t>
  </si>
  <si>
    <t>900800596</t>
  </si>
  <si>
    <t>(Varios elementos)</t>
  </si>
  <si>
    <t>Cuenta de 1 ACUSE</t>
  </si>
  <si>
    <t>Suma de Total</t>
  </si>
  <si>
    <t>Total Akila S A S</t>
  </si>
  <si>
    <t>Total Boticario Colombia S A S</t>
  </si>
  <si>
    <t>Total Bulkmatic De Colombia SAS</t>
  </si>
  <si>
    <t>Total Ceramica San Lorenzo Industrial De Colombia SA</t>
  </si>
  <si>
    <t>Total Challenger SAS</t>
  </si>
  <si>
    <t>Total Clinica Colsanitas SA</t>
  </si>
  <si>
    <t>Total Coala Arquitectura Y Construccion SAS</t>
  </si>
  <si>
    <t>Total Comercializadora Internacional Milpa SA</t>
  </si>
  <si>
    <t>Total Creative Colors SA</t>
  </si>
  <si>
    <t>Total Distribuidora Y Editora Richmond SAS</t>
  </si>
  <si>
    <t>Total Don Maiz SAS</t>
  </si>
  <si>
    <t>Total Editorial Santillana SAS</t>
  </si>
  <si>
    <t>Total Educactiva SAS</t>
  </si>
  <si>
    <t>Total Flores De Serrezuela SAS</t>
  </si>
  <si>
    <t>Total Flores Tiba SA</t>
  </si>
  <si>
    <t>Total Fresenius Medical Care Andina SAS</t>
  </si>
  <si>
    <t>Total Fresenius Medical Care SAS</t>
  </si>
  <si>
    <t>Total Grivan Ingenieria SA</t>
  </si>
  <si>
    <t>Total IA4 SAS</t>
  </si>
  <si>
    <t>Total Industrias Ivor SA Casa Inglesa</t>
  </si>
  <si>
    <t>Total IRCC SAS Industria De Restaurantes Casuales SAS</t>
  </si>
  <si>
    <t>Total Kaeser Compresores De Colombia SAS</t>
  </si>
  <si>
    <t xml:space="preserve">Total Keralty SAS </t>
  </si>
  <si>
    <t>Total Lamitech SAS</t>
  </si>
  <si>
    <t>Total Logytech Mobile SAS</t>
  </si>
  <si>
    <t>Total Securitas Colombia SA</t>
  </si>
  <si>
    <t>Total Thomas Processing &amp; System SAS</t>
  </si>
  <si>
    <t>Total Vicpar SA</t>
  </si>
  <si>
    <t>Total Visionamos Salud Centro De Diagnostico Clinico SAS</t>
  </si>
  <si>
    <t>Total Improve Learning SAS</t>
  </si>
  <si>
    <t>Total Onboard Logistics Colombia SAS</t>
  </si>
  <si>
    <t>Total Pwc Contadores Y Auditores SAS</t>
  </si>
  <si>
    <t>Total ByD Motor Colombia SAS</t>
  </si>
  <si>
    <t>Total Palmar Del Oriente SAS</t>
  </si>
  <si>
    <t>Total Flores El Futuro SA</t>
  </si>
  <si>
    <t>Total Ci Energia Solar SAS Es Windows</t>
  </si>
  <si>
    <t>Total Compañia De Seguros Bolivar SA</t>
  </si>
  <si>
    <t>Total Industrial Hotelera Y Alimentos SAS Dialimentos SAS</t>
  </si>
  <si>
    <t>Total Distribuidora Toyota SAS</t>
  </si>
  <si>
    <t>Total Ransa Colombia SAS</t>
  </si>
  <si>
    <t>Total Congelados Agricolas SA - Congelagro SA</t>
  </si>
  <si>
    <t>Total Resonancia Magnetica Del Country SAS</t>
  </si>
  <si>
    <t>Total P J Col SAS</t>
  </si>
  <si>
    <t>Total Puerto Pimsa SA</t>
  </si>
  <si>
    <t>Total Educactiva Ediciones SAS</t>
  </si>
  <si>
    <t>Total Ittera De Colombia SAS</t>
  </si>
  <si>
    <t>Total Zona Franca Pir SAS</t>
  </si>
  <si>
    <t>Total Ambientti Constructora Inmobiliaria S A S</t>
  </si>
  <si>
    <t>Total Publicaciones Semana SA</t>
  </si>
  <si>
    <t>Total Distribuidora Los Coches La Sabana SAS</t>
  </si>
  <si>
    <t>Total Road Track De Colombia SAS</t>
  </si>
  <si>
    <t>Total Evertec Colombia SAS</t>
  </si>
  <si>
    <t>Total Siderurgica Del Occidente SAS Sidoc SAS</t>
  </si>
  <si>
    <t>Total Club Campestre El Rancho</t>
  </si>
  <si>
    <t>Total Hoteles Bogota Plaza SA</t>
  </si>
  <si>
    <t>Total general</t>
  </si>
  <si>
    <t>Cuenta de 2 ACUSE</t>
  </si>
  <si>
    <t>Total Administradora Clinica La Colina S A S</t>
  </si>
  <si>
    <t>Total Centros Medicos Colsanitas S A S</t>
  </si>
  <si>
    <t>Total Esmeraldas De Los Andes SAS</t>
  </si>
  <si>
    <t>Total Esmeraldas Mining Services SAS</t>
  </si>
  <si>
    <t>Total Industria Nacional De Gaseosas SA</t>
  </si>
  <si>
    <t>Total Prosegur Vigilancia Y Seguridad Privada LTDA</t>
  </si>
  <si>
    <t xml:space="preserve">Total Salitre Plaza Centro Comercial Propiedad Horizontal </t>
  </si>
  <si>
    <t>Total The Muzo Foundation</t>
  </si>
  <si>
    <t>Total Mercantil Colpatria SA</t>
  </si>
  <si>
    <t>Total Estudios Tecnicos SAS</t>
  </si>
  <si>
    <t>Total Metaza SAS</t>
  </si>
  <si>
    <t>Etiquetas de fila</t>
  </si>
  <si>
    <t>Cuenta de SIN ACUSE</t>
  </si>
  <si>
    <t>Cuenta de 3 ACUSE</t>
  </si>
  <si>
    <t>Total Adecco Colombia S A</t>
  </si>
  <si>
    <t>Total Aei Arquitectura E Interiores SAS</t>
  </si>
  <si>
    <t>Total Applus Norcontrol Colombia Limitada</t>
  </si>
  <si>
    <t>Total Aquia SAS</t>
  </si>
  <si>
    <t>Total Atlantic Quantum Innovations S A S</t>
  </si>
  <si>
    <t>Total Axure Technologies SA</t>
  </si>
  <si>
    <t>Total Bold Co SAS</t>
  </si>
  <si>
    <t>Total BR Group SA</t>
  </si>
  <si>
    <t>Total Caja Colombiana De Subsidio Familiar Colsubsidio</t>
  </si>
  <si>
    <t>Total Caja De Compensacion Familiar Cafam</t>
  </si>
  <si>
    <t>Total Casa De La Valvula SAS</t>
  </si>
  <si>
    <t>Total Clinicos Programas De Atencion Integral SAS IPS</t>
  </si>
  <si>
    <t>Total Colfondos SA Pensiones Y Cesantias</t>
  </si>
  <si>
    <t>Total Colinagro SA</t>
  </si>
  <si>
    <t>Total Colviseg Colombiana De Vigilancia Y Seguridad Ltda</t>
  </si>
  <si>
    <t>Total Compañia De Medicina Prepagada Colsanitas SA</t>
  </si>
  <si>
    <t xml:space="preserve">Total Consultec International Sucursal Colombia </t>
  </si>
  <si>
    <t>Total Doble A Ingenieria SAS</t>
  </si>
  <si>
    <t>Total Ecologia Y Entorno SAS  E.S.P Ecoentorno</t>
  </si>
  <si>
    <t>Total Eulen Colombia SA</t>
  </si>
  <si>
    <t>Total Farmatodo Colombia SAS</t>
  </si>
  <si>
    <t>Total Ferricentros SAS</t>
  </si>
  <si>
    <t>Total Gate Gourmet Colombia SAS</t>
  </si>
  <si>
    <t>Total Gestion De Activos Tecni SAS</t>
  </si>
  <si>
    <t>Total Industrias La Coruña SAS</t>
  </si>
  <si>
    <t>Total Industrias Spring SAS</t>
  </si>
  <si>
    <t>Total Istituzione Leonardo Da Vinci</t>
  </si>
  <si>
    <t>Total Kaizen Group Ingenieria SAS</t>
  </si>
  <si>
    <t>Total Knauf De Colombia SAS</t>
  </si>
  <si>
    <t>Total Lipesa Colombia SAS</t>
  </si>
  <si>
    <t>Total LM Instruments SA</t>
  </si>
  <si>
    <t>Total Nutrabiotics SAS</t>
  </si>
  <si>
    <t>Total Operadora Colombiana De Cines SAS</t>
  </si>
  <si>
    <t>Total Orica Colombia SAS</t>
  </si>
  <si>
    <t>Total Quironprevencion Colombia SAS</t>
  </si>
  <si>
    <t>Total Risk Consulting Colombia SAS</t>
  </si>
  <si>
    <t>Total Tcs Solution Center Sucursal Colombia</t>
  </si>
  <si>
    <t>Total Varichem De Colombia G Environmental Proteccion Service SAS</t>
  </si>
  <si>
    <t>Total Optica Colsanitas SAS</t>
  </si>
  <si>
    <t>Total Versania Psicosocial Ita SAS</t>
  </si>
  <si>
    <t>Total Entidad Promotora De Salud Sanitas SAS</t>
  </si>
  <si>
    <t>Total Compañia De Inversiones Textiles De Moda SAS Texmoda SAS</t>
  </si>
  <si>
    <t xml:space="preserve">Total Syntofarma S A </t>
  </si>
  <si>
    <t>Total Excellence Logging Latin America Limited, Sucursal Colombiana</t>
  </si>
  <si>
    <t>Total Confipetrol SAS</t>
  </si>
  <si>
    <t>Total Sager SAS</t>
  </si>
  <si>
    <t>Total Incomineria SAS</t>
  </si>
  <si>
    <t>Total Compañia De Seguros Colsanitas SA</t>
  </si>
  <si>
    <t>Total Alto Colombia SAS</t>
  </si>
  <si>
    <t>Total Heel Colombia Ltda</t>
  </si>
  <si>
    <t>Total Centro De Control De Cancer SAS</t>
  </si>
  <si>
    <t>Total Stefanini Colombia SAS</t>
  </si>
  <si>
    <t>Total Grupo Cenagro SAS</t>
  </si>
  <si>
    <t>Total Fundacion Universitaria Sanitas</t>
  </si>
  <si>
    <t>Total Agora Centro De Servicios Compartidos SAS</t>
  </si>
  <si>
    <t>Total Ecologistica SAS Empresa De Servicios Publicos Ecologistica SAS ESP</t>
  </si>
  <si>
    <t>Total Grupo Empresarial En Linea S.A.</t>
  </si>
  <si>
    <t>Total Indra Colombia SAS</t>
  </si>
  <si>
    <t>Total Duquesa SAS BIC</t>
  </si>
  <si>
    <t>Total Linktic SAS</t>
  </si>
  <si>
    <t>Total Breakfast Tbl SAS</t>
  </si>
  <si>
    <t>Total Fundacion Keralty</t>
  </si>
  <si>
    <t>Total Clinica Nuestra Señora De La Paz</t>
  </si>
  <si>
    <t>Total Ropim SAS</t>
  </si>
  <si>
    <t>Total Marketing Oil Company SAS</t>
  </si>
  <si>
    <t>Total Laboratorio Internacional De Colombia SAS</t>
  </si>
  <si>
    <t>Total Oftalmosanitas SAS</t>
  </si>
  <si>
    <t>Total Labodigital Colombia SAS</t>
  </si>
  <si>
    <t>Total Alcanos De Colombia SA ESP</t>
  </si>
  <si>
    <t>Total Business People Unlimited SAS</t>
  </si>
  <si>
    <t>Total Servimeters SAS</t>
  </si>
  <si>
    <t>Total Am Medical SAS</t>
  </si>
  <si>
    <t>Total Empacor SA</t>
  </si>
  <si>
    <t>Total Yunex SAS</t>
  </si>
  <si>
    <t>Total Milsen SAS</t>
  </si>
  <si>
    <t>Total T-Vapan 500 S A S</t>
  </si>
  <si>
    <t>(Todas)</t>
  </si>
  <si>
    <t>Cuenta de RECHAZADA</t>
  </si>
  <si>
    <t>(en blanco)</t>
  </si>
  <si>
    <t>Cuenta de YA PAGA  EN SISTEMA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</si>
</sst>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240A]\ #,##0.00"/>
    <numFmt numFmtId="165" formatCode="_(&quot;$&quot;* #,##0.00_);_(&quot;$&quot;* \(#,##0.00\);_(&quot;$&quot;* &quot;-&quot;??_);_(@_)"/>
  </numFmts>
  <fonts count="11" x14ac:knownFonts="1">
    <font>
      <sz val="11"/>
      <name val="Calibri"/>
    </font>
    <font>
      <sz val="10"/>
      <name val="Calibri"/>
      <family val="2"/>
    </font>
    <font>
      <b/>
      <sz val="10"/>
      <color rgb="FFFFFFFF"/>
      <name val="Calibri"/>
      <family val="2"/>
    </font>
    <font>
      <sz val="11"/>
      <name val="Calibri"/>
      <family val="2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8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348441"/>
      </patternFill>
    </fill>
    <fill>
      <patternFill patternType="solid">
        <fgColor rgb="FF34844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4" tint="0.3999755851924192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3" fillId="0" borderId="0"/>
    <xf numFmtId="165" fontId="3" fillId="0" borderId="0" applyFont="0" applyFill="0" applyBorder="0" applyAlignment="0" applyProtection="0"/>
  </cellStyleXfs>
  <cellXfs count="4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0" fillId="0" borderId="0" xfId="0" pivotButton="1"/>
    <xf numFmtId="164" fontId="0" fillId="0" borderId="0" xfId="0" applyNumberFormat="1"/>
    <xf numFmtId="0" fontId="4" fillId="5" borderId="2" xfId="1" applyFont="1" applyFill="1" applyBorder="1"/>
    <xf numFmtId="0" fontId="4" fillId="5" borderId="3" xfId="1" applyFont="1" applyFill="1" applyBorder="1"/>
    <xf numFmtId="0" fontId="5" fillId="4" borderId="4" xfId="1" applyFont="1" applyFill="1" applyBorder="1"/>
    <xf numFmtId="0" fontId="5" fillId="0" borderId="1" xfId="1" applyFont="1" applyBorder="1"/>
    <xf numFmtId="0" fontId="5" fillId="4" borderId="1" xfId="1" applyFont="1" applyFill="1" applyBorder="1"/>
    <xf numFmtId="0" fontId="5" fillId="4" borderId="5" xfId="1" applyFont="1" applyFill="1" applyBorder="1"/>
    <xf numFmtId="0" fontId="5" fillId="0" borderId="5" xfId="1" applyFont="1" applyBorder="1"/>
    <xf numFmtId="0" fontId="6" fillId="0" borderId="1" xfId="0" applyFont="1" applyBorder="1"/>
    <xf numFmtId="0" fontId="7" fillId="0" borderId="1" xfId="0" applyFont="1" applyBorder="1"/>
    <xf numFmtId="165" fontId="5" fillId="0" borderId="1" xfId="1" applyNumberFormat="1" applyFont="1" applyBorder="1"/>
    <xf numFmtId="165" fontId="5" fillId="4" borderId="1" xfId="1" applyNumberFormat="1" applyFont="1" applyFill="1" applyBorder="1"/>
    <xf numFmtId="165" fontId="7" fillId="0" borderId="1" xfId="0" applyNumberFormat="1" applyFont="1" applyBorder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5" fillId="0" borderId="5" xfId="1" applyFont="1" applyBorder="1" applyAlignment="1">
      <alignment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wrapText="1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left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8" fillId="0" borderId="0" xfId="0" applyFont="1"/>
    <xf numFmtId="0" fontId="1" fillId="10" borderId="0" xfId="0" applyFont="1" applyFill="1"/>
    <xf numFmtId="0" fontId="9" fillId="0" borderId="0" xfId="0" applyFont="1"/>
    <xf numFmtId="0" fontId="1" fillId="0" borderId="0" xfId="0" applyFont="1" applyAlignment="1">
      <alignment horizontal="center"/>
    </xf>
    <xf numFmtId="0" fontId="1" fillId="10" borderId="0" xfId="0" applyFont="1" applyFill="1" applyAlignment="1">
      <alignment horizontal="left"/>
    </xf>
    <xf numFmtId="165" fontId="5" fillId="4" borderId="4" xfId="2" applyFont="1" applyFill="1" applyBorder="1"/>
    <xf numFmtId="165" fontId="5" fillId="4" borderId="5" xfId="2" applyFont="1" applyFill="1" applyBorder="1"/>
    <xf numFmtId="165" fontId="5" fillId="0" borderId="5" xfId="2" applyFont="1" applyBorder="1" applyAlignment="1">
      <alignment wrapText="1"/>
    </xf>
    <xf numFmtId="0" fontId="1" fillId="0" borderId="9" xfId="0" applyFont="1" applyBorder="1"/>
    <xf numFmtId="0" fontId="1" fillId="10" borderId="9" xfId="0" applyFont="1" applyFill="1" applyBorder="1"/>
  </cellXfs>
  <cellStyles count="3">
    <cellStyle name="Moneda 2" xfId="2" xr:uid="{14B38607-58CA-4023-A960-4387F9F4A6BE}"/>
    <cellStyle name="Normal" xfId="0" builtinId="0"/>
    <cellStyle name="Normal 2" xfId="1" xr:uid="{F225C1AC-87A3-4B92-866E-A9C73B65D5A3}"/>
  </cellStyles>
  <dxfs count="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none"/>
      </font>
      <fill>
        <patternFill patternType="solid">
          <fgColor indexed="64"/>
          <bgColor rgb="FF34844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ancy Castillo" refreshedDate="46083.447070717593" createdVersion="8" refreshedVersion="8" minRefreshableVersion="3" recordCount="1034" xr:uid="{3FA0F051-0E01-4D90-99D8-BFEB54668015}">
  <cacheSource type="worksheet">
    <worksheetSource name="Tabla3"/>
  </cacheSource>
  <cacheFields count="24">
    <cacheField name="Tipo de documento" numFmtId="0">
      <sharedItems/>
    </cacheField>
    <cacheField name="CUFE/CUDE" numFmtId="0">
      <sharedItems/>
    </cacheField>
    <cacheField name="Folio" numFmtId="0">
      <sharedItems containsMixedTypes="1" containsNumber="1" containsInteger="1" minValue="82892" maxValue="105355" count="2099">
        <s v="104623"/>
        <s v="104624"/>
        <s v="104625"/>
        <s v="104626"/>
        <s v="104627"/>
        <s v="104628"/>
        <s v="104629"/>
        <s v="104630"/>
        <s v="104631"/>
        <s v="104632"/>
        <s v="104633"/>
        <s v="104634"/>
        <s v="104635"/>
        <s v="104636"/>
        <s v="104637"/>
        <s v="104638"/>
        <s v="104639"/>
        <s v="104640"/>
        <s v="104641"/>
        <s v="104642"/>
        <s v="104643"/>
        <s v="104644"/>
        <s v="104645"/>
        <s v="104646"/>
        <s v="104647"/>
        <s v="104648"/>
        <s v="104649"/>
        <s v="104650"/>
        <s v="104651"/>
        <s v="104652"/>
        <s v="104653"/>
        <s v="104654"/>
        <n v="104655"/>
        <s v="104656"/>
        <n v="104657"/>
        <s v="104658"/>
        <s v="104659"/>
        <s v="104660"/>
        <s v="104661"/>
        <s v="104662"/>
        <s v="104663"/>
        <s v="104664"/>
        <s v="104665"/>
        <s v="104666"/>
        <s v="104667"/>
        <s v="104668"/>
        <s v="104669"/>
        <s v="104670"/>
        <s v="104671"/>
        <s v="104672"/>
        <s v="104673"/>
        <s v="104674"/>
        <s v="104675"/>
        <s v="104676"/>
        <s v="104677"/>
        <s v="104678"/>
        <s v="104679"/>
        <s v="104680"/>
        <s v="104681"/>
        <s v="104682"/>
        <s v="104684"/>
        <s v="104685"/>
        <s v="104686"/>
        <s v="104687"/>
        <s v="104683"/>
        <s v="104689"/>
        <s v="104690"/>
        <s v="104691"/>
        <s v="104692"/>
        <s v="104693"/>
        <s v="104694"/>
        <s v="104695"/>
        <s v="104696"/>
        <s v="104697"/>
        <s v="104698"/>
        <s v="104699"/>
        <s v="104700"/>
        <s v="104701"/>
        <s v="104702"/>
        <s v="104703"/>
        <s v="104704"/>
        <s v="104705"/>
        <s v="104706"/>
        <s v="104707"/>
        <s v="104708"/>
        <n v="104709"/>
        <s v="104710"/>
        <s v="104711"/>
        <s v="104712"/>
        <s v="104713"/>
        <s v="104714"/>
        <s v="104715"/>
        <s v="104716"/>
        <s v="104717"/>
        <s v="104718"/>
        <s v="104719"/>
        <s v="104720"/>
        <s v="104721"/>
        <s v="104722"/>
        <s v="104723"/>
        <s v="104724"/>
        <s v="104725"/>
        <s v="104726"/>
        <s v="104727"/>
        <n v="104728"/>
        <s v="104729"/>
        <s v="104730"/>
        <s v="104731"/>
        <s v="104732"/>
        <s v="104733"/>
        <n v="104734"/>
        <s v="104735"/>
        <s v="104736"/>
        <s v="104737"/>
        <s v="104738"/>
        <s v="104739"/>
        <s v="104740"/>
        <s v="104741"/>
        <s v="104742"/>
        <s v="104743"/>
        <s v="104744"/>
        <s v="104745"/>
        <s v="104746"/>
        <s v="104747"/>
        <s v="104748"/>
        <s v="104749"/>
        <s v="104750"/>
        <s v="104751"/>
        <s v="104752"/>
        <s v="104753"/>
        <s v="104754"/>
        <s v="104755"/>
        <s v="104756"/>
        <s v="104757"/>
        <s v="104758"/>
        <s v="104759"/>
        <n v="104760"/>
        <s v="104761"/>
        <s v="104762"/>
        <s v="104763"/>
        <s v="104764"/>
        <s v="104765"/>
        <s v="104766"/>
        <s v="104767"/>
        <s v="104768"/>
        <s v="104769"/>
        <s v="104770"/>
        <s v="104771"/>
        <s v="104772"/>
        <s v="104773"/>
        <s v="104774"/>
        <s v="104775"/>
        <s v="104776"/>
        <s v="104777"/>
        <s v="104778"/>
        <s v="104779"/>
        <s v="104780"/>
        <s v="104781"/>
        <s v="104782"/>
        <s v="104783"/>
        <s v="104784"/>
        <s v="104785"/>
        <n v="104786"/>
        <s v="104787"/>
        <s v="104788"/>
        <s v="104789"/>
        <s v="104790"/>
        <s v="104791"/>
        <n v="104792"/>
        <s v="104793"/>
        <s v="104794"/>
        <s v="104795"/>
        <s v="104796"/>
        <s v="104797"/>
        <s v="104798"/>
        <s v="104799"/>
        <s v="104800"/>
        <s v="104801"/>
        <s v="104802"/>
        <s v="104803"/>
        <s v="104804"/>
        <s v="104805"/>
        <s v="104806"/>
        <s v="104807"/>
        <s v="104808"/>
        <s v="104809"/>
        <s v="104810"/>
        <s v="104811"/>
        <s v="104812"/>
        <s v="104813"/>
        <s v="104814"/>
        <s v="104815"/>
        <s v="104816"/>
        <s v="104817"/>
        <s v="104818"/>
        <s v="104819"/>
        <s v="104820"/>
        <s v="104821"/>
        <s v="104822"/>
        <s v="104823"/>
        <s v="104824"/>
        <s v="104825"/>
        <s v="104826"/>
        <s v="104827"/>
        <s v="104828"/>
        <s v="104829"/>
        <s v="104830"/>
        <s v="104831"/>
        <s v="104832"/>
        <s v="104833"/>
        <s v="104834"/>
        <s v="104835"/>
        <s v="104836"/>
        <s v="104837"/>
        <s v="104838"/>
        <s v="104839"/>
        <s v="104840"/>
        <s v="104841"/>
        <s v="104842"/>
        <s v="104843"/>
        <s v="104844"/>
        <s v="104845"/>
        <s v="104846"/>
        <s v="104847"/>
        <s v="104848"/>
        <s v="104849"/>
        <s v="104850"/>
        <s v="104851"/>
        <s v="104852"/>
        <s v="104853"/>
        <s v="104854"/>
        <s v="104855"/>
        <s v="104856"/>
        <s v="104857"/>
        <s v="104858"/>
        <s v="104859"/>
        <s v="104860"/>
        <s v="104861"/>
        <s v="104862"/>
        <s v="104863"/>
        <s v="104864"/>
        <s v="104865"/>
        <s v="104866"/>
        <s v="104867"/>
        <s v="104868"/>
        <s v="104869"/>
        <s v="104870"/>
        <s v="104871"/>
        <s v="104872"/>
        <s v="104873"/>
        <s v="104874"/>
        <s v="104875"/>
        <s v="104876"/>
        <s v="104877"/>
        <s v="104878"/>
        <s v="104879"/>
        <s v="104880"/>
        <s v="104881"/>
        <s v="104882"/>
        <s v="104883"/>
        <s v="104884"/>
        <s v="104885"/>
        <s v="104886"/>
        <s v="104887"/>
        <s v="104888"/>
        <s v="104889"/>
        <s v="104890"/>
        <s v="104891"/>
        <s v="104892"/>
        <s v="104893"/>
        <s v="104894"/>
        <s v="104895"/>
        <s v="104896"/>
        <s v="104897"/>
        <s v="104898"/>
        <s v="104899"/>
        <s v="104900"/>
        <s v="104901"/>
        <s v="104902"/>
        <s v="104903"/>
        <s v="104904"/>
        <s v="104905"/>
        <s v="104906"/>
        <s v="104907"/>
        <s v="104908"/>
        <s v="104909"/>
        <s v="104910"/>
        <s v="104911"/>
        <s v="104912"/>
        <s v="104913"/>
        <s v="104914"/>
        <s v="104915"/>
        <s v="104916"/>
        <s v="104917"/>
        <s v="104918"/>
        <s v="104919"/>
        <s v="104920"/>
        <s v="104921"/>
        <s v="104922"/>
        <s v="104923"/>
        <s v="104924"/>
        <s v="104925"/>
        <s v="104926"/>
        <s v="104927"/>
        <s v="104928"/>
        <s v="104929"/>
        <s v="104930"/>
        <s v="104931"/>
        <s v="104932"/>
        <s v="104933"/>
        <s v="104934"/>
        <s v="104935"/>
        <s v="104936"/>
        <s v="104937"/>
        <s v="104938"/>
        <s v="104939"/>
        <s v="104940"/>
        <s v="104941"/>
        <s v="104942"/>
        <s v="104943"/>
        <s v="104944"/>
        <s v="104945"/>
        <s v="104946"/>
        <s v="104947"/>
        <s v="104948"/>
        <s v="104949"/>
        <s v="104950"/>
        <s v="104951"/>
        <s v="104952"/>
        <s v="104953"/>
        <s v="104954"/>
        <s v="104955"/>
        <s v="104956"/>
        <s v="104957"/>
        <s v="104958"/>
        <s v="104959"/>
        <s v="104960"/>
        <s v="104961"/>
        <s v="104962"/>
        <s v="104963"/>
        <s v="104964"/>
        <s v="104965"/>
        <s v="104966"/>
        <s v="104967"/>
        <s v="104968"/>
        <s v="104969"/>
        <s v="104970"/>
        <s v="104971"/>
        <s v="104972"/>
        <s v="104973"/>
        <s v="104974"/>
        <s v="104975"/>
        <s v="104976"/>
        <s v="104977"/>
        <s v="104978"/>
        <s v="104979"/>
        <s v="104980"/>
        <s v="104981"/>
        <s v="104982"/>
        <s v="104983"/>
        <s v="104984"/>
        <s v="104985"/>
        <s v="104986"/>
        <s v="104987"/>
        <s v="104988"/>
        <s v="104989"/>
        <s v="104990"/>
        <s v="104991"/>
        <s v="104992"/>
        <s v="104993"/>
        <s v="104994"/>
        <s v="104995"/>
        <s v="104996"/>
        <s v="104997"/>
        <s v="104998"/>
        <s v="104999"/>
        <s v="105000"/>
        <s v="105001"/>
        <s v="105002"/>
        <s v="105003"/>
        <n v="105004"/>
        <s v="105005"/>
        <s v="105006"/>
        <s v="105007"/>
        <s v="105008"/>
        <s v="105009"/>
        <s v="105010"/>
        <s v="105011"/>
        <s v="105012"/>
        <s v="105013"/>
        <s v="105014"/>
        <s v="105015"/>
        <s v="105016"/>
        <s v="105017"/>
        <s v="105018"/>
        <s v="105019"/>
        <s v="105020"/>
        <n v="105021"/>
        <s v="105022"/>
        <s v="105023"/>
        <s v="105024"/>
        <s v="105025"/>
        <s v="105026"/>
        <s v="105027"/>
        <s v="105028"/>
        <s v="105029"/>
        <s v="105030"/>
        <s v="105031"/>
        <s v="105032"/>
        <s v="105033"/>
        <s v="105034"/>
        <s v="105035"/>
        <s v="105036"/>
        <s v="105037"/>
        <s v="105038"/>
        <s v="105039"/>
        <s v="105040"/>
        <s v="105041"/>
        <s v="105042"/>
        <s v="105043"/>
        <s v="105044"/>
        <s v="105045"/>
        <s v="105046"/>
        <s v="105047"/>
        <s v="105048"/>
        <s v="105049"/>
        <s v="105050"/>
        <s v="105051"/>
        <s v="105052"/>
        <s v="105053"/>
        <s v="105054"/>
        <s v="105055"/>
        <s v="105056"/>
        <s v="105057"/>
        <s v="105058"/>
        <s v="105059"/>
        <s v="105060"/>
        <s v="105061"/>
        <s v="105062"/>
        <s v="105063"/>
        <s v="105064"/>
        <s v="105065"/>
        <s v="105066"/>
        <s v="105067"/>
        <s v="105068"/>
        <s v="105069"/>
        <s v="105070"/>
        <s v="105071"/>
        <s v="105072"/>
        <s v="105073"/>
        <s v="105074"/>
        <s v="105075"/>
        <s v="105076"/>
        <s v="105077"/>
        <s v="105078"/>
        <s v="105079"/>
        <s v="105080"/>
        <s v="105081"/>
        <s v="105082"/>
        <s v="105083"/>
        <s v="105084"/>
        <s v="105085"/>
        <s v="105086"/>
        <s v="105087"/>
        <s v="105088"/>
        <s v="105089"/>
        <s v="105090"/>
        <s v="105091"/>
        <s v="105092"/>
        <s v="105093"/>
        <s v="105094"/>
        <s v="105095"/>
        <s v="105096"/>
        <s v="105097"/>
        <s v="105098"/>
        <s v="105099"/>
        <s v="105100"/>
        <s v="105101"/>
        <s v="105102"/>
        <s v="105103"/>
        <s v="105104"/>
        <s v="105105"/>
        <s v="105106"/>
        <s v="105107"/>
        <s v="105108"/>
        <s v="105109"/>
        <s v="105110"/>
        <s v="105111"/>
        <s v="105112"/>
        <s v="105113"/>
        <s v="105114"/>
        <s v="105115"/>
        <s v="105116"/>
        <s v="105117"/>
        <s v="105118"/>
        <s v="105119"/>
        <s v="105120"/>
        <s v="105121"/>
        <s v="105122"/>
        <s v="105123"/>
        <s v="105124"/>
        <s v="105125"/>
        <s v="105126"/>
        <s v="105127"/>
        <s v="105128"/>
        <s v="105129"/>
        <s v="105130"/>
        <s v="105131"/>
        <s v="105132"/>
        <s v="105133"/>
        <s v="105134"/>
        <s v="105135"/>
        <s v="105136"/>
        <s v="105137"/>
        <s v="105138"/>
        <s v="105139"/>
        <s v="105140"/>
        <s v="105141"/>
        <s v="105142"/>
        <s v="105143"/>
        <s v="105144"/>
        <s v="105145"/>
        <s v="105146"/>
        <s v="105147"/>
        <s v="105148"/>
        <s v="105149"/>
        <s v="105150"/>
        <s v="105151"/>
        <s v="105152"/>
        <s v="105153"/>
        <s v="105154"/>
        <s v="105155"/>
        <s v="105156"/>
        <n v="105157"/>
        <s v="105158"/>
        <s v="105159"/>
        <s v="105160"/>
        <s v="105161"/>
        <s v="105162"/>
        <s v="105163"/>
        <s v="105164"/>
        <s v="105165"/>
        <s v="105166"/>
        <s v="105167"/>
        <s v="105168"/>
        <s v="105169"/>
        <s v="105170"/>
        <s v="105171"/>
        <s v="105172"/>
        <s v="105173"/>
        <s v="105174"/>
        <s v="105175"/>
        <s v="105176"/>
        <s v="105177"/>
        <s v="105178"/>
        <s v="105179"/>
        <s v="105180"/>
        <s v="105181"/>
        <s v="105182"/>
        <s v="105183"/>
        <s v="105184"/>
        <s v="105185"/>
        <s v="105186"/>
        <s v="105187"/>
        <s v="105188"/>
        <s v="105189"/>
        <s v="105190"/>
        <s v="105191"/>
        <s v="105192"/>
        <s v="105193"/>
        <s v="105194"/>
        <s v="105195"/>
        <s v="105196"/>
        <n v="105197"/>
        <s v="105198"/>
        <s v="105199"/>
        <s v="105200"/>
        <s v="105201"/>
        <s v="105202"/>
        <s v="105203"/>
        <s v="105204"/>
        <s v="105205"/>
        <s v="105206"/>
        <s v="105207"/>
        <s v="105208"/>
        <s v="105209"/>
        <s v="105210"/>
        <s v="105211"/>
        <s v="105212"/>
        <s v="105213"/>
        <s v="105214"/>
        <s v="105215"/>
        <s v="105216"/>
        <s v="105217"/>
        <s v="105218"/>
        <s v="105219"/>
        <s v="105220"/>
        <s v="105221"/>
        <s v="105222"/>
        <s v="105223"/>
        <s v="105224"/>
        <s v="105225"/>
        <s v="105226"/>
        <s v="105227"/>
        <s v="105228"/>
        <s v="105229"/>
        <s v="105230"/>
        <s v="105231"/>
        <s v="105232"/>
        <s v="105233"/>
        <s v="105234"/>
        <s v="105235"/>
        <s v="105236"/>
        <s v="105237"/>
        <s v="105238"/>
        <s v="105239"/>
        <s v="105240"/>
        <s v="105241"/>
        <s v="105242"/>
        <s v="105243"/>
        <s v="105244"/>
        <s v="105245"/>
        <s v="105246"/>
        <s v="105247"/>
        <s v="105248"/>
        <s v="105249"/>
        <s v="105250"/>
        <s v="105251"/>
        <s v="105252"/>
        <s v="105253"/>
        <s v="105254"/>
        <s v="105255"/>
        <s v="105256"/>
        <s v="105257"/>
        <s v="105258"/>
        <s v="105259"/>
        <s v="105260"/>
        <s v="105261"/>
        <s v="105262"/>
        <s v="105263"/>
        <s v="105264"/>
        <s v="105265"/>
        <s v="105266"/>
        <s v="105267"/>
        <s v="105268"/>
        <s v="105269"/>
        <s v="105270"/>
        <s v="105271"/>
        <s v="105272"/>
        <s v="105273"/>
        <s v="105274"/>
        <s v="105275"/>
        <s v="105276"/>
        <s v="105277"/>
        <s v="105278"/>
        <s v="105279"/>
        <s v="105280"/>
        <s v="105281"/>
        <s v="105282"/>
        <s v="105283"/>
        <s v="105284"/>
        <s v="105285"/>
        <s v="105286"/>
        <s v="105287"/>
        <s v="105288"/>
        <s v="105289"/>
        <s v="105290"/>
        <s v="105291"/>
        <s v="105292"/>
        <s v="105293"/>
        <s v="105294"/>
        <s v="105295"/>
        <s v="105296"/>
        <s v="105297"/>
        <s v="105298"/>
        <s v="105299"/>
        <s v="105300"/>
        <s v="105301"/>
        <s v="105302"/>
        <n v="105303"/>
        <s v="105304"/>
        <s v="105305"/>
        <s v="105306"/>
        <s v="105307"/>
        <s v="105308"/>
        <s v="105309"/>
        <s v="105310"/>
        <s v="105311"/>
        <s v="105312"/>
        <s v="105313"/>
        <s v="105314"/>
        <s v="105315"/>
        <s v="105316"/>
        <s v="105317"/>
        <s v="105318"/>
        <s v="105319"/>
        <s v="105320"/>
        <s v="105321"/>
        <s v="105322"/>
        <s v="105323"/>
        <s v="105324"/>
        <s v="105325"/>
        <s v="105326"/>
        <s v="105327"/>
        <s v="105328"/>
        <s v="105329"/>
        <s v="105330"/>
        <s v="105331"/>
        <s v="105332"/>
        <s v="105333"/>
        <s v="105334"/>
        <s v="105335"/>
        <s v="105336"/>
        <s v="105337"/>
        <s v="105338"/>
        <s v="105339"/>
        <s v="105340"/>
        <s v="105341"/>
        <s v="105342"/>
        <s v="105343"/>
        <s v="105344"/>
        <s v="105345"/>
        <s v="105346"/>
        <s v="105347"/>
        <s v="105348"/>
        <s v="105349"/>
        <s v="105350"/>
        <s v="105351"/>
        <s v="105352"/>
        <s v="105353"/>
        <n v="105354"/>
        <n v="105355"/>
        <s v="105356"/>
        <s v="105357"/>
        <s v="105358"/>
        <s v="105359"/>
        <s v="105360"/>
        <s v="105361"/>
        <s v="105362"/>
        <s v="105363"/>
        <s v="105364"/>
        <s v="105365"/>
        <s v="105366"/>
        <s v="105367"/>
        <s v="105368"/>
        <s v="105369"/>
        <s v="105370"/>
        <s v="105371"/>
        <s v="105372"/>
        <s v="105373"/>
        <s v="105374"/>
        <s v="105375"/>
        <s v="105376"/>
        <s v="105377"/>
        <s v="105378"/>
        <s v="105379"/>
        <s v="105380"/>
        <s v="105381"/>
        <s v="105382"/>
        <s v="105383"/>
        <s v="105384"/>
        <s v="105385"/>
        <s v="105386"/>
        <s v="105387"/>
        <s v="105388"/>
        <s v="105389"/>
        <s v="105390"/>
        <s v="105391"/>
        <s v="105392"/>
        <s v="105393"/>
        <s v="105394"/>
        <s v="105395"/>
        <s v="105396"/>
        <s v="105397"/>
        <s v="105398"/>
        <s v="105399"/>
        <s v="105400"/>
        <s v="105401"/>
        <s v="105402"/>
        <s v="105403"/>
        <s v="105404"/>
        <s v="105405"/>
        <s v="105406"/>
        <s v="105407"/>
        <s v="105408"/>
        <s v="105409"/>
        <s v="105410"/>
        <s v="105411"/>
        <s v="105412"/>
        <s v="105413"/>
        <s v="105414"/>
        <s v="105415"/>
        <s v="105416"/>
        <s v="105417"/>
        <s v="105418"/>
        <s v="105419"/>
        <s v="105420"/>
        <s v="105421"/>
        <s v="105422"/>
        <s v="105423"/>
        <s v="105424"/>
        <s v="105425"/>
        <s v="105426"/>
        <s v="105427"/>
        <s v="105428"/>
        <s v="105429"/>
        <s v="105430"/>
        <s v="105431"/>
        <s v="105432"/>
        <s v="105433"/>
        <s v="105434"/>
        <s v="105435"/>
        <s v="105436"/>
        <s v="105437"/>
        <s v="105438"/>
        <s v="105439"/>
        <s v="105440"/>
        <s v="105441"/>
        <s v="105442"/>
        <s v="105443"/>
        <s v="105444"/>
        <s v="105445"/>
        <s v="105446"/>
        <s v="105447"/>
        <s v="105448"/>
        <s v="105449"/>
        <s v="105450"/>
        <s v="105451"/>
        <s v="105452"/>
        <s v="105453"/>
        <s v="105454"/>
        <s v="105455"/>
        <s v="105456"/>
        <s v="105457"/>
        <s v="105458"/>
        <s v="105459"/>
        <s v="105460"/>
        <s v="105461"/>
        <s v="105462"/>
        <s v="105463"/>
        <s v="105464"/>
        <s v="105465"/>
        <s v="105466"/>
        <s v="105467"/>
        <s v="105468"/>
        <s v="105469"/>
        <s v="105470"/>
        <s v="105471"/>
        <s v="105472"/>
        <s v="105473"/>
        <s v="105474"/>
        <s v="105475"/>
        <s v="105476"/>
        <s v="105477"/>
        <s v="105478"/>
        <s v="105479"/>
        <s v="105480"/>
        <s v="105481"/>
        <s v="105482"/>
        <s v="105483"/>
        <s v="105484"/>
        <s v="105485"/>
        <s v="105486"/>
        <s v="105487"/>
        <s v="105488"/>
        <s v="105489"/>
        <s v="105490"/>
        <s v="105491"/>
        <s v="105492"/>
        <s v="105493"/>
        <s v="105494"/>
        <s v="105495"/>
        <s v="105496"/>
        <s v="105497"/>
        <s v="105498"/>
        <s v="105499"/>
        <s v="105500"/>
        <s v="105501"/>
        <s v="105502"/>
        <s v="105503"/>
        <s v="105504"/>
        <s v="105505"/>
        <s v="105506"/>
        <s v="105507"/>
        <s v="105508"/>
        <s v="105509"/>
        <s v="105510"/>
        <s v="105511"/>
        <s v="105512"/>
        <s v="105513"/>
        <s v="105514"/>
        <s v="105515"/>
        <s v="105516"/>
        <s v="105517"/>
        <s v="105518"/>
        <s v="105519"/>
        <s v="105520"/>
        <s v="105521"/>
        <s v="105522"/>
        <s v="105523"/>
        <s v="105524"/>
        <s v="105525"/>
        <s v="105526"/>
        <s v="105527"/>
        <s v="105528"/>
        <s v="105529"/>
        <s v="105530"/>
        <s v="105531"/>
        <s v="105532"/>
        <s v="105533"/>
        <s v="105534"/>
        <s v="105535"/>
        <s v="105536"/>
        <s v="105537"/>
        <s v="105538"/>
        <s v="105539"/>
        <s v="105540"/>
        <s v="105541"/>
        <s v="105542"/>
        <s v="105543"/>
        <s v="105544"/>
        <s v="105545"/>
        <s v="105546"/>
        <s v="105547"/>
        <s v="105548"/>
        <s v="105549"/>
        <s v="105550"/>
        <s v="105551"/>
        <s v="105552"/>
        <s v="105553"/>
        <s v="105554"/>
        <s v="105555"/>
        <s v="105556"/>
        <s v="105557"/>
        <s v="105558"/>
        <s v="105559"/>
        <s v="105560"/>
        <s v="105561"/>
        <s v="105562"/>
        <s v="105563"/>
        <s v="105564"/>
        <s v="105565"/>
        <s v="105566"/>
        <s v="105567"/>
        <s v="105568"/>
        <s v="105569"/>
        <s v="105570"/>
        <s v="105571"/>
        <s v="105572"/>
        <s v="105573"/>
        <s v="105574"/>
        <s v="105575"/>
        <s v="105576"/>
        <s v="105577"/>
        <s v="105578"/>
        <s v="105579"/>
        <s v="105580"/>
        <s v="105581"/>
        <s v="105582"/>
        <s v="105583"/>
        <s v="105584"/>
        <s v="105585"/>
        <s v="105586"/>
        <s v="105587"/>
        <s v="105588"/>
        <s v="105589"/>
        <s v="105590"/>
        <s v="105591"/>
        <s v="105592"/>
        <s v="105593"/>
        <s v="105594"/>
        <s v="105595"/>
        <s v="105596"/>
        <s v="105597"/>
        <s v="105598"/>
        <s v="105599"/>
        <s v="105600"/>
        <s v="105601"/>
        <s v="105602"/>
        <s v="105603"/>
        <s v="105604"/>
        <s v="105605"/>
        <s v="105606"/>
        <s v="105607"/>
        <s v="105608"/>
        <s v="105609"/>
        <s v="105610"/>
        <s v="105611"/>
        <s v="105612"/>
        <s v="105613"/>
        <s v="105614"/>
        <s v="105615"/>
        <s v="105616"/>
        <s v="105617"/>
        <s v="105618"/>
        <s v="105619"/>
        <s v="105620"/>
        <s v="105621"/>
        <s v="105622"/>
        <s v="105623"/>
        <s v="105624"/>
        <s v="105625"/>
        <s v="105626"/>
        <s v="105627"/>
        <s v="105628"/>
        <s v="105629"/>
        <s v="105630"/>
        <s v="105631"/>
        <s v="105632"/>
        <s v="105633"/>
        <s v="105634"/>
        <s v="105635"/>
        <s v="105636"/>
        <s v="105637"/>
        <s v="105638"/>
        <s v="105639"/>
        <s v="105640"/>
        <s v="105641"/>
        <s v="105642"/>
        <s v="105643"/>
        <s v="105644"/>
        <s v="105645"/>
        <s v="105646"/>
        <s v="105647"/>
        <s v="105648"/>
        <s v="105649"/>
        <s v="105650"/>
        <s v="105651"/>
        <s v="105652"/>
        <s v="105653"/>
        <s v="105654"/>
        <s v="105655"/>
        <s v="105656"/>
        <s v="105657"/>
        <n v="82892" u="1"/>
        <n v="82944" u="1"/>
        <n v="82945" u="1"/>
        <n v="82946" u="1"/>
        <n v="82947" u="1"/>
        <n v="82948" u="1"/>
        <n v="82949" u="1"/>
        <n v="82950" u="1"/>
        <n v="82951" u="1"/>
        <n v="82952" u="1"/>
        <n v="82953" u="1"/>
        <n v="82954" u="1"/>
        <n v="82955" u="1"/>
        <n v="82956" u="1"/>
        <n v="82957" u="1"/>
        <n v="82958" u="1"/>
        <n v="82959" u="1"/>
        <n v="82960" u="1"/>
        <n v="82961" u="1"/>
        <n v="82962" u="1"/>
        <n v="82963" u="1"/>
        <n v="82964" u="1"/>
        <n v="82965" u="1"/>
        <n v="82966" u="1"/>
        <n v="82967" u="1"/>
        <n v="82968" u="1"/>
        <n v="82969" u="1"/>
        <n v="82970" u="1"/>
        <n v="82971" u="1"/>
        <n v="82972" u="1"/>
        <n v="82973" u="1"/>
        <n v="82974" u="1"/>
        <n v="82975" u="1"/>
        <n v="82976" u="1"/>
        <n v="82977" u="1"/>
        <n v="82978" u="1"/>
        <n v="82979" u="1"/>
        <n v="82980" u="1"/>
        <n v="82981" u="1"/>
        <n v="82982" u="1"/>
        <n v="82983" u="1"/>
        <n v="82984" u="1"/>
        <n v="82985" u="1"/>
        <n v="82986" u="1"/>
        <n v="82987" u="1"/>
        <n v="82988" u="1"/>
        <n v="82989" u="1"/>
        <n v="82990" u="1"/>
        <n v="82991" u="1"/>
        <n v="82992" u="1"/>
        <n v="82993" u="1"/>
        <n v="82994" u="1"/>
        <n v="82995" u="1"/>
        <n v="82996" u="1"/>
        <n v="82997" u="1"/>
        <n v="82998" u="1"/>
        <n v="82999" u="1"/>
        <n v="83000" u="1"/>
        <n v="83001" u="1"/>
        <n v="83002" u="1"/>
        <n v="83003" u="1"/>
        <n v="83004" u="1"/>
        <n v="83005" u="1"/>
        <n v="83006" u="1"/>
        <n v="83007" u="1"/>
        <n v="83008" u="1"/>
        <n v="83009" u="1"/>
        <n v="83010" u="1"/>
        <n v="83011" u="1"/>
        <n v="83012" u="1"/>
        <n v="83013" u="1"/>
        <n v="83014" u="1"/>
        <n v="83015" u="1"/>
        <n v="83016" u="1"/>
        <n v="83017" u="1"/>
        <n v="83018" u="1"/>
        <n v="83019" u="1"/>
        <n v="83020" u="1"/>
        <n v="83021" u="1"/>
        <n v="83022" u="1"/>
        <n v="83023" u="1"/>
        <n v="83024" u="1"/>
        <n v="83025" u="1"/>
        <n v="83026" u="1"/>
        <n v="83027" u="1"/>
        <n v="83028" u="1"/>
        <n v="83029" u="1"/>
        <n v="83030" u="1"/>
        <n v="83031" u="1"/>
        <n v="83032" u="1"/>
        <n v="83033" u="1"/>
        <n v="83034" u="1"/>
        <n v="83035" u="1"/>
        <n v="83036" u="1"/>
        <n v="83037" u="1"/>
        <n v="83038" u="1"/>
        <n v="83039" u="1"/>
        <n v="83040" u="1"/>
        <n v="83041" u="1"/>
        <n v="83042" u="1"/>
        <n v="83043" u="1"/>
        <n v="83044" u="1"/>
        <n v="83045" u="1"/>
        <n v="83046" u="1"/>
        <n v="83047" u="1"/>
        <n v="83048" u="1"/>
        <n v="83049" u="1"/>
        <n v="83050" u="1"/>
        <n v="83051" u="1"/>
        <n v="83052" u="1"/>
        <n v="83053" u="1"/>
        <n v="83054" u="1"/>
        <n v="83055" u="1"/>
        <n v="83056" u="1"/>
        <n v="83057" u="1"/>
        <n v="83058" u="1"/>
        <n v="83059" u="1"/>
        <n v="83060" u="1"/>
        <n v="83061" u="1"/>
        <n v="83062" u="1"/>
        <n v="83063" u="1"/>
        <n v="83064" u="1"/>
        <n v="83065" u="1"/>
        <n v="83066" u="1"/>
        <n v="83067" u="1"/>
        <n v="83068" u="1"/>
        <n v="83069" u="1"/>
        <n v="83070" u="1"/>
        <n v="83071" u="1"/>
        <n v="83072" u="1"/>
        <n v="83073" u="1"/>
        <n v="83074" u="1"/>
        <n v="83075" u="1"/>
        <n v="83076" u="1"/>
        <n v="83077" u="1"/>
        <n v="83078" u="1"/>
        <n v="83079" u="1"/>
        <n v="83080" u="1"/>
        <n v="83081" u="1"/>
        <n v="83082" u="1"/>
        <n v="83083" u="1"/>
        <n v="83084" u="1"/>
        <n v="83085" u="1"/>
        <n v="83086" u="1"/>
        <n v="83087" u="1"/>
        <n v="83088" u="1"/>
        <n v="83089" u="1"/>
        <n v="83090" u="1"/>
        <n v="83091" u="1"/>
        <n v="83092" u="1"/>
        <n v="83093" u="1"/>
        <n v="83094" u="1"/>
        <n v="83095" u="1"/>
        <n v="83096" u="1"/>
        <n v="83097" u="1"/>
        <n v="83098" u="1"/>
        <n v="83099" u="1"/>
        <n v="83100" u="1"/>
        <n v="83101" u="1"/>
        <n v="83102" u="1"/>
        <n v="83103" u="1"/>
        <n v="83104" u="1"/>
        <n v="83105" u="1"/>
        <n v="83106" u="1"/>
        <n v="83107" u="1"/>
        <n v="83108" u="1"/>
        <n v="83109" u="1"/>
        <n v="83110" u="1"/>
        <n v="83111" u="1"/>
        <n v="83112" u="1"/>
        <n v="83113" u="1"/>
        <n v="83114" u="1"/>
        <n v="83115" u="1"/>
        <n v="83116" u="1"/>
        <n v="83117" u="1"/>
        <n v="83118" u="1"/>
        <n v="83119" u="1"/>
        <n v="83120" u="1"/>
        <n v="83121" u="1"/>
        <n v="83122" u="1"/>
        <n v="83123" u="1"/>
        <n v="83124" u="1"/>
        <n v="83125" u="1"/>
        <n v="83126" u="1"/>
        <n v="83127" u="1"/>
        <n v="83128" u="1"/>
        <n v="83129" u="1"/>
        <n v="83130" u="1"/>
        <n v="83131" u="1"/>
        <n v="83132" u="1"/>
        <n v="83133" u="1"/>
        <n v="83134" u="1"/>
        <n v="83135" u="1"/>
        <n v="83136" u="1"/>
        <n v="83137" u="1"/>
        <n v="83138" u="1"/>
        <n v="83139" u="1"/>
        <n v="83140" u="1"/>
        <n v="83141" u="1"/>
        <n v="83142" u="1"/>
        <n v="83143" u="1"/>
        <n v="83144" u="1"/>
        <n v="83145" u="1"/>
        <n v="83146" u="1"/>
        <n v="83147" u="1"/>
        <n v="83148" u="1"/>
        <n v="83149" u="1"/>
        <n v="83150" u="1"/>
        <n v="83151" u="1"/>
        <n v="83152" u="1"/>
        <n v="83153" u="1"/>
        <n v="83154" u="1"/>
        <n v="83155" u="1"/>
        <n v="83156" u="1"/>
        <n v="83157" u="1"/>
        <n v="83158" u="1"/>
        <n v="83159" u="1"/>
        <n v="83160" u="1"/>
        <n v="83161" u="1"/>
        <n v="83162" u="1"/>
        <n v="83163" u="1"/>
        <n v="83164" u="1"/>
        <n v="83165" u="1"/>
        <n v="83166" u="1"/>
        <n v="83167" u="1"/>
        <n v="83168" u="1"/>
        <n v="83169" u="1"/>
        <n v="83170" u="1"/>
        <n v="83171" u="1"/>
        <n v="83172" u="1"/>
        <n v="83173" u="1"/>
        <n v="83174" u="1"/>
        <n v="83175" u="1"/>
        <n v="83176" u="1"/>
        <n v="83177" u="1"/>
        <n v="83178" u="1"/>
        <n v="83179" u="1"/>
        <n v="83180" u="1"/>
        <n v="83181" u="1"/>
        <n v="83182" u="1"/>
        <n v="83183" u="1"/>
        <n v="83184" u="1"/>
        <n v="83185" u="1"/>
        <n v="83186" u="1"/>
        <n v="83187" u="1"/>
        <n v="83188" u="1"/>
        <n v="83189" u="1"/>
        <n v="83190" u="1"/>
        <n v="83191" u="1"/>
        <n v="83192" u="1"/>
        <n v="83193" u="1"/>
        <n v="83194" u="1"/>
        <n v="83195" u="1"/>
        <n v="83196" u="1"/>
        <n v="83197" u="1"/>
        <n v="83198" u="1"/>
        <n v="83199" u="1"/>
        <n v="83200" u="1"/>
        <n v="83201" u="1"/>
        <n v="83202" u="1"/>
        <n v="83203" u="1"/>
        <n v="83204" u="1"/>
        <n v="83205" u="1"/>
        <n v="83206" u="1"/>
        <n v="83207" u="1"/>
        <n v="83208" u="1"/>
        <n v="83209" u="1"/>
        <n v="83210" u="1"/>
        <n v="83211" u="1"/>
        <n v="83212" u="1"/>
        <n v="83213" u="1"/>
        <n v="83214" u="1"/>
        <n v="83215" u="1"/>
        <n v="83216" u="1"/>
        <n v="83217" u="1"/>
        <n v="83218" u="1"/>
        <n v="83219" u="1"/>
        <n v="83220" u="1"/>
        <n v="83221" u="1"/>
        <n v="83222" u="1"/>
        <n v="83223" u="1"/>
        <n v="83224" u="1"/>
        <n v="83225" u="1"/>
        <n v="83226" u="1"/>
        <n v="83227" u="1"/>
        <n v="83228" u="1"/>
        <n v="83229" u="1"/>
        <n v="83230" u="1"/>
        <n v="83231" u="1"/>
        <n v="83232" u="1"/>
        <n v="83233" u="1"/>
        <n v="83234" u="1"/>
        <n v="83235" u="1"/>
        <n v="83236" u="1"/>
        <n v="83237" u="1"/>
        <n v="83238" u="1"/>
        <n v="83239" u="1"/>
        <n v="83240" u="1"/>
        <n v="83241" u="1"/>
        <n v="83242" u="1"/>
        <n v="83243" u="1"/>
        <n v="83244" u="1"/>
        <n v="83245" u="1"/>
        <n v="83246" u="1"/>
        <n v="83247" u="1"/>
        <n v="83248" u="1"/>
        <n v="83249" u="1"/>
        <n v="83250" u="1"/>
        <n v="83251" u="1"/>
        <n v="83252" u="1"/>
        <n v="83253" u="1"/>
        <n v="83254" u="1"/>
        <n v="83255" u="1"/>
        <n v="83256" u="1"/>
        <n v="83257" u="1"/>
        <n v="83258" u="1"/>
        <n v="83259" u="1"/>
        <n v="83260" u="1"/>
        <n v="83261" u="1"/>
        <n v="83262" u="1"/>
        <n v="83263" u="1"/>
        <n v="83264" u="1"/>
        <n v="83265" u="1"/>
        <n v="83266" u="1"/>
        <n v="83267" u="1"/>
        <n v="83268" u="1"/>
        <n v="83269" u="1"/>
        <n v="83270" u="1"/>
        <n v="83271" u="1"/>
        <n v="83272" u="1"/>
        <n v="83273" u="1"/>
        <n v="83274" u="1"/>
        <n v="83275" u="1"/>
        <n v="83276" u="1"/>
        <n v="83277" u="1"/>
        <n v="83278" u="1"/>
        <n v="83279" u="1"/>
        <n v="83280" u="1"/>
        <n v="83281" u="1"/>
        <n v="83282" u="1"/>
        <n v="83283" u="1"/>
        <n v="83284" u="1"/>
        <n v="83285" u="1"/>
        <n v="83286" u="1"/>
        <n v="83287" u="1"/>
        <n v="83288" u="1"/>
        <n v="83289" u="1"/>
        <n v="83290" u="1"/>
        <n v="83291" u="1"/>
        <n v="83292" u="1"/>
        <n v="83293" u="1"/>
        <n v="83294" u="1"/>
        <n v="83295" u="1"/>
        <n v="83296" u="1"/>
        <n v="83297" u="1"/>
        <n v="83298" u="1"/>
        <n v="83299" u="1"/>
        <n v="83300" u="1"/>
        <n v="83301" u="1"/>
        <n v="83302" u="1"/>
        <n v="83303" u="1"/>
        <n v="83304" u="1"/>
        <n v="83305" u="1"/>
        <n v="83306" u="1"/>
        <n v="83307" u="1"/>
        <n v="83308" u="1"/>
        <n v="83309" u="1"/>
        <n v="83310" u="1"/>
        <n v="83311" u="1"/>
        <n v="83312" u="1"/>
        <n v="83313" u="1"/>
        <n v="83314" u="1"/>
        <n v="83315" u="1"/>
        <n v="83316" u="1"/>
        <n v="83317" u="1"/>
        <n v="83318" u="1"/>
        <n v="83319" u="1"/>
        <n v="83320" u="1"/>
        <n v="83321" u="1"/>
        <n v="83322" u="1"/>
        <n v="83323" u="1"/>
        <n v="83324" u="1"/>
        <n v="83325" u="1"/>
        <n v="83326" u="1"/>
        <n v="83327" u="1"/>
        <n v="83328" u="1"/>
        <n v="83329" u="1"/>
        <n v="83330" u="1"/>
        <n v="83331" u="1"/>
        <n v="83332" u="1"/>
        <n v="83333" u="1"/>
        <n v="83334" u="1"/>
        <n v="83335" u="1"/>
        <n v="83336" u="1"/>
        <n v="83337" u="1"/>
        <n v="83338" u="1"/>
        <n v="83339" u="1"/>
        <n v="83340" u="1"/>
        <n v="83341" u="1"/>
        <n v="83342" u="1"/>
        <n v="83343" u="1"/>
        <n v="83344" u="1"/>
        <n v="83345" u="1"/>
        <n v="83346" u="1"/>
        <n v="83347" u="1"/>
        <n v="83348" u="1"/>
        <n v="83349" u="1"/>
        <n v="83350" u="1"/>
        <n v="83351" u="1"/>
        <n v="83352" u="1"/>
        <n v="83353" u="1"/>
        <n v="83354" u="1"/>
        <n v="83355" u="1"/>
        <n v="83356" u="1"/>
        <n v="83357" u="1"/>
        <n v="83358" u="1"/>
        <n v="83359" u="1"/>
        <n v="83360" u="1"/>
        <n v="83361" u="1"/>
        <n v="83362" u="1"/>
        <n v="83363" u="1"/>
        <n v="83364" u="1"/>
        <n v="83365" u="1"/>
        <n v="83366" u="1"/>
        <n v="83367" u="1"/>
        <n v="83368" u="1"/>
        <n v="83369" u="1"/>
        <n v="83370" u="1"/>
        <n v="83371" u="1"/>
        <n v="83372" u="1"/>
        <n v="83373" u="1"/>
        <n v="83374" u="1"/>
        <n v="83375" u="1"/>
        <n v="83376" u="1"/>
        <n v="83377" u="1"/>
        <n v="83378" u="1"/>
        <n v="83379" u="1"/>
        <n v="83380" u="1"/>
        <n v="83381" u="1"/>
        <n v="83382" u="1"/>
        <n v="83383" u="1"/>
        <n v="83384" u="1"/>
        <n v="83385" u="1"/>
        <n v="83386" u="1"/>
        <n v="83387" u="1"/>
        <n v="83388" u="1"/>
        <n v="83389" u="1"/>
        <n v="83390" u="1"/>
        <n v="83391" u="1"/>
        <n v="83392" u="1"/>
        <n v="83393" u="1"/>
        <n v="83394" u="1"/>
        <n v="83395" u="1"/>
        <n v="83396" u="1"/>
        <n v="83397" u="1"/>
        <n v="83398" u="1"/>
        <n v="83399" u="1"/>
        <n v="83400" u="1"/>
        <n v="83401" u="1"/>
        <n v="83402" u="1"/>
        <n v="83403" u="1"/>
        <n v="83404" u="1"/>
        <n v="83405" u="1"/>
        <n v="83406" u="1"/>
        <n v="83407" u="1"/>
        <n v="83408" u="1"/>
        <n v="83409" u="1"/>
        <n v="83410" u="1"/>
        <n v="83411" u="1"/>
        <n v="83412" u="1"/>
        <n v="83413" u="1"/>
        <n v="83414" u="1"/>
        <n v="83415" u="1"/>
        <n v="83416" u="1"/>
        <n v="83417" u="1"/>
        <n v="83418" u="1"/>
        <n v="83419" u="1"/>
        <n v="83420" u="1"/>
        <n v="83421" u="1"/>
        <n v="83422" u="1"/>
        <n v="83423" u="1"/>
        <n v="83424" u="1"/>
        <n v="83425" u="1"/>
        <n v="83426" u="1"/>
        <n v="83427" u="1"/>
        <n v="83428" u="1"/>
        <n v="83429" u="1"/>
        <n v="83430" u="1"/>
        <n v="83431" u="1"/>
        <n v="83432" u="1"/>
        <n v="83433" u="1"/>
        <n v="83434" u="1"/>
        <n v="83435" u="1"/>
        <n v="83436" u="1"/>
        <n v="83437" u="1"/>
        <n v="83438" u="1"/>
        <n v="83439" u="1"/>
        <n v="83440" u="1"/>
        <n v="83441" u="1"/>
        <n v="83442" u="1"/>
        <n v="83443" u="1"/>
        <n v="83444" u="1"/>
        <n v="83445" u="1"/>
        <n v="83446" u="1"/>
        <n v="83447" u="1"/>
        <n v="83448" u="1"/>
        <n v="83449" u="1"/>
        <n v="83450" u="1"/>
        <n v="83451" u="1"/>
        <n v="83452" u="1"/>
        <n v="83453" u="1"/>
        <n v="83454" u="1"/>
        <n v="83455" u="1"/>
        <n v="83456" u="1"/>
        <n v="83457" u="1"/>
        <n v="83458" u="1"/>
        <n v="83459" u="1"/>
        <n v="83460" u="1"/>
        <n v="83461" u="1"/>
        <n v="83462" u="1"/>
        <n v="83463" u="1"/>
        <n v="83464" u="1"/>
        <n v="83465" u="1"/>
        <n v="83466" u="1"/>
        <n v="83467" u="1"/>
        <n v="83468" u="1"/>
        <n v="83469" u="1"/>
        <n v="83470" u="1"/>
        <n v="83471" u="1"/>
        <n v="83472" u="1"/>
        <n v="83473" u="1"/>
        <n v="83474" u="1"/>
        <n v="83475" u="1"/>
        <n v="83476" u="1"/>
        <n v="83477" u="1"/>
        <n v="83478" u="1"/>
        <n v="83479" u="1"/>
        <n v="83480" u="1"/>
        <n v="83481" u="1"/>
        <n v="83482" u="1"/>
        <n v="83483" u="1"/>
        <n v="83484" u="1"/>
        <n v="83485" u="1"/>
        <n v="83486" u="1"/>
        <n v="83487" u="1"/>
        <n v="83488" u="1"/>
        <n v="83489" u="1"/>
        <n v="83490" u="1"/>
        <n v="83491" u="1"/>
        <n v="83492" u="1"/>
        <n v="83493" u="1"/>
        <n v="83494" u="1"/>
        <n v="83495" u="1"/>
        <n v="83496" u="1"/>
        <n v="83497" u="1"/>
        <n v="83498" u="1"/>
        <n v="83499" u="1"/>
        <n v="83500" u="1"/>
        <n v="83501" u="1"/>
        <n v="83502" u="1"/>
        <n v="83503" u="1"/>
        <n v="83504" u="1"/>
        <n v="83505" u="1"/>
        <n v="83506" u="1"/>
        <n v="83507" u="1"/>
        <n v="83508" u="1"/>
        <n v="83509" u="1"/>
        <n v="83510" u="1"/>
        <n v="83511" u="1"/>
        <n v="83512" u="1"/>
        <n v="83513" u="1"/>
        <n v="83514" u="1"/>
        <n v="83515" u="1"/>
        <n v="83516" u="1"/>
        <n v="83517" u="1"/>
        <n v="83518" u="1"/>
        <n v="83519" u="1"/>
        <n v="83520" u="1"/>
        <n v="83521" u="1"/>
        <n v="83522" u="1"/>
        <n v="83523" u="1"/>
        <n v="83524" u="1"/>
        <n v="83525" u="1"/>
        <n v="83526" u="1"/>
        <n v="83527" u="1"/>
        <n v="83528" u="1"/>
        <n v="83529" u="1"/>
        <n v="83530" u="1"/>
        <n v="83531" u="1"/>
        <n v="83532" u="1"/>
        <n v="83533" u="1"/>
        <n v="83534" u="1"/>
        <n v="83535" u="1"/>
        <n v="83536" u="1"/>
        <n v="83537" u="1"/>
        <n v="83538" u="1"/>
        <n v="83539" u="1"/>
        <n v="83540" u="1"/>
        <n v="83541" u="1"/>
        <n v="83542" u="1"/>
        <n v="83543" u="1"/>
        <n v="83544" u="1"/>
        <n v="83545" u="1"/>
        <n v="83546" u="1"/>
        <n v="83547" u="1"/>
        <n v="83548" u="1"/>
        <n v="83549" u="1"/>
        <n v="83550" u="1"/>
        <n v="83551" u="1"/>
        <n v="83552" u="1"/>
        <n v="83553" u="1"/>
        <n v="83554" u="1"/>
        <n v="83555" u="1"/>
        <n v="83556" u="1"/>
        <n v="83557" u="1"/>
        <n v="83558" u="1"/>
        <n v="83559" u="1"/>
        <n v="83560" u="1"/>
        <n v="83561" u="1"/>
        <n v="83562" u="1"/>
        <n v="83563" u="1"/>
        <n v="83564" u="1"/>
        <n v="83565" u="1"/>
        <n v="83566" u="1"/>
        <n v="83567" u="1"/>
        <n v="83568" u="1"/>
        <n v="83569" u="1"/>
        <n v="83570" u="1"/>
        <n v="83571" u="1"/>
        <n v="83572" u="1"/>
        <n v="83573" u="1"/>
        <n v="83574" u="1"/>
        <n v="83575" u="1"/>
        <n v="83576" u="1"/>
        <n v="83577" u="1"/>
        <n v="83578" u="1"/>
        <n v="83579" u="1"/>
        <n v="83580" u="1"/>
        <n v="83581" u="1"/>
        <n v="83582" u="1"/>
        <n v="83583" u="1"/>
        <n v="83584" u="1"/>
        <n v="83585" u="1"/>
        <n v="83586" u="1"/>
        <n v="83587" u="1"/>
        <n v="83588" u="1"/>
        <n v="83589" u="1"/>
        <n v="83590" u="1"/>
        <n v="83591" u="1"/>
        <n v="83592" u="1"/>
        <n v="83593" u="1"/>
        <n v="83594" u="1"/>
        <n v="83595" u="1"/>
        <n v="83596" u="1"/>
        <n v="83597" u="1"/>
        <n v="83598" u="1"/>
        <n v="83599" u="1"/>
        <n v="83600" u="1"/>
        <n v="83601" u="1"/>
        <n v="83602" u="1"/>
        <n v="83603" u="1"/>
        <n v="83604" u="1"/>
        <n v="83605" u="1"/>
        <n v="83606" u="1"/>
        <n v="83607" u="1"/>
        <n v="83608" u="1"/>
        <n v="83609" u="1"/>
        <n v="83610" u="1"/>
        <n v="83611" u="1"/>
        <n v="83612" u="1"/>
        <n v="83613" u="1"/>
        <n v="83614" u="1"/>
        <n v="83615" u="1"/>
        <n v="83616" u="1"/>
        <n v="83617" u="1"/>
        <n v="83618" u="1"/>
        <n v="83619" u="1"/>
        <n v="83620" u="1"/>
        <n v="83621" u="1"/>
        <n v="83622" u="1"/>
        <n v="83623" u="1"/>
        <n v="83624" u="1"/>
        <n v="83625" u="1"/>
        <n v="83626" u="1"/>
        <n v="83627" u="1"/>
        <n v="83628" u="1"/>
        <n v="83629" u="1"/>
        <n v="83630" u="1"/>
        <n v="83631" u="1"/>
        <n v="83632" u="1"/>
        <n v="83633" u="1"/>
        <n v="83634" u="1"/>
        <n v="83635" u="1"/>
        <n v="83636" u="1"/>
        <n v="83637" u="1"/>
        <n v="83638" u="1"/>
        <n v="83639" u="1"/>
        <n v="83640" u="1"/>
        <n v="83641" u="1"/>
        <n v="83642" u="1"/>
        <n v="83643" u="1"/>
        <n v="83644" u="1"/>
        <n v="83645" u="1"/>
        <n v="83646" u="1"/>
        <n v="83647" u="1"/>
        <n v="83648" u="1"/>
        <n v="83649" u="1"/>
        <n v="83650" u="1"/>
        <n v="83651" u="1"/>
        <n v="83652" u="1"/>
        <n v="83653" u="1"/>
        <n v="83654" u="1"/>
        <n v="83655" u="1"/>
        <n v="83656" u="1"/>
        <n v="83657" u="1"/>
        <n v="83658" u="1"/>
        <n v="83659" u="1"/>
        <n v="83660" u="1"/>
        <n v="83661" u="1"/>
        <n v="83662" u="1"/>
        <n v="83663" u="1"/>
        <n v="83664" u="1"/>
        <n v="83665" u="1"/>
        <n v="83666" u="1"/>
        <n v="83667" u="1"/>
        <n v="83668" u="1"/>
        <n v="83669" u="1"/>
        <n v="83670" u="1"/>
        <n v="83671" u="1"/>
        <n v="83672" u="1"/>
        <n v="83673" u="1"/>
        <n v="83674" u="1"/>
        <n v="83675" u="1"/>
        <n v="83676" u="1"/>
        <n v="83677" u="1"/>
        <n v="83678" u="1"/>
        <n v="83679" u="1"/>
        <n v="83680" u="1"/>
        <n v="83681" u="1"/>
        <n v="83682" u="1"/>
        <n v="83683" u="1"/>
        <n v="83684" u="1"/>
        <n v="83685" u="1"/>
        <n v="83686" u="1"/>
        <n v="83687" u="1"/>
        <n v="83688" u="1"/>
        <n v="83689" u="1"/>
        <n v="83690" u="1"/>
        <n v="83691" u="1"/>
        <n v="83692" u="1"/>
        <n v="83693" u="1"/>
        <n v="83694" u="1"/>
        <n v="83695" u="1"/>
        <n v="83696" u="1"/>
        <n v="83697" u="1"/>
        <n v="83698" u="1"/>
        <n v="83699" u="1"/>
        <n v="83700" u="1"/>
        <n v="83701" u="1"/>
        <n v="83702" u="1"/>
        <n v="83703" u="1"/>
        <n v="83704" u="1"/>
        <n v="83705" u="1"/>
        <n v="83706" u="1"/>
        <n v="83707" u="1"/>
        <n v="83708" u="1"/>
        <n v="83709" u="1"/>
        <n v="83710" u="1"/>
        <n v="83711" u="1"/>
        <n v="83712" u="1"/>
        <n v="83713" u="1"/>
        <n v="83714" u="1"/>
        <n v="83715" u="1"/>
        <n v="83716" u="1"/>
        <n v="83717" u="1"/>
        <n v="83718" u="1"/>
        <n v="83719" u="1"/>
        <n v="83720" u="1"/>
        <n v="83721" u="1"/>
        <n v="83722" u="1"/>
        <n v="83723" u="1"/>
        <n v="83724" u="1"/>
        <n v="83725" u="1"/>
        <n v="83726" u="1"/>
        <n v="83727" u="1"/>
        <n v="83728" u="1"/>
        <n v="83729" u="1"/>
        <n v="83730" u="1"/>
        <n v="83731" u="1"/>
        <n v="83732" u="1"/>
        <n v="83733" u="1"/>
        <n v="83734" u="1"/>
        <n v="83735" u="1"/>
        <n v="83736" u="1"/>
        <n v="83737" u="1"/>
        <n v="83738" u="1"/>
        <n v="83739" u="1"/>
        <n v="83740" u="1"/>
        <n v="83741" u="1"/>
        <n v="83742" u="1"/>
        <n v="83743" u="1"/>
        <n v="83744" u="1"/>
        <n v="83745" u="1"/>
        <n v="83746" u="1"/>
        <n v="83747" u="1"/>
        <n v="83748" u="1"/>
        <n v="83749" u="1"/>
        <n v="83750" u="1"/>
        <n v="83751" u="1"/>
        <n v="83752" u="1"/>
        <n v="83753" u="1"/>
        <n v="83754" u="1"/>
        <n v="83755" u="1"/>
        <n v="83756" u="1"/>
        <n v="83757" u="1"/>
        <n v="83758" u="1"/>
        <n v="83759" u="1"/>
        <n v="83760" u="1"/>
        <n v="83761" u="1"/>
        <n v="83762" u="1"/>
        <n v="83763" u="1"/>
        <n v="83764" u="1"/>
        <n v="83765" u="1"/>
        <n v="83766" u="1"/>
        <n v="83767" u="1"/>
        <n v="83768" u="1"/>
        <n v="83769" u="1"/>
        <n v="83770" u="1"/>
        <n v="83771" u="1"/>
        <n v="83772" u="1"/>
        <n v="83773" u="1"/>
        <n v="83774" u="1"/>
        <n v="83775" u="1"/>
        <n v="83776" u="1"/>
        <n v="83777" u="1"/>
        <n v="83778" u="1"/>
        <n v="83779" u="1"/>
        <n v="83780" u="1"/>
        <n v="83781" u="1"/>
        <n v="83782" u="1"/>
        <n v="83783" u="1"/>
        <n v="83784" u="1"/>
        <n v="83785" u="1"/>
        <n v="83786" u="1"/>
        <n v="83787" u="1"/>
        <n v="83788" u="1"/>
        <n v="83789" u="1"/>
        <n v="83790" u="1"/>
        <n v="83791" u="1"/>
        <n v="83792" u="1"/>
        <n v="83793" u="1"/>
        <n v="83794" u="1"/>
        <n v="83795" u="1"/>
        <n v="83796" u="1"/>
        <n v="83797" u="1"/>
        <n v="83798" u="1"/>
        <n v="83799" u="1"/>
        <n v="83800" u="1"/>
        <n v="83801" u="1"/>
        <n v="83802" u="1"/>
        <n v="83803" u="1"/>
        <n v="83804" u="1"/>
        <n v="83805" u="1"/>
        <n v="83806" u="1"/>
        <n v="83807" u="1"/>
        <n v="83808" u="1"/>
        <n v="83809" u="1"/>
        <n v="83810" u="1"/>
        <n v="83811" u="1"/>
        <n v="83812" u="1"/>
        <n v="83813" u="1"/>
        <n v="83814" u="1"/>
        <n v="83815" u="1"/>
        <n v="83816" u="1"/>
        <n v="83817" u="1"/>
        <n v="83818" u="1"/>
        <n v="83819" u="1"/>
        <n v="83820" u="1"/>
        <n v="83821" u="1"/>
        <n v="83822" u="1"/>
        <n v="83823" u="1"/>
        <n v="83824" u="1"/>
        <n v="83825" u="1"/>
        <n v="83826" u="1"/>
        <n v="83827" u="1"/>
        <n v="83828" u="1"/>
        <n v="83829" u="1"/>
        <n v="83830" u="1"/>
        <n v="83831" u="1"/>
        <n v="83832" u="1"/>
        <n v="83833" u="1"/>
        <n v="83834" u="1"/>
        <n v="83835" u="1"/>
        <n v="83836" u="1"/>
        <n v="83837" u="1"/>
        <n v="83838" u="1"/>
        <n v="83839" u="1"/>
        <n v="83840" u="1"/>
        <n v="83841" u="1"/>
        <n v="83842" u="1"/>
        <n v="83843" u="1"/>
        <n v="83844" u="1"/>
        <n v="83845" u="1"/>
        <n v="83846" u="1"/>
        <n v="83847" u="1"/>
        <n v="83848" u="1"/>
        <n v="83849" u="1"/>
        <n v="83850" u="1"/>
        <n v="83851" u="1"/>
        <n v="83852" u="1"/>
        <n v="83853" u="1"/>
        <n v="83854" u="1"/>
        <n v="83855" u="1"/>
        <n v="83856" u="1"/>
        <n v="83857" u="1"/>
        <n v="83858" u="1"/>
        <n v="83859" u="1"/>
        <n v="83860" u="1"/>
        <n v="83861" u="1"/>
        <n v="83862" u="1"/>
        <n v="83863" u="1"/>
        <n v="83864" u="1"/>
        <n v="83865" u="1"/>
        <n v="83866" u="1"/>
        <n v="83867" u="1"/>
        <n v="83868" u="1"/>
        <n v="83869" u="1"/>
        <n v="83870" u="1"/>
        <n v="83871" u="1"/>
        <n v="83872" u="1"/>
        <n v="83873" u="1"/>
        <n v="83874" u="1"/>
        <n v="83875" u="1"/>
        <n v="83876" u="1"/>
        <n v="83877" u="1"/>
        <n v="83878" u="1"/>
        <n v="83879" u="1"/>
        <n v="83880" u="1"/>
        <n v="83881" u="1"/>
        <n v="83882" u="1"/>
        <n v="83883" u="1"/>
        <n v="83884" u="1"/>
        <n v="83885" u="1"/>
        <n v="83886" u="1"/>
        <n v="83887" u="1"/>
        <n v="83888" u="1"/>
        <n v="83889" u="1"/>
        <n v="83890" u="1"/>
        <n v="83891" u="1"/>
        <n v="83892" u="1"/>
        <n v="83893" u="1"/>
        <n v="83894" u="1"/>
        <n v="83895" u="1"/>
        <n v="83896" u="1"/>
        <n v="83897" u="1"/>
        <n v="83898" u="1"/>
        <n v="83899" u="1"/>
        <n v="83900" u="1"/>
        <n v="83901" u="1"/>
        <n v="83902" u="1"/>
        <n v="83903" u="1"/>
        <n v="83904" u="1"/>
        <n v="83905" u="1"/>
        <n v="83906" u="1"/>
        <n v="83907" u="1"/>
        <n v="83908" u="1"/>
        <n v="83909" u="1"/>
        <n v="83910" u="1"/>
        <n v="83911" u="1"/>
        <n v="83912" u="1"/>
        <n v="83913" u="1"/>
        <n v="83914" u="1"/>
        <n v="83915" u="1"/>
        <n v="83916" u="1"/>
        <n v="83917" u="1"/>
        <n v="83918" u="1"/>
        <n v="83919" u="1"/>
        <n v="83920" u="1"/>
        <n v="83921" u="1"/>
        <n v="83922" u="1"/>
        <n v="83923" u="1"/>
        <n v="83924" u="1"/>
        <n v="83925" u="1"/>
        <n v="83926" u="1"/>
        <n v="83927" u="1"/>
        <n v="83928" u="1"/>
        <n v="83929" u="1"/>
        <n v="83930" u="1"/>
        <n v="83931" u="1"/>
        <n v="83932" u="1"/>
        <n v="83933" u="1"/>
        <n v="83934" u="1"/>
        <n v="83935" u="1"/>
        <n v="83936" u="1"/>
        <n v="83937" u="1"/>
        <n v="83938" u="1"/>
        <n v="83939" u="1"/>
        <n v="83940" u="1"/>
        <n v="83941" u="1"/>
        <n v="83942" u="1"/>
        <n v="83943" u="1"/>
        <n v="83944" u="1"/>
        <n v="83945" u="1"/>
        <n v="83946" u="1"/>
        <n v="83947" u="1"/>
        <n v="83948" u="1"/>
        <n v="83949" u="1"/>
        <n v="83950" u="1"/>
        <n v="83951" u="1"/>
        <n v="83952" u="1"/>
        <n v="83953" u="1"/>
        <n v="83954" u="1"/>
        <n v="83955" u="1"/>
        <n v="83956" u="1"/>
        <n v="83957" u="1"/>
        <n v="83958" u="1"/>
        <n v="83959" u="1"/>
        <n v="83960" u="1"/>
        <n v="83961" u="1"/>
        <n v="83962" u="1"/>
        <n v="83963" u="1"/>
        <n v="83964" u="1"/>
        <n v="83965" u="1"/>
        <n v="83966" u="1"/>
        <n v="83967" u="1"/>
        <n v="83968" u="1"/>
        <n v="83969" u="1"/>
        <n v="83970" u="1"/>
        <n v="83971" u="1"/>
        <n v="83972" u="1"/>
        <n v="83973" u="1"/>
        <n v="83974" u="1"/>
        <n v="83975" u="1"/>
        <n v="83976" u="1"/>
        <n v="83977" u="1"/>
        <n v="83978" u="1"/>
        <n v="83979" u="1"/>
        <n v="83980" u="1"/>
        <n v="83981" u="1"/>
        <n v="83982" u="1"/>
        <n v="83983" u="1"/>
        <n v="83984" u="1"/>
        <n v="83985" u="1"/>
        <n v="83986" u="1"/>
        <n v="83987" u="1"/>
        <n v="83988" u="1"/>
        <n v="83989" u="1"/>
        <n v="83990" u="1"/>
        <n v="83991" u="1"/>
        <n v="83992" u="1"/>
        <n v="83993" u="1"/>
        <n v="83994" u="1"/>
        <n v="83995" u="1"/>
        <n v="83996" u="1"/>
        <n v="83997" u="1"/>
        <n v="83998" u="1"/>
        <n v="83999" u="1"/>
        <n v="84000" u="1"/>
        <n v="84001" u="1"/>
        <n v="84002" u="1"/>
        <n v="84003" u="1"/>
        <n v="84004" u="1"/>
        <n v="84005" u="1"/>
        <n v="84006" u="1"/>
        <n v="84007" u="1"/>
      </sharedItems>
    </cacheField>
    <cacheField name="Columna1" numFmtId="0">
      <sharedItems containsMixedTypes="1" containsNumber="1" containsInteger="1" minValue="-6" maxValue="105657"/>
    </cacheField>
    <cacheField name="Prefijo" numFmtId="0">
      <sharedItems/>
    </cacheField>
    <cacheField name="Fecha Emisión" numFmtId="0">
      <sharedItems/>
    </cacheField>
    <cacheField name="Fecha Recepción" numFmtId="0">
      <sharedItems/>
    </cacheField>
    <cacheField name="NIT Emisor" numFmtId="0">
      <sharedItems/>
    </cacheField>
    <cacheField name="Nombre Emisor" numFmtId="0">
      <sharedItems/>
    </cacheField>
    <cacheField name="NIT Receptor" numFmtId="0">
      <sharedItems containsBlank="1"/>
    </cacheField>
    <cacheField name="Nombre Receptor" numFmtId="0">
      <sharedItems containsBlank="1" count="882">
        <s v="Fundacion Educativa Colegio Militar Inocencio Chinca Y Su Campus Deportivo"/>
        <s v="Improve Learning SAS"/>
        <s v="Distribuidora Y Editora Richmond SAS"/>
        <s v="Educactiva SAS"/>
        <s v="Editorial Santillana SAS"/>
        <s v="Keralty SAS "/>
        <s v="Clinica Colsanitas SA"/>
        <s v="Optica Colsanitas SAS"/>
        <s v="Compañia De Medicina Prepagada Colsanitas SA"/>
        <s v="Versania Psicosocial Ita SAS"/>
        <s v="Versania Primera Infancia SAS"/>
        <s v="Salud Ocupacional Sanitas SAS"/>
        <s v="Oftalmosanitas Cali SAS"/>
        <s v="Entidad Promotora De Salud Sanitas SAS"/>
        <s v="Centros Medicos Colsanitas S A S"/>
        <s v="Compañia De Inversiones Textiles De Moda SAS Texmoda SAS"/>
        <s v="Permoda Ltda"/>
        <s v="Banco Bilbao Vizcaya Argentaria Colombia SA"/>
        <s v="Atlantic Quantum Innovations S A S"/>
        <s v="Junta De Calificacion De Invalidez Regional Meta "/>
        <s v="Kaizen Group Ingenieria SAS"/>
        <s v="Aquamech System SAS"/>
        <s v="Cushman &amp; WaKefield Colombia SAS"/>
        <s v="Soenergy International Colombia SAS"/>
        <s v="Caja De Compensacion Familiar Cafam"/>
        <s v="Onboard Logistics Colombia SAS"/>
        <s v="Señales Ltda"/>
        <s v="Syntofarma S A "/>
        <s v="Excellence Logging Latin America Limited, Sucursal Colombiana"/>
        <s v="Pwc Contadores Y Auditores SAS"/>
        <s v="Novasoft S A S"/>
        <s v="Confipetrol SAS"/>
        <s v="Grivan Ingenieria SA"/>
        <s v="Deloitte &amp; Touche SAS"/>
        <s v="Ecomarket SAS"/>
        <s v="Interasesores Asesores Empresariales Administrativos SA"/>
        <s v="Comercializadora Internacional Milpa SA"/>
        <s v="Sager SAS"/>
        <s v="Reliability Maintenance Services SAS"/>
        <s v="Patrimonios Autonomos Aval Fiduciaria SA"/>
        <s v="Transchiquinquira SA"/>
        <s v="Business And Quality Services SAS"/>
        <s v="Selecta Compañia De Cereales SAS"/>
        <s v="Edificio Reserva De La Alameda"/>
        <s v="Datalaft SAS"/>
        <s v="Risk Consulting Colombia SAS"/>
        <s v="Plazoleta Bazzani SAS"/>
        <s v="Bold Co SAS"/>
        <s v="Campo Alto Acesalud SAS"/>
        <s v="Latinoamericana Suministros Y Carga SAS"/>
        <s v="Fundacion National Center For State Courts-Ncsc Colombia"/>
        <s v="Fundacion Panamericana Para El Desarrollo Colombia Fupad Col"/>
        <s v="Agencia De Aduanas Abc Repecev SAS Nivel 1"/>
        <s v="Digital Copy Soluciones Digitales SAS"/>
        <s v="Corporacion Organizacion El Minuto De Dios-OMD-"/>
        <s v="Pinturas Tito Pabon SAS"/>
        <s v="Soluciones Verticales SAS"/>
        <s v="Vehitotal SAS"/>
        <s v="Buk Col SAS"/>
        <s v="Duty Free Americas San Andres SAS"/>
        <s v="FCL Impart SAS"/>
        <s v="Karcher SAS"/>
        <s v="Knauf Distribuidora SAS"/>
        <s v="Prosegur Vigilancia Y Seguridad Privada LTDA"/>
        <s v="Esenttia SA"/>
        <s v="Knauf De Colombia SAS"/>
        <s v="Caja De Compensacion Familiar Compensar"/>
        <s v="Tcs Solution Center Sucursal Colombia"/>
        <s v="Belltech Colombia SA"/>
        <s v="Federacion De Aseguradores Colombianos FASECOLDA"/>
        <s v="Bogota Movil Operacion Sur SAS"/>
        <s v="City Parking SAS"/>
        <s v="Comercial Allan SAS"/>
        <s v="Centro De Gerenciamiento De Residuos Doña Juana SA ESP"/>
        <s v="Lamitech SAS"/>
        <s v="National Oilwell Varco De Colombia"/>
        <s v="Incomineria SAS"/>
        <s v="Holland &amp; Knight Colombia SAS"/>
        <s v="Ortizo SAS"/>
        <s v="Varichem De Colombia G Environmental Proteccion Service SAS"/>
        <s v="Mercantil Colpatria SA"/>
        <s v="Ferricentros SAS"/>
        <s v="Doble A Ingenieria SAS"/>
        <s v="Soberana SAS"/>
        <s v="Distribuidora Unidas De Material Y Servicios Catolicos SAS"/>
        <s v="Ingetec Ingenieria &amp; Diseños SAS"/>
        <s v="Acf Technologies Colombia SAS"/>
        <s v="Industrial Aceitera Del Casanare SA Sucursal Colombia"/>
        <s v="Champion Air Cargo De Colombia Ltda"/>
        <s v="Transborder SAS"/>
        <s v="Geodis Colombia LTDA"/>
        <s v="La Corporacion Colombiana De Investigacion Agropecuaria Agrosavia"/>
        <s v="Quintero Y Quintero Asesores SA"/>
        <s v="Sony Music Publishing Colombia Ltda"/>
        <s v="Nicomar Electronics SAS"/>
        <s v="Santiago Velez &amp; Asociados Corredores De Seguros SA"/>
        <s v="Juan Pablo Bejarano CIA LTDA Asesores De Seguros"/>
        <s v="Compañia Internacional De Alimentos Agropecuarios Cialta SAS"/>
        <s v="Salitre Plaza Centro Comercial Propiedad Horizontal "/>
        <s v="Inter Rapidisimo SA"/>
        <s v="Itmcol SAS"/>
        <s v="Patrimonios Autonomos Fiduciaria Bancolombia SA Sociedad Fiduciaria"/>
        <s v="Clinicos Programas De Atencion Integral SAS IPS"/>
        <s v="Accion Sociedad Fiduciaria SA"/>
        <s v="Plasdecor SAS"/>
        <s v="Inzignia Construction SA"/>
        <s v="Interval International De Colombia SAS"/>
        <s v="Fitness24seven Colombia S A S"/>
        <s v="Securitas Colombia SA"/>
        <s v="Mas Servicios Asistenciales Colombia SAS"/>
        <s v="24K Global Logistics SAS"/>
        <s v="Regional Services Group Rsg S A S"/>
        <s v="Thomas Seguridad Integral Ltda"/>
        <s v="Corporacion Aceite De Palma Sostenible De Colombia Apscolombia"/>
        <s v="HY Cite Enterprises Colombia SAS"/>
        <s v="C I Conquers World Trade SAS"/>
        <s v="Salud Total Entidad Promotora De Salud Del Regimen Contributivo Y Del Regimen Subsidiado SA"/>
        <s v="Compañia De Seguros Colsanitas SA"/>
        <s v="Consejo Profesional De Biologia"/>
        <s v="Otto Bock Healthcare Andina SAS"/>
        <s v="Alto Colombia SAS"/>
        <s v="ByD Motor Colombia SAS"/>
        <s v="Pcs For All SAS"/>
        <s v="Novatec Solutions Ltda"/>
        <s v="Pear Solutions SA"/>
        <s v="Industrias La Coruña SAS"/>
        <s v="Medicales Sociedad Por Acciones Simplificada"/>
        <s v="Gran Tierra Energy Colombia Gmbh Sucursal Colombia"/>
        <s v="Palmar Del Oriente SAS"/>
        <s v="International Testing Inspection &amp; Certification Colombia SAS"/>
        <s v="Heel Colombia Ltda"/>
        <s v="Combustibles De Colombia SA"/>
        <s v="Maria Alejandra Zambrano Suarez"/>
        <s v="Juan Javier Urazan Ramirez"/>
        <s v="Vco S.A"/>
        <s v="Howden Corredores De Seguros SA"/>
        <s v="Quironprevencion Colombia SAS"/>
        <s v="Basic Farm SAS"/>
        <s v="Corporacion Universitaria Unitec"/>
        <s v="Centro De Control De Cancer SAS"/>
        <s v="Axon Group Limitada"/>
        <s v="Hire Horatio Co S A S"/>
        <s v="Grupo Babel Colombia SAS"/>
        <s v="Comware S.A"/>
        <s v="Conjunto Residencial Corinto - Propiedad Horizontal"/>
        <s v="Inemec SAS"/>
        <s v="Autogermana SAS"/>
        <s v="Vicpar SA"/>
        <s v="Marketing E Inversiones SAS"/>
        <s v="Flores El Futuro SA"/>
        <s v="Sony Music Entertainment Colombia SAS"/>
        <s v="Compañia De La Hacienda De Misiones SA"/>
        <s v="Sonido Industrial Colombiano Ltda"/>
        <s v="Epiroc Colombia SAS"/>
        <s v="Stefanini Colombia SAS"/>
        <s v="Industrias Spring SAS"/>
        <s v="Grupo Cenagro SAS"/>
        <s v="Esmeraldas Mining Services SAS"/>
        <s v="Fundacion Universidad Del Norte"/>
        <s v="Don Maiz SAS"/>
        <s v="Ceramica San Lorenzo Industrial De Colombia SA"/>
        <s v="Bip Colombia SAS"/>
        <s v="Flores De Serrezuela SAS"/>
        <s v="Parko Services S.A"/>
        <s v="Carlos Arturo Alegre Guzman"/>
        <s v="Benjamin  Herrera"/>
        <s v="Power Systems Services Global SAS"/>
        <s v="Cadena Comercial Oxxo Colombia SAS"/>
        <s v="Panamericana Outsourcing SA"/>
        <s v="CYC Trading SAS"/>
        <s v="Corporacion Por El Desarrollo Sostenible De La Orinoquia Y Territorios Aledaños"/>
        <s v="Ikusi Redes Colombia SAS"/>
        <s v="Scania Colombia SAS"/>
        <s v="Ci Energia Solar SAS Es Windows"/>
        <s v="Fundacion Colegio Anglo Colombiano "/>
        <s v="Fundacion Universitaria Sanitas"/>
        <s v="Cooperativa Nacional De Droguistas Detallistas "/>
        <s v="Hinaoui Salazar Y Cia S En C S"/>
        <s v="Farmatodo Colombia SAS"/>
        <s v="Yanbal De Colombia SAS"/>
        <s v="Cooperativa Del Magisterio Codema"/>
        <s v="Credicorp Capital Colombia SA"/>
        <s v="Coopervision Colombia SAS"/>
        <s v="Agora Centro De Servicios Compartidos SAS"/>
        <s v="IA4 SAS"/>
        <s v="Ecologia Y Entorno SAS  E.S.P Ecoentorno"/>
        <s v="Ecologistica SAS Empresa De Servicios Publicos Ecologistica SAS ESP"/>
        <s v="Caja Colombiana De Subsidio Familiar Colsubsidio"/>
        <s v="Solvo SAS"/>
        <s v="Eulen Colombia SA"/>
        <s v="Grupo Empresarial En Linea S.A."/>
        <s v="Levare Services Ltd Sucursal Colombia"/>
        <s v="Adecco Servicios Colombia S A"/>
        <s v="Adecco Colombia S A"/>
        <s v="IRCC SAS Industria De Restaurantes Casuales SAS"/>
        <s v="Indra Colombia SAS"/>
        <s v="G Barco SA"/>
        <s v="Criya SAS"/>
        <s v="Huge SAS"/>
        <s v="Uni2 Microcredito S A S "/>
        <s v="Cooperativa De Profesionales Sanitas "/>
        <s v="Soluciones En Enfermeria Clinica SAS"/>
        <s v="Express Luck Colombia SAS"/>
        <s v="Industrias De Refrigeracion Comercial SA Indufrial SA Reorganizacion Empresarial"/>
        <s v="Logytech Mobile SAS"/>
        <s v="Cardionet Ltda"/>
        <s v="Agroindustrial De Palma Aceitera SA Sucursal Colombia"/>
        <s v="Istituzione Leonardo Da Vinci"/>
        <s v="Casa De La Valvula SAS"/>
        <s v="Mediawise Solutions SAS"/>
        <s v="Phd Colombia SAS"/>
        <s v="Omd Colombia SAS"/>
        <s v="Guacamaya Energy Services S A S"/>
        <s v="Amadeus It Group Colombia SAS"/>
        <s v="A Tiempo SAS"/>
        <s v="Wsp Colombia SAS"/>
        <s v="Superpolo SAS"/>
        <s v="Asociacion Gremial Redeamerica"/>
        <s v="Fresenius Medical Care SAS"/>
        <s v="Confecciones Industriales Suramerica SAS"/>
        <s v="Colfondos SA Pensiones Y Cesantias"/>
        <s v="Croydon Colombia SA"/>
        <s v="Serenus Asesores De Seguros Ltda"/>
        <s v="Zalt SAS"/>
        <s v="Domat SAS"/>
        <s v="Industria Comercial De Alimentos Nutrix SAS"/>
        <s v="Administradora Clinica La Colina S A S"/>
        <s v="Duquesa SAS BIC"/>
        <s v="Universidad Central"/>
        <s v="Colombiana De Trasplantes SAS"/>
        <s v="UT Prepacol - 3T Capital"/>
        <s v="Axure Technologies SA"/>
        <s v="Linktic SAS"/>
        <s v="Carboinsa SAS"/>
        <s v="Applus Norcontrol Colombia Limitada"/>
        <s v="Castro Y Rincon SAS"/>
        <s v="Breakfast Tbl SAS"/>
        <s v="Puffer Colombia"/>
        <s v="Convergint Colombia Servicios De Integración SAS"/>
        <s v="Ivon Andrea Sanabria Romero"/>
        <s v="Banco Gnb Sudameris S A"/>
        <s v="Fundacion Hospital De La Misericordia"/>
        <s v="Kata SAS"/>
        <s v="Inverleoka SAS"/>
        <s v="Fundacion Keralty"/>
        <s v="Idemia Identity &amp; Security Sucursal Colombia"/>
        <s v="Fundacion Universitaria San Martin"/>
        <s v="LM Instruments SA"/>
        <s v="Bancolombia SA"/>
        <s v="SBS Seguros Colombia SA"/>
        <s v="Ultra Seguridad Limitada"/>
        <s v="Procibernetica SA"/>
        <s v="BR Group SA"/>
        <s v="Soldaduras West Arco SAS"/>
        <s v="Corporacion Cultural Alexander Von Humboldt Deutscher Schulverein"/>
        <s v="Clinica Nuestra Señora De La Paz"/>
        <s v="Weg Colombia S A S"/>
        <s v="95/24 Colombia SAS"/>
        <s v="Cardif Colombia Seguros Generales SA"/>
        <s v="Compañia De Seguros Bolivar SA"/>
        <s v="Dorfan SAS"/>
        <s v="Exportaciones Internacionales De Cargas  S A S"/>
        <s v="Samsonite Colombia SAS"/>
        <s v="Seguros Comerciales Bolivar SA"/>
        <s v="Industrial Hotelera Y Alimentos SAS Dialimentos SAS"/>
        <s v="Juan Camilo Velasquez Graciano"/>
        <s v="Operadora Colombiana De Cines SAS"/>
        <s v="Maba SAS"/>
        <s v="Mullen Lowe Ssp3 SAS"/>
        <s v="Tivit Colombia Tercerizacion De Procesos Servicios Y Tecnologia SAS"/>
        <s v="ACI Proyectos SAS"/>
        <s v="Papeles Primavera S A S"/>
        <s v="Saexploration Inc Sucursal Colombia "/>
        <s v="Estudios Tecnicos SAS"/>
        <s v="La Equidad Seguros Generales Organismo Cooperativo "/>
        <s v="Flores Tiba SA"/>
        <s v="Nardiplast SAS"/>
        <s v="Cas Colombo American School SAS"/>
        <s v="Distribuidora Toyota SAS"/>
        <s v="Ransa Colombia SAS"/>
        <s v="Abc De Servicios SAS"/>
        <s v="Hospitecnica SAS"/>
        <s v="Gente Disponible SA"/>
        <s v="Global Training Aviation Colombia SAS"/>
        <s v="Hupecol Operating Co LLC"/>
        <s v="Idom Consulting Engineering Architecture SAU"/>
        <s v="Interservice SA"/>
        <s v="Productos El Tomatico SAS"/>
        <s v="Exlservice Colombia SAS"/>
        <s v="Kaeser Compresores De Colombia SAS"/>
        <s v="Interoc S A Sucursal Colombia"/>
        <s v="Colmena Seguros Riesgos Laborales SA Riesgos Laborales Colmena Compañia De Seguros De Vida"/>
        <s v="Goddard Catering Group Bogota SAS"/>
        <s v="Goddard Catering Group Colombia SAS"/>
        <s v="Blush-Bar SAS"/>
        <s v="Congelados Agricolas SA - Congelagro SA"/>
        <s v="Sky Logistica Integral S A S"/>
        <s v="Construcciones Arrecife SAS"/>
        <s v="British Council Consejo Britanico"/>
        <s v="Gi Group Staffing SAS"/>
        <s v="Ceva Freight Management De Colombia SAS"/>
        <s v="Maelectricos SAS"/>
        <s v="Resonancia Magnetica Del Country SAS"/>
        <s v="U Fit SAS"/>
        <s v="Pidamos Marketing Total S A S "/>
        <s v="Gi-In Positiva 2024"/>
        <s v="Assisprex SAS"/>
        <s v="Fresenius Medical Care Andina SAS"/>
        <s v="Lipesa Colombia SAS"/>
        <s v="Comercializadora Colombiana De Carbones Y Coques SAS C I"/>
        <s v="Esmeraldas De Los Andes SAS"/>
        <s v="Vass Consultoria De Sistemas Colombia SAS"/>
        <s v="Eminss SAS"/>
        <s v="Corporacion Universitaria De Asturias "/>
        <s v="Consorcio Vial JJ-ACI"/>
        <s v="Bogota Limpia SAS ESP"/>
        <s v="Fondo De Empleados Almacenes Exito"/>
        <s v="Pricewaterhousecoopers Information Services SAS"/>
        <s v="Pricewaterhousecoopers Servicios Legales Y Tributarios SAS"/>
        <s v="Pricewaterhousecoopers Asesores Gerenciales SAS"/>
        <s v="Corporacion Colombia Crea Talento "/>
        <s v="Quimicos Integrales SAS"/>
        <s v="P J Col SAS"/>
        <s v="Ropim SAS"/>
        <s v="Servioptica SAS"/>
        <s v="Corporacion Universidad Piloto De Colombia"/>
        <s v="Puerto Pimsa SA"/>
        <s v="Gigas Hosting Colombia SAS"/>
        <s v="Soluciones Itpc SAS"/>
        <s v="Jonatan Walter Charry Guzman"/>
        <s v="Vado Combustibles SAS"/>
        <s v="Marketing Oil Company SAS"/>
        <s v="Metaza SAS"/>
        <s v="Nagasi SAS"/>
        <s v="Industria Nacional De Gaseosas SA"/>
        <s v="Centro Ocular Demiopia Dr Rincon Sociedad Por Acciones Simplificada SAS"/>
        <s v="Boticario Colombia S A S"/>
        <s v="Fundacion Universidad De Bogota Jorge Tadeo Lozano"/>
        <s v="Educactiva Ediciones SAS"/>
        <s v="Cooperativa De Los Profesionales Coasmedas"/>
        <s v="Maria Lorenza Pastrana Ramos"/>
        <s v="Univision Colombia SAS"/>
        <s v="Laboratorio Internacional De Colombia SAS"/>
        <s v="Vlera SAS"/>
        <s v="Price Res SAS"/>
        <s v="Cooperativa De Empleados de Cafam"/>
        <s v="Vr Inversiones Ltda"/>
        <s v="Gate Gourmet Colombia SAS"/>
        <s v="Pcshek Tecnologia Y Servicios SAS"/>
        <s v="Supermastick SAS "/>
        <s v="Transportes Humadea SAS"/>
        <s v="Organizacion Nacional De Los Pueblos Indigenas De La Amazonia Colombiana"/>
        <s v="Sociedad De Medicina Reproductiva Sas"/>
        <s v="Cocinas Nicol SAS"/>
        <s v="Motored De Colombia SAS"/>
        <s v="Oftalmosanitas SAS"/>
        <s v="Cooperativa Empresarial Multiactiva Popular"/>
        <s v="Visionamos Salud Centro De Diagnostico Clinico SAS"/>
        <s v="Ferreteria Tools Center SAS"/>
        <s v="Pan American Life De Colombia Compañia De Seguros SA"/>
        <s v="Universidad CES"/>
        <s v="Winner Group SA"/>
        <s v="Endress+Hauser Colombia SAS"/>
        <s v="Dichter Neira Colombia SAS"/>
        <s v="Aei Arquitectura E Interiores SAS"/>
        <s v="Parra Rodriguez Abogados SAS"/>
        <s v="Cooperativa Multiactiva De Trabajadores Empleados Y Pensionados De Exxon"/>
        <s v="Aquia SAS"/>
        <s v="Morand Servicios Legales Y De Impuestos SAS"/>
        <s v="Astaf Auditores Y Consultores Contables SAS"/>
        <s v="Medios Y Servicios Integrados  M I S Ltda"/>
        <s v="Edificio Calle 79 Oficinas Propiedad Horizontal"/>
        <s v="Cheil Colombia"/>
        <s v="Colegio Ciedi SAS"/>
        <s v="Colinagro SA"/>
        <s v="Colwagen SAS"/>
        <s v="Acciones Y Valores SA Comisionista De Bolsa"/>
        <s v="Labodigital Colombia SAS"/>
        <s v="Deep Blue Ship Agency SAS"/>
        <s v="Industrias Ivor SA Casa Inglesa"/>
        <s v="Ferreteria Importadora Colombiana SAS"/>
        <s v="Congregacion De Los Hermanos De Las Escuelas Cristianas"/>
        <s v="Area Limpia Distrito Capital SAS E.S.P"/>
        <s v="Gavinco Ingenieros Consultores SAS"/>
        <s v="Consorcio Inter - Cp "/>
        <s v="Consorcio Inter - Pas"/>
        <s v="Camara De Riesgo Central De Contraparte De Colombia S A"/>
        <s v="Ingenieria Y Telecomunicaciones SAS"/>
        <s v="Curquin SAS"/>
        <s v="Union Temporal Servicios Especializados De Registro Y Transito - Socha"/>
        <s v="Colviseg Colombiana De Vigilancia Y Seguridad Ltda"/>
        <s v="Pegomax S A S "/>
        <s v="Overnia S A S"/>
        <s v="Axa Colpatria Seguros SA"/>
        <s v="Mass Digital SAS"/>
        <s v="Jargu SA Corredores De Seguros"/>
        <s v="Dalog Americas SAS"/>
        <s v="Perfiles Tecnologicos SAS"/>
        <s v="Arm Transformadores SAS"/>
        <s v="Alcanos De Colombia SA ESP"/>
        <s v="Seguritech Colombia SAS"/>
        <s v="Yipao S A S"/>
        <s v="Servicio De Ingenieria Transito Y Tecnologia SAS Sitt Y Cia SAS"/>
        <s v="Thunder Production SAS"/>
        <s v="Centak Andina SAS"/>
        <s v="Automundial SA"/>
        <s v="Corporacion San Isidro"/>
        <s v="Consultec Offshore Zona Franca SAS"/>
        <s v="The Muzo Foundation"/>
        <s v="Mapfre Seguros Generales De Colombia SA"/>
        <s v="Omnitempus Limitada"/>
        <s v="Pash SAS"/>
        <s v="Patria Investments Colombia SAS"/>
        <s v="Nutrabiotics SAS"/>
        <s v="Constructora Las Galias S A S"/>
        <s v="Larrain Vial Colombia SA Comisionista De Bolsa"/>
        <s v="Visual Point SAS"/>
        <s v="Inetum España SA Sucursal Colombia"/>
        <s v="Sec Latam Comunicaciones Estrategicas SAS"/>
        <s v="Coala Arquitectura Y Construccion SAS"/>
        <s v="Business People Unlimited SAS"/>
        <s v="Corporacion Educativa Los Nogales"/>
        <s v="Quantum Data Processing De Colombia SAS"/>
        <s v="Carolina  Bossa Obregozo"/>
        <s v="Geocol Consultores SA"/>
        <s v="Schott Envases Framaceuticos SAS"/>
        <s v="Armirene Colombia SAS"/>
        <s v="Equipos Y Controles Industriales SA"/>
        <s v="Inversiones Rueda Angel Limitada "/>
        <s v="Consultec International Sucursal Colombia "/>
        <s v="Nateevo Digital SAS"/>
        <s v="Aecsa SAS"/>
        <s v="Maria Angelica Alvarez Morales"/>
        <s v="Conjunto Residencial Monteazul Propiedad Horizontal"/>
        <s v="Orthopraxis SAS"/>
        <s v="Angie Tatiana Parra Duran"/>
        <s v="Cementos Tequendama SAS"/>
        <s v="Jeison Stiven Baldion Prieto"/>
        <s v="Servimeters SAS"/>
        <s v="Thomas Processing &amp; System SAS"/>
        <s v="Enfragen Colombia SAS"/>
        <s v="Lineas Tecnicas De Cargamentos SAS"/>
        <s v="Buho Media SAS"/>
        <s v="Marketing Services De Colombia SAS"/>
        <s v="Iglesia Cristiana De Los Testigos De Jehova"/>
        <s v="Agp Representaciones SAS"/>
        <s v="Ittera De Colombia SAS"/>
        <s v="Ensembleiq Inc"/>
        <s v="Cosco Shipping Lines Colombia SAS"/>
        <s v="Jmv Construktora SAS"/>
        <s v="Am Medical SAS"/>
        <s v="Quad Graphics Colombia SAS"/>
        <s v="Empacor SA"/>
        <s v="Zona Franca Pir SAS"/>
        <s v="E C Cargo S A S"/>
        <s v="Asociacion Nacional De Comercio Exterior"/>
        <s v="Cooperativa Multiactiva Familiar De La Superintendencia Financiera De Colombia"/>
        <s v="General Business Machines De Colombia SAS"/>
        <s v="Inversiones Proxima Centauri SAS"/>
        <s v="Scania Finance Colombia SAS"/>
        <s v="Creative Colors SA"/>
        <s v="Teleset SAS"/>
        <s v="Alimentos Thearion Suqa SAS"/>
        <s v="Concentrix Cvg Customer Management Colombia SAS"/>
        <s v="Challenger SAS"/>
        <s v="Buentipo Anchor Worldwide SAS"/>
        <s v="Rio Technology S.A.S"/>
        <s v="Green Emerald Mining Services SAS"/>
        <s v="Colombian Shared Services SAS"/>
        <s v="Sinnetic SAS"/>
        <s v="Arcelor Mittal International Colombia SAS"/>
        <s v="Tecnologia Plastica Tecnosa SAS"/>
        <s v="Universidad De La Sabana"/>
        <s v="Ambientti Constructora Inmobiliaria S A S"/>
        <s v="Orica Colombia SAS"/>
        <s v="Publicaciones Semana SA"/>
        <s v="Logiztik Alliance Group SAS"/>
        <s v="Gestion De Activos Tecni SAS"/>
        <s v="Distribuidora Los Coches La Sabana SAS"/>
        <s v="Sabanalac SAS"/>
        <s v="Integral Solutions Sd S A S"/>
        <s v="Bythewave SAS"/>
        <s v="Seaboard De Colombia SAS"/>
        <s v="Akila S A S"/>
        <s v="Impacta Btl S A S"/>
        <s v="B i SAS"/>
        <s v="Yara Colombia SA"/>
        <s v="Mario David Garcia Atra"/>
        <s v="La Font SAS"/>
        <s v="L&amp;D Equipos Y Fundaciones SAS"/>
        <s v="Informa Colombia SA"/>
        <s v="Dental 83 SAS"/>
        <s v="Phoenix Tower International Colombia Ltda"/>
        <s v="Road Track De Colombia SAS"/>
        <s v="Fundacion Ao Latino America"/>
        <s v="Central SAS"/>
        <s v="Maurel &amp; Prom Colombia B.V."/>
        <s v="Extractora La Gloria SAS"/>
        <s v="Tecses S A S "/>
        <s v="Evertec Colombia SAS"/>
        <s v="Kala Colombia S A S"/>
        <s v="Sociedad Salesiana Inspectoria De Bogota"/>
        <s v="Almacenadora Interamericana De Carga SAS"/>
        <s v="Siderurgica Del Occidente SAS Sidoc SAS"/>
        <s v="Invergran Sociedad Por Acciones Simplificada"/>
        <s v="S L Research Colombia SAS"/>
        <s v="Norlab SAS"/>
        <s v="Ditexcon SAS Sociedad De Comercializacion Internacional  CI SAS"/>
        <s v="Club Campestre El Rancho"/>
        <s v="Operador Alia Sas"/>
        <s v="Fundacion Alejandro Angel Escobar"/>
        <s v="Grupo Y SAS"/>
        <s v="Yunex SAS"/>
        <s v="Bulkmatic De Colombia SAS"/>
        <s v="Hoteles Bogota Plaza SA"/>
        <s v="Montt Colombia SAS"/>
        <s v="MDV Distribuidora SAS"/>
        <s v="Vinmar Colombia SAS"/>
        <s v="Fundacion Colombiana Del Corazon "/>
        <s v="Pasar Express SAS"/>
        <s v="Milsen SAS"/>
        <s v="Persea Colombia SAS"/>
        <s v="Caracol Television SA"/>
        <s v="Data File SA"/>
        <s v="T-Vapan 500 S A S"/>
        <s v="Provenzal SAS"/>
        <s v="Mct SAS"/>
        <s v="Biocidas Y Quimicos SAS"/>
        <s v="Fondo De Empleados De Sierracol Energy Arauca LLC"/>
        <s v="Grupo De Entretenimiento La Unica SAS"/>
        <s v="Agropecuaria La Trinidad Dos SAS"/>
        <s v="Unitoys Colombia SAS"/>
        <s v="Aldeas Infantiles SOS Colombia"/>
        <s v="Ajecolombia SAS"/>
        <s v="Palladium Colombia SAS"/>
        <s v="Multiviajes LTDA"/>
        <s v="Sociedad Operadora 72 Gran Hotel SAS"/>
        <s v="Brink´S Incorporated Sucursal Colombia"/>
        <s v="Fusionhit Inc"/>
        <s v="Clm Colombia SAS"/>
        <s v="Bmi Colombia Compañia De Seguros De Vida SA"/>
        <s v="Angelica Maria Chala Vidal"/>
        <s v="Promotora Corcega S A S"/>
        <s v="Jasbleidy Johana Mojica Muñoz"/>
        <m/>
        <s v="Clinica Los Nogales SAS" u="1"/>
        <s v="Concremack SAS" u="1"/>
        <s v="Servicios Especializados De Tecnologia E Informatica SETI SAS" u="1"/>
        <s v="Logistica De Carga Especializada Multimodal ( LOGICEM) SAS" u="1"/>
        <s v="Jorge Stiven Peña Reinoso" u="1"/>
        <s v="Biomax Biocombustibles SA" u="1"/>
        <s v="Grupo Empresarial Crear De Colombia " u="1"/>
        <s v="Rcn Television SA" u="1"/>
        <s v="Mccann Erickson Corporation SA" u="1"/>
        <s v="Sebastian Francisco Novoa Campos" u="1"/>
        <s v="Ajover Darnel SAS" u="1"/>
        <s v="Representaciones Del Mundo SAS Repremundo" u="1"/>
        <s v="Logistica Y Distribucion Especializada L&amp;D SAS" u="1"/>
        <s v="Valrex S A S " u="1"/>
        <s v="Castor Data SAS" u="1"/>
        <s v="Morelco SAS" u="1"/>
        <s v="Consycom SAS" u="1"/>
        <s v="Algranel SA" u="1"/>
        <s v="Donucafe SAS" u="1"/>
        <s v="Donucol SA" u="1"/>
        <s v="Grupo Microsistemas Colombia SAS " u="1"/>
        <s v="Wsp Ingenieria Colombia SAS" u="1"/>
        <s v="Sofka Technologies SAS" u="1"/>
        <s v="Textiles 1X1 SAS" u="1"/>
        <s v="Avidesa De Occidente SA" u="1"/>
        <s v="Cieno Group SAS" u="1"/>
        <s v="Atton Bogota 93 SAS" u="1"/>
        <s v="Covisian Colombia S A S " u="1"/>
        <s v="Eli Lilly Interamerica Inc" u="1"/>
        <s v="Hidrocarburos Del Casanare SAS" u="1"/>
        <s v="Zeven Cargo SAS" u="1"/>
        <s v="Pdc Vinos Y Licores SAS" u="1"/>
        <s v="Centennial Towers Colombia S A S" u="1"/>
        <s v="Atrevia Colombia S A S" u="1"/>
        <s v="Placecol SA" u="1"/>
        <s v="Metritha Capital Partners SAS" u="1"/>
        <s v="Liti Tax SAS" u="1"/>
        <s v="Centro Colombo Americano" u="1"/>
        <s v="Wood Engineering &amp; Consultancy Colombia SAS" u="1"/>
        <s v="Apicom SAS" u="1"/>
        <s v="Saenz Fety S A S" u="1"/>
        <s v="Break It Btl SAS" u="1"/>
        <s v="Sony Music Entertainment Colombia SA" u="1"/>
        <s v="Agrointegral Andina SAS" u="1"/>
        <s v="Colintrans SAS" u="1"/>
        <s v="Transportes T E V SAS" u="1"/>
        <s v="Gehutemp SAS" u="1"/>
        <s v="Andres Camilo Correa Henao" u="1"/>
        <s v="Hidebrando  Mesa Lozano" u="1"/>
        <s v="Dayan Moises Rodriguez Cervantes" u="1"/>
        <s v="Jason Andres Quiñones Mina" u="1"/>
        <s v="Nathalia Patricia Perez Soto" u="1"/>
        <s v="Luis Daniel Triana Mariaca" u="1"/>
        <s v="NTI New Trade International Sociedad Por Acciones Simplificada" u="1"/>
        <s v="Informatica &amp; Tecnologia Stefanini SA" u="1"/>
        <s v="Cambridge LLC Sucursal Colombia" u="1"/>
        <s v="Axity Colombia Sociedad Por Acciones Simplificada" u="1"/>
        <s v="Viajes Iberoluna SAS" u="1"/>
        <s v="Grupo Empresarial Oikos SAS" u="1"/>
        <s v="Texsa De Colombia SA" u="1"/>
        <s v="Its Infocomunicacion S A S" u="1"/>
        <s v="Covinoc S A " u="1"/>
        <s v="Consultoria Colombiana SA" u="1"/>
        <s v="Lci - Fundacion Tecnologica" u="1"/>
        <s v="Schneider Electric De Colombia S A S" u="1"/>
        <s v="Centro Recreacional De Oficiales Bogota" u="1"/>
        <s v="Globallogic Colombia SAS" u="1"/>
        <s v="Ducamotocol SAS" u="1"/>
        <s v="Perenco Oil And Gas Colombia Limited" u="1"/>
        <s v="Dynamo Producciones SAS" u="1"/>
        <s v="Sutex SAS" u="1"/>
        <s v="Vigilancia Santafereña Y Cia Ltda" u="1"/>
        <s v="Natura Cosmeticos LTDA" u="1"/>
        <s v="Kraussmaffei Group Andina SAS" u="1"/>
        <s v="Gamboa &amp; Chalela SAS" u="1"/>
        <s v="Transparencia Por Colombia O Corporacion Transparencia Por Colombia " u="1"/>
        <s v="Interworld Freight SAS" u="1"/>
        <s v="Kantar Worldpanel Peru SA Sucursal Colombia" u="1"/>
        <s v="Yaap Logistc SAS" u="1"/>
        <s v="Lida Raquel Bernada Vasquez Veroy" u="1"/>
        <s v="Thermoform SAS" u="1"/>
        <s v="Empresa De Servicios Y Soluciones Electromecanicas Emselec S A S" u="1"/>
        <s v="Productora De Alambres Colombianos Proalco SAS" u="1"/>
        <s v="Green Superfood SAS" u="1"/>
        <s v="Entidad Promotora De Salud Sanitas SAS En Intervencion Bajo La Medida De Toma De Posesion" u="1"/>
        <s v="Unifianza SA" u="1"/>
        <s v="Esenttia Masterbatch Ltda" u="1"/>
        <s v="Intempo SAS" u="1"/>
        <s v="Embotelladora Capri Ltda" u="1"/>
        <s v="Prosegur Tecnologia SAS" u="1"/>
        <s v="Torreflex SAS" u="1"/>
        <s v="Hilton Worldwide Manage Branchco Limited" u="1"/>
        <s v="Central De Insumos Y Materias Primas Para La Industria Alimentaria SAS" u="1"/>
        <s v="Asercontact Bpo SAS" u="1"/>
        <s v="Partequipos S A S" u="1"/>
        <s v="Asesores De Sistemas Especializados En Software SAS Asesoftware SAS" u="1"/>
        <s v="Instinto Music Group SAS" u="1"/>
        <s v="Miniso Colombia SAS" u="1"/>
        <s v="Carbe SAS" u="1"/>
        <s v="Administradora Country SAS" u="1"/>
        <s v="Gas Zipa SAS ESP" u="1"/>
        <s v="Atomy Colombia SAS" u="1"/>
        <s v="Pegsa LTDA" u="1"/>
        <s v="A3sec SAS" u="1"/>
        <s v="Operacion Y Mantenimiento Integral De Activos Colombia SAS" u="1"/>
        <s v="Centro De Abastos Agropecuarios SAS" u="1"/>
        <s v="Negratin Colombia S A S" u="1"/>
        <s v="Compañia Colombiana De Seguridad Transbank LTDA" u="1"/>
        <s v="Fondo De Empleados Organizacion Ramo Sigla Feor" u="1"/>
        <s v="Perenco Colombia Limited" u="1"/>
        <s v="Trimco SAS" u="1"/>
        <s v="Mts Consultoria + Gestion SAS" u="1"/>
        <s v="Isi Emerging Markets Colombia SAS" u="1"/>
        <s v="Qmax Solutions Colombia" u="1"/>
        <s v="Comunican SA" u="1"/>
        <s v="Farmalogica SA" u="1"/>
        <s v="Ivesur Colombia SA" u="1"/>
        <s v="Inetum Colombia SAS" u="1"/>
        <s v="Correcol SA" u="1"/>
        <s v="Altea Farmaceutica SA" u="1"/>
        <s v="Mercantil Colpatria SAS" u="1"/>
        <s v="Consorcio Interprosperidad" u="1"/>
        <s v="Decowraps Colombia SAS" u="1"/>
        <s v="Fundacion Milpa" u="1"/>
        <s v="Tivit Colombia Tecnologia S A S " u="1"/>
        <s v="Marcali SA" u="1"/>
        <s v="Concentrix Crm Colombia SAS" u="1"/>
        <s v="Alimentos Balanceados Tequendama SA Albateq SA" u="1"/>
        <s v="Colombia Trade House SAS" u="1"/>
        <s v="Lincoln Soldaduras De Colombia Ltda" u="1"/>
        <s v="Naves SAS" u="1"/>
        <s v="Sociedad Colombiana De Pediatria" u="1"/>
        <s v="Casahidalgo Constructores SAS" u="1"/>
        <s v="Vital Autoservicios SAS" u="1"/>
        <s v="Ueta Inc Sucursal Colombia" u="1"/>
        <s v="Ovante Sociedad Por Acciones Simplificada" u="1"/>
        <s v="Automated Cfo SAS" u="1"/>
        <s v="Electricos Importados SAS" u="1"/>
        <s v="Cumbre Ingenieria Sas" u="1"/>
        <s v="Fondo De Empleados Fedeaa" u="1"/>
        <s v="Bawer Company SAS" u="1"/>
        <s v="Pa Colombia SAS" u="1"/>
        <s v="Patrimonios Autonomos Fiduciaria Corficolombiana SA" u="1"/>
        <s v="Proyectos De Inversion Vial Del Oriente SAS" u="1"/>
        <s v="Aon Risk Services Colombia S A Corredores De Seguros Pero Podra Girar Bajo La Sigla Aon Colombia S A" u="1"/>
        <s v="Duquesa SA. BIC" u="1"/>
        <s v="Np Diseño Y Construccion SAS" u="1"/>
        <s v="Center For International Private Enterprise Inc" u="1"/>
        <s v="Allmark Comercial De Colombia SA" u="1"/>
        <s v="Editorial Libros Y Libros SAS" u="1"/>
        <s v="Flota La Macarena SA" u="1"/>
        <s v="Fractalia Colombia SAS" u="1"/>
        <s v="Awp Colombia SAS" u="1"/>
        <s v="Mondi Cartagena SAS" u="1"/>
        <s v="Marcali Sakura SAS" u="1"/>
        <s v="Euro Marcali SAS" u="1"/>
        <s v="Marcali Internacional SA" u="1"/>
        <s v="Inversiones En Recreacion Deporte Y Salud SA" u="1"/>
        <s v="Agrocampo SAS" u="1"/>
        <s v="Racafe &amp; Cia SCA" u="1"/>
        <s v="Palmeras Del Llano SAS Bic" u="1"/>
        <s v="Banco De Occidente" u="1"/>
        <s v="Falabella.com SAS" u="1"/>
        <s v="Consorcio 3B ACI" u="1"/>
        <s v="Eliseo Urrego E Hijos SAS" u="1"/>
        <s v="Mectronics SA Siendo Su Nombre Abreviado Para Efectos Comerciales Mectronics" u="1"/>
        <s v="Anditel SAS" u="1"/>
        <s v="Editorial Nomos SA" u="1"/>
        <s v="Kmc SAS" u="1"/>
        <s v="Robertet Andina S A S" u="1"/>
        <s v="Compañia Nacional De Levaduras Levapan SA" u="1"/>
        <s v="EDF Renewables Colombia SAS" u="1"/>
        <s v="Cabarria IQA SAS" u="1"/>
        <s v="Bel Star SA" u="1"/>
        <s v="Durman Colombia SAS" u="1"/>
        <s v="Corporacion Club Campestre Los Arrayanes" u="1"/>
        <s v="Proarca Colombia SAS" u="1"/>
        <s v="Zmo Fontibon V SAS" u="1"/>
        <s v="Universal Travel Assistance SAS" u="1"/>
        <s v="Yazaki Ciemel SA" u="1"/>
        <s v="Construcciones Obycon SAS" u="1"/>
        <s v="Consultora Central SAS Bic" u="1"/>
        <s v="Darli Alexandra Muñoz Cuadros" u="1"/>
        <s v="Manufacturas Reymon SA" u="1"/>
        <s v="Distribuidora Mayorista De Automoviles Madiautos SAS" u="1"/>
        <s v="Rematec SAS" u="1"/>
        <s v="Opciones Administrativas S A S " u="1"/>
        <s v="Fondo De Empleados De La Superintendecia Financiera De Colombia" u="1"/>
        <s v="Embajada De La República Federal De Alemania" u="1"/>
        <s v="Institucion De Educacion Tecnologica Internacional - UNIVERSAE" u="1"/>
        <s v="Frosch Colombia SAS" u="1"/>
        <s v="Unidossis SAS" u="1"/>
        <s v="Modum SAS" u="1"/>
        <s v="Beauty International Brands SAS" u="1"/>
        <s v="Easy Logistica De Marketing SAS" u="1"/>
        <s v="Codificacion &amp; Etiquetado SA" u="1"/>
        <s v="Recursos Y Soluciones Corporativas SAS" u="1"/>
        <s v="Terminales Automotrices SA En Reorganizacion" u="1"/>
        <s v="Montagas SA Empresa De Servicios Publicos Domiciliarios Montagas SA ESP" u="1"/>
        <s v="Econnabis S A S" u="1"/>
        <s v="Juliana Maritza Zarate Jimenez" u="1"/>
        <s v="Operadora Portuaria Del Caribe SAS" u="1"/>
        <s v="Corporacion Sin Animo De Lucro Pueblo Viejo Country Club" u="1"/>
        <s v="Finanzauto SA BIC" u="1"/>
        <s v="Bbdo Colombia SAS" u="1"/>
        <s v="Promotora Antique SAS" u="1"/>
        <s v="Improve Quality Reduce Cost Save Lifes Auditores SAS" u="1"/>
        <s v="Integral SA" u="1"/>
        <s v="Robert Bosch Ltda" u="1"/>
        <s v="Paneltec SAS" u="1"/>
        <s v="Sociedad Portuaria Regional De Buenaventura S A  S.P.R. BUN" u="1"/>
        <s v="Colnotex SAS" u="1"/>
        <s v="Ingetec Gerencia &amp; Supervision S A S " u="1"/>
        <s v="Sacyr Concesiones Colombia S A S" u="1"/>
        <s v="Atp Ingenieria SAS En Reorganizacion" u="1"/>
        <s v="Plus Ambiente SAS ESP" u="1"/>
        <s v="Gabrica SAS" u="1"/>
        <s v="Astara Colombia SAS" u="1"/>
        <s v="Mendebal SAS" u="1"/>
        <s v="Markia SA" u="1"/>
        <s v="Consorcio Inemec PYC" u="1"/>
        <s v="Selectiva SAS" u="1"/>
        <s v="Agunsa Colombia SAS" u="1"/>
        <s v="Monterra Productora Y Comercializadora Agroindustrial Colombiana SAS" u="1"/>
        <s v="Messer Colombia SA" u="1"/>
        <s v="Protocol System SAS" u="1"/>
        <s v="Asociacion Colombiana De Droguistas Detallistas Asocoldro" u="1"/>
        <s v="Ball Colombia Limitada" u="1"/>
        <s v="Consorcio Tm 24" u="1"/>
        <s v="Servihosp LTDA" u="1"/>
        <s v="Touring &amp; Automovil Club De Colombia Acc" u="1"/>
        <s v="Fundacion Challenger" u="1"/>
        <s v="Cosalco Colombia SAS" u="1"/>
        <s v="Trafigura De Colombia PTY SAS" u="1"/>
        <s v="Ecolor Print SAS" u="1"/>
        <s v="W Colombia SAS" u="1"/>
        <s v="Sociedad Puerto Industrial Aguadulce SA" u="1"/>
        <s v="Consorcio Probogota 22 " u="1"/>
        <s v="Centro De Diagnostico Y Tratamiento Cendiatra Sociedad Por Acciones Simplificada" u="1"/>
        <s v="Cwt Ecenter Colombia SAS" u="1"/>
        <s v="Acuameunier SAS" u="1"/>
        <s v="Trans Rubiales SAS" u="1"/>
        <s v="Grupo Oet S A S " u="1"/>
        <s v="Disan Colombia SAS" u="1"/>
        <s v="Comercializadora Arturo Calle SAS" u="1"/>
        <s v="Heller International SAS" u="1"/>
        <s v="Madex Group Ltda" u="1"/>
        <s v="Industria Colombiana De Llantas SA" u="1"/>
        <s v="Books And Books Ltda" u="1"/>
        <s v="Logimat S A S" u="1"/>
        <s v="Asch Infraestructura SAS" u="1"/>
        <s v="Banco Jpmorgan Colombia SA" u="1"/>
        <s v="Anasac Colombia Ltda" u="1"/>
        <s v="Sergio Adrian Gonzalez Mahecha" u="1"/>
        <s v="Ip Ingenieria De Produccion SAS" u="1"/>
        <s v="Cooperativa De Trabajo Asociado De Asesores En Inversiones" u="1"/>
        <s v="Consorcio Metalurgico Nacional SAS" u="1"/>
        <s v="Elanco Colombia SAS" u="1"/>
        <s v="Instrumentos Y Automatismos SAS" u="1"/>
        <s v="Agency Within LLC" u="1"/>
        <s v="Proshale Colombia S A S " u="1"/>
        <s v="Parque Industrial Malambo SA" u="1"/>
        <s v="Inversiones Esteban Y Cia S En CS" u="1"/>
        <s v="Ionix Colombia SAS" u="1"/>
        <s v="Estyma Estudios Y  Manejos SA" u="1"/>
        <s v="Acaire" u="1"/>
        <s v="Rms Diseños Y Construccion SAS" u="1"/>
        <s v="Diseño Y Aplicaciones De Ingenieria Ltda" u="1"/>
        <s v="Organizacion 4 M S A S" u="1"/>
        <s v="Lemco SAS" u="1"/>
        <s v="Capitalbus SAS" u="1"/>
        <s v="Silvher SAS" u="1"/>
        <s v="Logistica Repremundo SAS" u="1"/>
        <s v="Repremundo Industrial De Servicios SAS" u="1"/>
        <s v="Repremundo Industrial Del Valle SAS" u="1"/>
        <s v="Map Cargo SAS" u="1"/>
        <s v="Agencia De Aduanas Siaco SAS Nivel 1" u="1"/>
        <s v="Pluxee Colombia SAS" u="1"/>
        <s v="Certeam SAS" u="1"/>
        <s v="Grupo Agroindustrial Hacienda La Gloria SA Sucursal Colombia" u="1"/>
        <s v="Conferencia Episcopal De Colombia" u="1"/>
        <s v="Imc Cargo International S A S" u="1"/>
        <s v="Proyecto Edificio Calle 96 S A S " u="1"/>
        <s v="Inter Expo SA" u="1"/>
        <s v="Cameleco SAS" u="1"/>
        <s v="Coha SAS" u="1"/>
        <s v="Condor Specialty Coffee SAS" u="1"/>
        <s v="Confederacion Colombiana De Camaras De Comercio Confecamaras" u="1"/>
        <s v="Centro Medico Oftalmologico Y Laboratorio Clinico Andrade Narvaez Sociedad Por Acciones Simplificada" u="1"/>
        <s v="Pavco De Occidente SAS" u="1"/>
        <s v="C&amp;M Consultores SAS" u="1"/>
        <s v="Marsela  Lopez Ahumada" u="1"/>
        <s v="Centro Comercial Portal De La 80 - Propiedad Horizontal" u="1"/>
        <s v="Kluane Colombia SAS" u="1"/>
        <s v="Soplascol SAS" u="1"/>
        <s v="Opentecnologia SA" u="1"/>
        <s v="Proteccion Agropecuaria De Colombia SAS" u="1"/>
        <s v="Corporacion Financiera Colombiana S A" u="1"/>
        <s v="BP Constructores SA" u="1"/>
        <s v="Fti Consulting SAS" u="1"/>
        <s v="Consorcio Sisben SV 2024" u="1"/>
        <s v="E-Motion Global SAS" u="1"/>
        <s v="Consorcio Ruta 40" u="1"/>
        <s v="Arpro Arquitectos Ingenieros SA" u="1"/>
        <s v="Fundacion Msi Colombia " u="1"/>
        <s v="Boydorr Nutrition SAS" u="1"/>
        <s v="Reyes Tours SAS" u="1"/>
        <s v="Stem Medicina Regenerativa SAS" u="1"/>
        <s v="Almomento SA" u="1"/>
        <s v="CI Ozi International SAS" u="1"/>
        <s v="Partequipos Maquinaria S A S" u="1"/>
        <s v="Tecniglobal De Colombia SAS" u="1"/>
        <s v="Asociación Cristiana De Jovenes De Bogotá Y Cundinamarca ACJ Y MCA" u="1"/>
        <s v="Comunidad De Hermanos Maristas De La Enseñanza" u="1"/>
        <s v="Constructora Obreval SA" u="1"/>
        <s v="Automayor SA" u="1"/>
        <s v="Avalon Pharmaceutical SA" u="1"/>
        <s v="Fraco Fabrica Colombiana De Repuestos Automotores SA Fraco SA" u="1"/>
        <s v="Extrusa De Colombia SAS" u="1"/>
        <s v="Politecnico Grancolombiano" u="1"/>
        <s v="Embajada De La Republica Argentina" u="1"/>
        <s v="Eimy Yaritza Cogollo Cubillos" u="1"/>
        <s v="Atp Integridad Y Corrosion SAS" u="1"/>
        <s v="Imaging Experts And Healthcare Services SAS" u="1"/>
        <s v="Process Intelligent Business &amp; Technology SAS" u="1"/>
        <s v="Ga Communications Inc" u="1"/>
        <s v="Oscar Alejandro Beltran Garzon" u="1"/>
        <s v="Intexus S A S" u="1"/>
        <s v="Jose Lloreda Camacho &amp; CO SAS" u="1"/>
        <s v="Rafael Francisco Novoa Palladino" u="1"/>
        <s v="Karent Yescenia Carrillo Marin" u="1"/>
        <s v="Nicomar Electronics SA" u="1"/>
        <s v="Actual Constructora SAS" u="1"/>
        <s v="Actual Colombia Inmobiliaria SAS" u="1"/>
        <s v="E Commerce Logistics SAS" u="1"/>
        <s v="Manuela  Preciado Cortes" u="1"/>
        <s v="P&amp;P Systems Colombia SAS En Reorganizacion " u="1"/>
      </sharedItems>
    </cacheField>
    <cacheField name="IVA" numFmtId="0">
      <sharedItems containsString="0" containsBlank="1" containsNumber="1" minValue="0" maxValue="43022840"/>
    </cacheField>
    <cacheField name="ICA" numFmtId="0">
      <sharedItems containsString="0" containsBlank="1" containsNumber="1" containsInteger="1" minValue="0" maxValue="0"/>
    </cacheField>
    <cacheField name="IPC" numFmtId="0">
      <sharedItems containsString="0" containsBlank="1" containsNumber="1" containsInteger="1" minValue="0" maxValue="0"/>
    </cacheField>
    <cacheField name="Total" numFmtId="0">
      <sharedItems containsString="0" containsBlank="1" containsNumber="1" minValue="6902" maxValue="269458840"/>
    </cacheField>
    <cacheField name="Estado" numFmtId="0">
      <sharedItems containsBlank="1"/>
    </cacheField>
    <cacheField name="Grupo" numFmtId="0">
      <sharedItems containsBlank="1"/>
    </cacheField>
    <cacheField name="1 ACUSE" numFmtId="0">
      <sharedItems containsBlank="1" count="2">
        <m/>
        <s v="X"/>
      </sharedItems>
    </cacheField>
    <cacheField name="2 ACUSE" numFmtId="0">
      <sharedItems containsBlank="1" count="2">
        <m/>
        <s v="X"/>
      </sharedItems>
    </cacheField>
    <cacheField name="3 ACUSE" numFmtId="0">
      <sharedItems containsBlank="1" count="3">
        <m/>
        <s v="X"/>
        <s v=" " u="1"/>
      </sharedItems>
    </cacheField>
    <cacheField name="RECHAZADA" numFmtId="0">
      <sharedItems containsBlank="1" count="2">
        <m/>
        <s v="x"/>
      </sharedItems>
    </cacheField>
    <cacheField name="SIN ACUSE" numFmtId="0">
      <sharedItems containsBlank="1" count="3">
        <s v="X"/>
        <m/>
        <s v=" " u="1"/>
      </sharedItems>
    </cacheField>
    <cacheField name="YA PAGA  EN SISTEMA" numFmtId="0">
      <sharedItems containsBlank="1" count="3">
        <m/>
        <s v="X"/>
        <s v=" " u="1"/>
      </sharedItems>
    </cacheField>
    <cacheField name="OBSERVACIONES" numFmtId="0">
      <sharedItems containsBlank="1"/>
    </cacheField>
  </cacheFields>
  <extLst>
    <ext xmlns:x14="http://schemas.microsoft.com/office/spreadsheetml/2009/9/main" uri="{725AE2AE-9491-48be-B2B4-4EB974FC3084}">
      <x14:pivotCacheDefinition pivotCacheId="185958771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34">
  <r>
    <s v="Factura electrónica"/>
    <s v="93074bd740e997c307276fd40785578d26c7149dc6b0d390ff1974e2c5f279a631512f4baded1b8c191af974e7426fa0"/>
    <x v="0"/>
    <n v="-1"/>
    <s v="FVE"/>
    <s v="06-01-2026"/>
    <s v="06-01-2026 06:51:28"/>
    <s v="900800595"/>
    <s v="Provexpress SAS"/>
    <s v="900453990"/>
    <x v="0"/>
    <n v="362673.14"/>
    <n v="0"/>
    <n v="0"/>
    <n v="2271479.14"/>
    <s v="Aprobado con notificación"/>
    <s v="Emitido"/>
    <x v="0"/>
    <x v="0"/>
    <x v="0"/>
    <x v="0"/>
    <x v="0"/>
    <x v="0"/>
    <m/>
  </r>
  <r>
    <s v="Factura electrónica"/>
    <s v="fe8bb6ec891cf48d8975d938ab00cd2b348b0f748ba29dff5a0fe901ac0fad276781cdc6dabcba91f8833e4adf81bed8"/>
    <x v="1"/>
    <n v="-1"/>
    <s v="FVE"/>
    <s v="06-01-2026"/>
    <s v="06-01-2026 06:51:33"/>
    <s v="900800595"/>
    <s v="Provexpress SAS"/>
    <s v="901662739"/>
    <x v="1"/>
    <n v="0"/>
    <n v="0"/>
    <n v="0"/>
    <n v="19962970"/>
    <s v="Aprobado con notificación"/>
    <s v="Emitido"/>
    <x v="1"/>
    <x v="0"/>
    <x v="0"/>
    <x v="0"/>
    <x v="1"/>
    <x v="0"/>
    <m/>
  </r>
  <r>
    <s v="Factura electrónica"/>
    <s v="43042fb18294caecd13113422e319846f9c8933dd7316e622324e1c8aae2bc4c1996956121f1462cbdb413faec394a2c"/>
    <x v="2"/>
    <n v="-1"/>
    <s v="FVE"/>
    <s v="06-01-2026"/>
    <s v="06-01-2026 06:51:37"/>
    <s v="900800595"/>
    <s v="Provexpress SAS"/>
    <s v="830095970"/>
    <x v="2"/>
    <n v="0"/>
    <n v="0"/>
    <n v="0"/>
    <n v="19962970"/>
    <s v="Aprobado con notificación"/>
    <s v="Emitido"/>
    <x v="1"/>
    <x v="0"/>
    <x v="0"/>
    <x v="0"/>
    <x v="1"/>
    <x v="0"/>
    <m/>
  </r>
  <r>
    <s v="Factura electrónica"/>
    <s v="fe8e0145c40fedcc05a33a04d3a33746824766e163a02d2f2af536217dd3fed77f8431553fcf56eb667d7ca087f3d314"/>
    <x v="3"/>
    <n v="-1"/>
    <s v="FVE"/>
    <s v="06-01-2026"/>
    <s v="06-01-2026 07:06:50"/>
    <s v="900800595"/>
    <s v="Provexpress SAS"/>
    <s v="900682841"/>
    <x v="3"/>
    <n v="0"/>
    <n v="0"/>
    <n v="0"/>
    <n v="39925940"/>
    <s v="Aprobado con notificación"/>
    <s v="Emitido"/>
    <x v="1"/>
    <x v="0"/>
    <x v="0"/>
    <x v="0"/>
    <x v="1"/>
    <x v="0"/>
    <m/>
  </r>
  <r>
    <s v="Factura electrónica"/>
    <s v="f463a8aad17f5efc459b4375599b8f48e70411eef7fe456f56fed4a4b644fd9c4a3f13254744d420d0dcc28bac8a949b"/>
    <x v="4"/>
    <n v="-1"/>
    <s v="FVE"/>
    <s v="06-01-2026"/>
    <s v="06-01-2026 07:06:54"/>
    <s v="900800595"/>
    <s v="Provexpress SAS"/>
    <s v="800024265"/>
    <x v="4"/>
    <n v="0"/>
    <n v="0"/>
    <n v="0"/>
    <n v="19962970"/>
    <s v="Aprobado con notificación"/>
    <s v="Emitido"/>
    <x v="0"/>
    <x v="0"/>
    <x v="1"/>
    <x v="0"/>
    <x v="1"/>
    <x v="0"/>
    <m/>
  </r>
  <r>
    <s v="Factura electrónica"/>
    <s v="dcfba34922f9686abaac32c632009603e447274533d0288c6349667455ee3c93b0c3d55d6fcb999915887ec1d03d3dde"/>
    <x v="5"/>
    <n v="-1"/>
    <s v="FVE"/>
    <s v="06-01-2026"/>
    <s v="06-01-2026 07:06:59"/>
    <s v="900800595"/>
    <s v="Provexpress SAS"/>
    <s v="800125872"/>
    <x v="5"/>
    <n v="373204.65"/>
    <n v="0"/>
    <n v="0"/>
    <n v="2337439.65"/>
    <s v="Aprobado con notificación"/>
    <s v="Emitido"/>
    <x v="0"/>
    <x v="0"/>
    <x v="0"/>
    <x v="0"/>
    <x v="1"/>
    <x v="1"/>
    <s v="PAGA EN EL SISTEMA 27/02/2026"/>
  </r>
  <r>
    <s v="Factura electrónica"/>
    <s v="b60ba283e3653a668d1a062efda350e75177d7a5418581d079093e09c43c215411b03a513fcd1970a8ae3d68856c525c"/>
    <x v="6"/>
    <n v="-1"/>
    <s v="FVE"/>
    <s v="06-01-2026"/>
    <s v="06-01-2026 07:07:03"/>
    <s v="900800595"/>
    <s v="Provexpress SAS"/>
    <s v="800125872"/>
    <x v="5"/>
    <n v="54253.17"/>
    <n v="0"/>
    <n v="0"/>
    <n v="339796.17"/>
    <s v="Aprobado con notificación"/>
    <s v="Emitido"/>
    <x v="1"/>
    <x v="0"/>
    <x v="0"/>
    <x v="0"/>
    <x v="1"/>
    <x v="0"/>
    <m/>
  </r>
  <r>
    <s v="Factura electrónica"/>
    <s v="8bb13292ed57504f59b6dd32fe3c1167386d3d3a550bb983be77e3d82c8c52eabed53a35e670da7b286cd7f8553a5c25"/>
    <x v="7"/>
    <n v="-1"/>
    <s v="FVE"/>
    <s v="06-01-2026"/>
    <s v="06-01-2026 07:07:09"/>
    <s v="900800595"/>
    <s v="Provexpress SAS"/>
    <s v="800125872"/>
    <x v="5"/>
    <n v="0"/>
    <n v="0"/>
    <n v="0"/>
    <n v="1865317.35"/>
    <s v="Aprobado con notificación"/>
    <s v="Emitido"/>
    <x v="0"/>
    <x v="0"/>
    <x v="0"/>
    <x v="0"/>
    <x v="1"/>
    <x v="1"/>
    <s v="PAGA EN EL SISTEMA 27/02/2026"/>
  </r>
  <r>
    <s v="Factura electrónica"/>
    <s v="94199b1deb41ac67f09fc244a0d5cff33bd57526447092b061a65f2ef454b083e7cd952ea326fb3a647088bf884322ab"/>
    <x v="8"/>
    <n v="-1"/>
    <s v="FVE"/>
    <s v="06-01-2026"/>
    <s v="06-01-2026 07:07:13"/>
    <s v="900800595"/>
    <s v="Provexpress SAS"/>
    <s v="800149384"/>
    <x v="6"/>
    <n v="461452.24"/>
    <n v="0"/>
    <n v="0"/>
    <n v="2890148.24"/>
    <s v="Aprobado con notificación"/>
    <s v="Emitido"/>
    <x v="1"/>
    <x v="0"/>
    <x v="0"/>
    <x v="0"/>
    <x v="1"/>
    <x v="0"/>
    <m/>
  </r>
  <r>
    <s v="Factura electrónica"/>
    <s v="123fb4dc2236a0301dfe2afab6c2a7ecf9bc7e4e235e3fd48c36092bfb54710a1f1349d4e619f5ec160dc0a6e085b494"/>
    <x v="9"/>
    <n v="-1"/>
    <s v="FVE"/>
    <s v="06-01-2026"/>
    <s v="06-01-2026 07:07:17"/>
    <s v="900800595"/>
    <s v="Provexpress SAS"/>
    <s v="800149384"/>
    <x v="6"/>
    <n v="2786643.74"/>
    <n v="0"/>
    <n v="0"/>
    <n v="17453189.739999998"/>
    <s v="Aprobado con notificación"/>
    <s v="Emitido"/>
    <x v="0"/>
    <x v="0"/>
    <x v="1"/>
    <x v="0"/>
    <x v="1"/>
    <x v="0"/>
    <m/>
  </r>
  <r>
    <s v="Factura electrónica"/>
    <s v="08ef3ff49ec6b065c3c6257354597af1d5c4ce3c66fba50d180291e92ad68a276716488a50f2cbe079cbc1ca50810690"/>
    <x v="10"/>
    <n v="-1"/>
    <s v="FVE"/>
    <s v="06-01-2026"/>
    <s v="06-01-2026 07:07:23"/>
    <s v="900800595"/>
    <s v="Provexpress SAS"/>
    <s v="800149384"/>
    <x v="6"/>
    <n v="245161.18"/>
    <n v="0"/>
    <n v="0"/>
    <n v="1535483.18"/>
    <s v="Aprobado con notificación"/>
    <s v="Emitido"/>
    <x v="0"/>
    <x v="0"/>
    <x v="1"/>
    <x v="0"/>
    <x v="1"/>
    <x v="0"/>
    <m/>
  </r>
  <r>
    <s v="Factura electrónica"/>
    <s v="f5bde27d37557c9c090b30582c8ecc936ec72c611addfb3b62d676875af59214852e26918d8ed6cd321a37df485edb04"/>
    <x v="11"/>
    <n v="-1"/>
    <s v="FVE"/>
    <s v="06-01-2026"/>
    <s v="06-01-2026 07:07:27"/>
    <s v="900800595"/>
    <s v="Provexpress SAS"/>
    <s v="800149384"/>
    <x v="6"/>
    <n v="3203986.53"/>
    <n v="0"/>
    <n v="0"/>
    <n v="20067073.530000001"/>
    <s v="Aprobado con notificación"/>
    <s v="Emitido"/>
    <x v="0"/>
    <x v="0"/>
    <x v="1"/>
    <x v="0"/>
    <x v="1"/>
    <x v="0"/>
    <m/>
  </r>
  <r>
    <s v="Factura electrónica"/>
    <s v="f00d2280f33fedf81a2037625549256568358830a6b08bcaaa9c34b2ca94aa821525bccb1aa9f97353a248c595bf87a4"/>
    <x v="12"/>
    <n v="-1"/>
    <s v="FVE"/>
    <s v="06-01-2026"/>
    <s v="06-01-2026 07:07:31"/>
    <s v="900800595"/>
    <s v="Provexpress SAS"/>
    <s v="800149384"/>
    <x v="6"/>
    <n v="980644.72"/>
    <n v="0"/>
    <n v="0"/>
    <n v="6141932.7199999997"/>
    <s v="Aprobado con notificación"/>
    <s v="Emitido"/>
    <x v="0"/>
    <x v="0"/>
    <x v="1"/>
    <x v="0"/>
    <x v="1"/>
    <x v="0"/>
    <m/>
  </r>
  <r>
    <s v="Factura electrónica"/>
    <s v="cb8840377dfb85915c7f912b8590e2a38bccb027232de1b397507a138031dc6b9aa3704d36144a09d379368806aa9ab3"/>
    <x v="13"/>
    <n v="-1"/>
    <s v="FVE"/>
    <s v="06-01-2026"/>
    <s v="06-01-2026 07:07:36"/>
    <s v="900800595"/>
    <s v="Provexpress SAS"/>
    <s v="800149384"/>
    <x v="6"/>
    <n v="103020.47"/>
    <n v="0"/>
    <n v="0"/>
    <n v="645233.47"/>
    <s v="Aprobado con notificación"/>
    <s v="Emitido"/>
    <x v="0"/>
    <x v="0"/>
    <x v="1"/>
    <x v="0"/>
    <x v="1"/>
    <x v="0"/>
    <m/>
  </r>
  <r>
    <s v="Factura electrónica"/>
    <s v="a91b5f70e0de3354a0dfe3a44b5c5fe4b2e1bc3fd486f558f969a550843c8b9a24f63bc4f97a861d9df1243f19aa0622"/>
    <x v="14"/>
    <n v="-1"/>
    <s v="FVE"/>
    <s v="06-01-2026"/>
    <s v="06-01-2026 07:22:47"/>
    <s v="900800595"/>
    <s v="Provexpress SAS"/>
    <s v="800149384"/>
    <x v="6"/>
    <n v="373204.65"/>
    <n v="0"/>
    <n v="0"/>
    <n v="2337439.65"/>
    <s v="Aprobado con notificación"/>
    <s v="Emitido"/>
    <x v="0"/>
    <x v="0"/>
    <x v="1"/>
    <x v="0"/>
    <x v="1"/>
    <x v="0"/>
    <m/>
  </r>
  <r>
    <s v="Factura electrónica"/>
    <s v="fe89b2af2b8522fccfb038194d6defebe93c0a3d32ee838cda4df2be101b2a71373a4ef1c3d916562dd9707cad8fb7a9"/>
    <x v="15"/>
    <n v="-1"/>
    <s v="FVE"/>
    <s v="06-01-2026"/>
    <s v="06-01-2026 07:22:52"/>
    <s v="900800595"/>
    <s v="Provexpress SAS"/>
    <s v="800149384"/>
    <x v="6"/>
    <n v="373204.65"/>
    <n v="0"/>
    <n v="0"/>
    <n v="2337439.65"/>
    <s v="Aprobado con notificación"/>
    <s v="Emitido"/>
    <x v="0"/>
    <x v="0"/>
    <x v="1"/>
    <x v="0"/>
    <x v="1"/>
    <x v="0"/>
    <m/>
  </r>
  <r>
    <s v="Factura electrónica"/>
    <s v="2ddb946c757d00f326058ae6525a094f9d2594ed7ee93cd2e151da61d46fe32e380304feea502b05452e6b9e1f79220a"/>
    <x v="16"/>
    <n v="-1"/>
    <s v="FVE"/>
    <s v="06-01-2026"/>
    <s v="06-01-2026 07:22:57"/>
    <s v="900800595"/>
    <s v="Provexpress SAS"/>
    <s v="800185773"/>
    <x v="7"/>
    <n v="373204.65"/>
    <n v="0"/>
    <n v="0"/>
    <n v="2337439.65"/>
    <s v="Aprobado con notificación"/>
    <s v="Emitido"/>
    <x v="0"/>
    <x v="0"/>
    <x v="1"/>
    <x v="0"/>
    <x v="1"/>
    <x v="0"/>
    <m/>
  </r>
  <r>
    <s v="Factura electrónica"/>
    <s v="73f4c12f6bae2fabbd6c3b03947b8ae552cff4e6a5cd1da4e23d3e3d540b61a1fa995defad0d0e481d186d97e2d90a02"/>
    <x v="17"/>
    <n v="-1"/>
    <s v="FVE"/>
    <s v="06-01-2026"/>
    <s v="06-01-2026 07:23:01"/>
    <s v="900800595"/>
    <s v="Provexpress SAS"/>
    <s v="860078828"/>
    <x v="8"/>
    <n v="0"/>
    <n v="0"/>
    <n v="0"/>
    <n v="7390248"/>
    <s v="Aprobado con notificación"/>
    <s v="Emitido"/>
    <x v="0"/>
    <x v="0"/>
    <x v="0"/>
    <x v="0"/>
    <x v="1"/>
    <x v="1"/>
    <s v="PAGA EN EL SISTEMA 27/02/2026"/>
  </r>
  <r>
    <s v="Factura electrónica"/>
    <s v="bd84cc834d8531837bb4c601a6b65bf624b904af73e32fb52d6e6fc98a178af80b1ecff368e0eb6b8254583a20096f52"/>
    <x v="18"/>
    <n v="-1"/>
    <s v="FVE"/>
    <s v="06-01-2026"/>
    <s v="06-01-2026 07:23:06"/>
    <s v="900800595"/>
    <s v="Provexpress SAS"/>
    <s v="901493815"/>
    <x v="9"/>
    <n v="35764.839999999997"/>
    <n v="0"/>
    <n v="0"/>
    <n v="224000.84"/>
    <s v="Aprobado con notificación"/>
    <s v="Emitido"/>
    <x v="0"/>
    <x v="0"/>
    <x v="1"/>
    <x v="0"/>
    <x v="1"/>
    <x v="0"/>
    <m/>
  </r>
  <r>
    <s v="Factura electrónica"/>
    <s v="9165aa2948dc7f7685e0aec43193bada13fe383418f4bedcca9cdeaaf01a20171d6220ccdec430142e6ccc3ac45fd7e4"/>
    <x v="19"/>
    <n v="-1"/>
    <s v="FVE"/>
    <s v="06-01-2026"/>
    <s v="06-01-2026 07:23:11"/>
    <s v="900800595"/>
    <s v="Provexpress SAS"/>
    <s v="901485933"/>
    <x v="10"/>
    <n v="373204.65"/>
    <n v="0"/>
    <n v="0"/>
    <n v="2337439.65"/>
    <s v="Aprobado con notificación"/>
    <s v="Emitido"/>
    <x v="0"/>
    <x v="0"/>
    <x v="0"/>
    <x v="0"/>
    <x v="0"/>
    <x v="0"/>
    <m/>
  </r>
  <r>
    <s v="Factura electrónica"/>
    <s v="03f28dafd3dbed1b2c0b824fe85cfa30c5f788139cd3ec4f4fa4eb6048a6de6216046f36ed8e780bbb7cd906edf493f7"/>
    <x v="20"/>
    <n v="-1"/>
    <s v="FVE"/>
    <s v="06-01-2026"/>
    <s v="06-01-2026 07:23:16"/>
    <s v="900800595"/>
    <s v="Provexpress SAS"/>
    <s v="830015429"/>
    <x v="11"/>
    <n v="0"/>
    <n v="0"/>
    <n v="0"/>
    <n v="4197080.16"/>
    <s v="Aprobado con notificación"/>
    <s v="Emitido"/>
    <x v="0"/>
    <x v="0"/>
    <x v="0"/>
    <x v="0"/>
    <x v="1"/>
    <x v="1"/>
    <s v="PAGA EN SISTEMA 24/02/2026"/>
  </r>
  <r>
    <s v="Factura electrónica"/>
    <s v="1f3c07dd53894bdc21299c529550e2f92aefb200e42877b0ea72546c46c3e02e721232007923318e4426822ea636a215"/>
    <x v="21"/>
    <n v="-1"/>
    <s v="FVE"/>
    <s v="06-01-2026"/>
    <s v="06-01-2026 07:23:20"/>
    <s v="900800595"/>
    <s v="Provexpress SAS"/>
    <s v="900022253"/>
    <x v="12"/>
    <n v="57783.75"/>
    <n v="0"/>
    <n v="0"/>
    <n v="361908.75"/>
    <s v="Aprobado con notificación"/>
    <s v="Emitido"/>
    <x v="0"/>
    <x v="0"/>
    <x v="0"/>
    <x v="0"/>
    <x v="1"/>
    <x v="0"/>
    <m/>
  </r>
  <r>
    <s v="Factura electrónica"/>
    <s v="92303dca04433da38ff8161e03dfa04240cac2808e3a08b77b5d1d6d744c544f12ea9f5b371296395185c3c157c1e5f8"/>
    <x v="22"/>
    <n v="-1"/>
    <s v="FVE"/>
    <s v="06-01-2026"/>
    <s v="06-01-2026 07:23:25"/>
    <s v="900800595"/>
    <s v="Provexpress SAS"/>
    <s v="800251440"/>
    <x v="13"/>
    <n v="52064.94"/>
    <n v="0"/>
    <n v="0"/>
    <n v="326090.94"/>
    <s v="Aprobado con notificación"/>
    <s v="Emitido"/>
    <x v="0"/>
    <x v="0"/>
    <x v="0"/>
    <x v="0"/>
    <x v="1"/>
    <x v="1"/>
    <s v="PAGA EN EL SISTEMA 27/02/2026"/>
  </r>
  <r>
    <s v="Factura electrónica"/>
    <s v="00e5c221b2161c5e5eeb9a8f365ab3daf0a1dd3c76e44aa317c31511ba0d6e7312506b65604ea9f0f6a4b014d9b57fee"/>
    <x v="23"/>
    <n v="-1"/>
    <s v="FVE"/>
    <s v="06-01-2026"/>
    <s v="06-01-2026 07:23:29"/>
    <s v="900800595"/>
    <s v="Provexpress SAS"/>
    <s v="901041691"/>
    <x v="14"/>
    <n v="1017956.16"/>
    <n v="0"/>
    <n v="0"/>
    <n v="6375620.1600000001"/>
    <s v="Aprobado con notificación"/>
    <s v="Emitido"/>
    <x v="0"/>
    <x v="0"/>
    <x v="1"/>
    <x v="0"/>
    <x v="1"/>
    <x v="0"/>
    <m/>
  </r>
  <r>
    <s v="Factura electrónica"/>
    <s v="3f815376c2f36bcfa0e5c61d64819ec50b42e817157f1e0de0aa1840d7556ab3966474252f1a248ed5cd6b1612fd47db"/>
    <x v="24"/>
    <n v="-1"/>
    <s v="FVE"/>
    <s v="06-01-2026"/>
    <s v="06-01-2026 07:23:35"/>
    <s v="900800595"/>
    <s v="Provexpress SAS"/>
    <s v="901041691"/>
    <x v="14"/>
    <n v="508978.08"/>
    <n v="0"/>
    <n v="0"/>
    <n v="3187810.08"/>
    <s v="Aprobado con notificación"/>
    <s v="Emitido"/>
    <x v="0"/>
    <x v="0"/>
    <x v="1"/>
    <x v="0"/>
    <x v="1"/>
    <x v="0"/>
    <m/>
  </r>
  <r>
    <s v="Factura electrónica"/>
    <s v="f49a27d55ffd21f4c84dd47bf754b010cbe78dd20cb9286afc6974937712fe889a53bcaf330457420a089b63cc5822fc"/>
    <x v="25"/>
    <n v="-1"/>
    <s v="FVE"/>
    <s v="06-01-2026"/>
    <s v="06-01-2026 07:38:46"/>
    <s v="900800595"/>
    <s v="Provexpress SAS"/>
    <s v="900123408"/>
    <x v="15"/>
    <n v="342000"/>
    <n v="0"/>
    <n v="0"/>
    <n v="2142000"/>
    <s v="Aprobado con notificación"/>
    <s v="Emitido"/>
    <x v="0"/>
    <x v="0"/>
    <x v="1"/>
    <x v="0"/>
    <x v="1"/>
    <x v="0"/>
    <m/>
  </r>
  <r>
    <s v="Factura electrónica"/>
    <s v="4016019bc78adc60418353a1ae240ba5ffb72d21d88f1ba887516392e14e085aecb142da6bc93b7e5de2573b0ea1424e"/>
    <x v="26"/>
    <n v="-1"/>
    <s v="FVE"/>
    <s v="06-01-2026"/>
    <s v="06-01-2026 07:38:51"/>
    <s v="900800595"/>
    <s v="Provexpress SAS"/>
    <s v="900123408"/>
    <x v="15"/>
    <n v="96212.2"/>
    <n v="0"/>
    <n v="0"/>
    <n v="602592.19999999995"/>
    <s v="Aprobado con notificación"/>
    <s v="Emitido"/>
    <x v="0"/>
    <x v="0"/>
    <x v="1"/>
    <x v="0"/>
    <x v="1"/>
    <x v="0"/>
    <m/>
  </r>
  <r>
    <s v="Factura electrónica"/>
    <s v="4157c16dba2959dc4e408697df8fac6a315b5ed30cb67ecf2815104dd24d14c8df531883fca20187bbb62ef1430012c9"/>
    <x v="27"/>
    <n v="-1"/>
    <s v="FVE"/>
    <s v="06-01-2026"/>
    <s v="06-01-2026 07:38:55"/>
    <s v="900800595"/>
    <s v="Provexpress SAS"/>
    <s v="860516806"/>
    <x v="16"/>
    <n v="271924.2"/>
    <n v="0"/>
    <n v="0"/>
    <n v="1703104.2"/>
    <s v="Aprobado con notificación"/>
    <s v="Emitido"/>
    <x v="0"/>
    <x v="0"/>
    <x v="0"/>
    <x v="0"/>
    <x v="1"/>
    <x v="1"/>
    <s v="PAGA EN SISTEMA 24/02/2026"/>
  </r>
  <r>
    <s v="Factura electrónica"/>
    <s v="378273d8e97e63e12480033faec2a078621c28b36dd2bb847aecda2f7cf1a1a1b5625bb3c317be1337ec9ba3b0c4fd46"/>
    <x v="28"/>
    <n v="-1"/>
    <s v="FVE"/>
    <s v="06-01-2026"/>
    <s v="06-01-2026 07:39:00"/>
    <s v="900800595"/>
    <s v="Provexpress SAS"/>
    <s v="860003020"/>
    <x v="17"/>
    <n v="43701.9"/>
    <n v="0"/>
    <n v="0"/>
    <n v="273711.90000000002"/>
    <s v="Aprobado con notificación"/>
    <s v="Emitido"/>
    <x v="0"/>
    <x v="0"/>
    <x v="0"/>
    <x v="0"/>
    <x v="1"/>
    <x v="1"/>
    <s v="PAGA EN SISTEMA 13/02/2026"/>
  </r>
  <r>
    <s v="Factura electrónica"/>
    <s v="3057c8dfcd8529d4a91df5068b9c80f853017f2c469d333866b2bc770bd948cfe65c6a7bfc372c17c4d1ef5c8f15014d"/>
    <x v="29"/>
    <n v="-1"/>
    <s v="FVE"/>
    <s v="06-01-2026"/>
    <s v="06-01-2026 07:39:05"/>
    <s v="900800595"/>
    <s v="Provexpress SAS"/>
    <s v="900532450"/>
    <x v="18"/>
    <n v="595976.80000000005"/>
    <n v="0"/>
    <n v="0"/>
    <n v="3732696.8"/>
    <s v="Aprobado con notificación"/>
    <s v="Emitido"/>
    <x v="0"/>
    <x v="0"/>
    <x v="0"/>
    <x v="0"/>
    <x v="1"/>
    <x v="1"/>
    <s v="FACTURA PAGA EN EL SISTEMA 23/01/2026"/>
  </r>
  <r>
    <s v="Factura electrónica"/>
    <s v="19d3984f41bc5a189a9d34e1ecbc61f7f7fadf13d53f575749f6c5e9f5594563eeca944c2ec62ffb3c20a6813906a5b6"/>
    <x v="30"/>
    <n v="-1"/>
    <s v="FVE"/>
    <s v="06-01-2026"/>
    <s v="06-01-2026 07:39:09"/>
    <s v="900800595"/>
    <s v="Provexpress SAS"/>
    <s v="822001390"/>
    <x v="19"/>
    <n v="0"/>
    <n v="0"/>
    <n v="0"/>
    <n v="4105108"/>
    <s v="Aprobado con notificación"/>
    <s v="Emitido"/>
    <x v="0"/>
    <x v="0"/>
    <x v="0"/>
    <x v="0"/>
    <x v="1"/>
    <x v="1"/>
    <s v="FACTURA PAGA EN EL SISTEMA 30/12/2024"/>
  </r>
  <r>
    <s v="Factura electrónica"/>
    <s v="b9d96c5b54cc02559f9d1fc3c10302ce74c98372a3a890151c8d1cfc65bc1b6088d02aad10d5513b1e7139195a6b3511"/>
    <x v="31"/>
    <n v="-1"/>
    <s v="FVE"/>
    <s v="06-01-2026"/>
    <s v="06-01-2026 07:39:14"/>
    <s v="900800595"/>
    <s v="Provexpress SAS"/>
    <s v="901101746"/>
    <x v="20"/>
    <n v="39900"/>
    <n v="0"/>
    <n v="0"/>
    <n v="249900"/>
    <s v="Aprobado con notificación"/>
    <s v="Emitido"/>
    <x v="0"/>
    <x v="0"/>
    <x v="0"/>
    <x v="0"/>
    <x v="1"/>
    <x v="1"/>
    <s v="PAGA EN EL SISTEMA 26/02/2026"/>
  </r>
  <r>
    <s v="Factura electrónica"/>
    <s v="071958b45923371a824df9465b7586eda39a974fe73c7d90cdba8e6174fd9a216d8dfd09a6733ef21421301a4d8c2ba5"/>
    <x v="32"/>
    <n v="-1"/>
    <s v="FVE"/>
    <s v="06-01-2026"/>
    <s v="06-01-2026 07:39:18"/>
    <s v="900800595"/>
    <s v="Provexpress SAS"/>
    <s v="901101746"/>
    <x v="20"/>
    <n v="239400"/>
    <n v="0"/>
    <n v="0"/>
    <n v="1499400"/>
    <s v="Aprobado con notificación"/>
    <s v="Emitido"/>
    <x v="0"/>
    <x v="0"/>
    <x v="1"/>
    <x v="0"/>
    <x v="1"/>
    <x v="0"/>
    <m/>
  </r>
  <r>
    <s v="Factura electrónica"/>
    <s v="51116859516037c3ce25a30be695ce1fd358baa3a00ef8799c512ea26f00510d1677f43fb24cf14e101e5889df976a61"/>
    <x v="33"/>
    <n v="-1"/>
    <s v="FVE"/>
    <s v="06-01-2026"/>
    <s v="06-01-2026 07:39:23"/>
    <s v="900800595"/>
    <s v="Provexpress SAS"/>
    <s v="901101746"/>
    <x v="20"/>
    <n v="292600"/>
    <n v="0"/>
    <n v="0"/>
    <n v="1832600"/>
    <s v="Aprobado con notificación"/>
    <s v="Emitido"/>
    <x v="0"/>
    <x v="0"/>
    <x v="1"/>
    <x v="0"/>
    <x v="1"/>
    <x v="0"/>
    <m/>
  </r>
  <r>
    <s v="Factura electrónica"/>
    <s v="05f7ac8b70e2d5dfdcf27a4e29986bf9f8228af05e2bd1222ce30caa177c5e90c40ff96b240fc9685cc01a051ff86c30"/>
    <x v="34"/>
    <n v="-1"/>
    <s v="FVE"/>
    <s v="06-01-2026"/>
    <s v="06-01-2026 07:39:27"/>
    <s v="900800595"/>
    <s v="Provexpress SAS"/>
    <s v="901754581"/>
    <x v="21"/>
    <n v="53200"/>
    <n v="0"/>
    <n v="0"/>
    <n v="333200"/>
    <s v="Aprobado con notificación"/>
    <s v="Emitido"/>
    <x v="0"/>
    <x v="0"/>
    <x v="0"/>
    <x v="0"/>
    <x v="1"/>
    <x v="1"/>
    <s v="PAGA EN SISTEMA 16/02/2026"/>
  </r>
  <r>
    <s v="Factura electrónica"/>
    <s v="a8cc0e2a68c234a12a18aae4b223bce3c85a35e96fba8908074d3e3f5cf88e52c8e27b95f402465ba2b9d6a66a90cf69"/>
    <x v="35"/>
    <n v="-1"/>
    <s v="FVE"/>
    <s v="06-01-2026"/>
    <s v="06-01-2026 07:39:31"/>
    <s v="900800595"/>
    <s v="Provexpress SAS"/>
    <s v="900050036"/>
    <x v="22"/>
    <n v="20954.34"/>
    <n v="0"/>
    <n v="0"/>
    <n v="131240.34"/>
    <s v="Aprobado con notificación"/>
    <s v="Emitido"/>
    <x v="0"/>
    <x v="0"/>
    <x v="0"/>
    <x v="0"/>
    <x v="1"/>
    <x v="1"/>
    <s v="FACTURA PAGA EN EL SISTEMA 16/02/2026"/>
  </r>
  <r>
    <s v="Factura electrónica"/>
    <s v="8a71632241857ddb5b63f15d5ee3d3c058767a2c5b98f06ac9dcebed003a5df5194de3f7dacb331d51a10828fb339e75"/>
    <x v="36"/>
    <n v="-1"/>
    <s v="FVE"/>
    <s v="06-01-2026"/>
    <s v="06-01-2026 07:54:42"/>
    <s v="900800595"/>
    <s v="Provexpress SAS"/>
    <s v="830130106"/>
    <x v="23"/>
    <n v="846282.42"/>
    <n v="0"/>
    <n v="0"/>
    <n v="5300400.42"/>
    <s v="Aprobado con notificación"/>
    <s v="Emitido"/>
    <x v="0"/>
    <x v="0"/>
    <x v="0"/>
    <x v="0"/>
    <x v="0"/>
    <x v="0"/>
    <m/>
  </r>
  <r>
    <s v="Factura electrónica"/>
    <s v="d4b92554cb0cd44b7185116623f877afb750e50a735442c223e72cceb9bc9d07df4a9f4754b506d89c6b925057f43a29"/>
    <x v="37"/>
    <n v="-1"/>
    <s v="FVE"/>
    <s v="06-01-2026"/>
    <s v="06-01-2026 07:54:47"/>
    <s v="900800595"/>
    <s v="Provexpress SAS"/>
    <s v="860013570"/>
    <x v="24"/>
    <n v="827462.92"/>
    <n v="0"/>
    <n v="0"/>
    <n v="5182530.92"/>
    <s v="Aprobado con notificación"/>
    <s v="Emitido"/>
    <x v="0"/>
    <x v="0"/>
    <x v="0"/>
    <x v="0"/>
    <x v="1"/>
    <x v="0"/>
    <s v="PAGA EN SISTEMA 16/02/2026"/>
  </r>
  <r>
    <s v="Factura electrónica"/>
    <s v="a0639ee0e2ef5169a0b7c14a905d3b02db4e957f0fc37342aca9205924b1aa868cc1c8d5a46eb7f990d570d8c105cc5e"/>
    <x v="38"/>
    <n v="-1"/>
    <s v="FVE"/>
    <s v="06-01-2026"/>
    <s v="06-01-2026 07:54:52"/>
    <s v="900800595"/>
    <s v="Provexpress SAS"/>
    <s v="901371316"/>
    <x v="25"/>
    <n v="17100"/>
    <n v="0"/>
    <n v="0"/>
    <n v="5854100"/>
    <s v="Aprobado con notificación"/>
    <s v="Emitido"/>
    <x v="0"/>
    <x v="0"/>
    <x v="0"/>
    <x v="1"/>
    <x v="1"/>
    <x v="0"/>
    <s v="NC"/>
  </r>
  <r>
    <s v="Factura electrónica"/>
    <s v="870b65a03c04d36c77ed4ce2424462d335e3eb6e256efe9d38650bb5c86c13de50f66d6a8a7fc27eaab42da93a7f78db"/>
    <x v="39"/>
    <n v="-1"/>
    <s v="FVE"/>
    <s v="06-01-2026"/>
    <s v="06-01-2026 07:54:56"/>
    <s v="900800595"/>
    <s v="Provexpress SAS"/>
    <s v="901371316"/>
    <x v="25"/>
    <n v="74100"/>
    <n v="0"/>
    <n v="0"/>
    <n v="464100"/>
    <s v="Aprobado con notificación"/>
    <s v="Emitido"/>
    <x v="1"/>
    <x v="0"/>
    <x v="0"/>
    <x v="0"/>
    <x v="1"/>
    <x v="0"/>
    <m/>
  </r>
  <r>
    <s v="Factura electrónica"/>
    <s v="81937cb671203a679c681e644baef4c492369fe0b97334b7c96baba9454073b7cb98ee6eb1b93b6b50dbf0ca60335baf"/>
    <x v="40"/>
    <n v="-1"/>
    <s v="FVE"/>
    <s v="06-01-2026"/>
    <s v="06-01-2026 07:55:01"/>
    <s v="900800595"/>
    <s v="Provexpress SAS"/>
    <s v="800198693"/>
    <x v="26"/>
    <n v="777100"/>
    <n v="0"/>
    <n v="0"/>
    <n v="4867100"/>
    <s v="Aprobado con notificación"/>
    <s v="Emitido"/>
    <x v="0"/>
    <x v="0"/>
    <x v="0"/>
    <x v="0"/>
    <x v="1"/>
    <x v="1"/>
    <s v="PAGA EN SISTEMA 27/02/2026"/>
  </r>
  <r>
    <s v="Factura electrónica"/>
    <s v="3c44b7c31ea269d2b0fd7e3b3f69f995b938991c45cb12d3c1845cc4f55f61322d441a3821ac88da53c573881fbb1360"/>
    <x v="41"/>
    <n v="-1"/>
    <s v="FVE"/>
    <s v="06-01-2026"/>
    <s v="06-01-2026 07:55:06"/>
    <s v="900800595"/>
    <s v="Provexpress SAS"/>
    <s v="800207192"/>
    <x v="27"/>
    <n v="1425000"/>
    <n v="0"/>
    <n v="0"/>
    <n v="8925000"/>
    <s v="Aprobado con notificación"/>
    <s v="Emitido"/>
    <x v="0"/>
    <x v="0"/>
    <x v="1"/>
    <x v="0"/>
    <x v="1"/>
    <x v="0"/>
    <m/>
  </r>
  <r>
    <s v="Factura electrónica"/>
    <s v="3b5e8a135795d5862148cd9b4a5d43e0762da45a37af733e761d4ea00c7a6039f0dc77c680ffd8556edd566be8b653e2"/>
    <x v="42"/>
    <n v="-1"/>
    <s v="FVE"/>
    <s v="06-01-2026"/>
    <s v="06-01-2026 07:55:10"/>
    <s v="900800595"/>
    <s v="Provexpress SAS"/>
    <s v="901248246"/>
    <x v="28"/>
    <n v="29715.599999999999"/>
    <n v="0"/>
    <n v="0"/>
    <n v="248197.6"/>
    <s v="Aprobado con notificación"/>
    <s v="Emitido"/>
    <x v="0"/>
    <x v="0"/>
    <x v="0"/>
    <x v="0"/>
    <x v="1"/>
    <x v="0"/>
    <s v="PAGA EN SISTEMA 23/02/2026"/>
  </r>
  <r>
    <s v="Factura electrónica"/>
    <s v="4e4f58884cb3abb46c264ba1892827e0f49962283f8af6258b7303219570f2854d786d6f1afaeba6b868d0f3f3511be6"/>
    <x v="43"/>
    <n v="-1"/>
    <s v="FVE"/>
    <s v="06-01-2026"/>
    <s v="06-01-2026 07:55:14"/>
    <s v="900800595"/>
    <s v="Provexpress SAS"/>
    <s v="901248246"/>
    <x v="28"/>
    <n v="201580.08"/>
    <n v="0"/>
    <n v="0"/>
    <n v="1368104.08"/>
    <s v="Aprobado con notificación"/>
    <s v="Emitido"/>
    <x v="0"/>
    <x v="0"/>
    <x v="0"/>
    <x v="0"/>
    <x v="1"/>
    <x v="0"/>
    <s v="PAGA EN SISTEMA 23/02/2026"/>
  </r>
  <r>
    <s v="Factura electrónica"/>
    <s v="7c250a53b02f3c7d447b638139230593864e4528d5706f1481c24593e29ec516dcf3e6cc62aa59b2a325e005b8bac587"/>
    <x v="44"/>
    <n v="-1"/>
    <s v="FVE"/>
    <s v="06-01-2026"/>
    <s v="06-01-2026 07:55:19"/>
    <s v="900800595"/>
    <s v="Provexpress SAS"/>
    <s v="900943048"/>
    <x v="29"/>
    <n v="31507.7"/>
    <n v="0"/>
    <n v="0"/>
    <n v="197337.7"/>
    <s v="Aprobado con notificación"/>
    <s v="Emitido"/>
    <x v="0"/>
    <x v="0"/>
    <x v="0"/>
    <x v="0"/>
    <x v="0"/>
    <x v="0"/>
    <m/>
  </r>
  <r>
    <s v="Factura electrónica"/>
    <s v="606e9372d749ca685a60d1b33eddf38416704bb47bd3fd5b2e593986f6ff36c27aeb5f5ea1cbf59eae1316008cf4b7c5"/>
    <x v="45"/>
    <n v="-1"/>
    <s v="FVE"/>
    <s v="06-01-2026"/>
    <s v="06-01-2026 07:55:23"/>
    <s v="900800595"/>
    <s v="Provexpress SAS"/>
    <s v="900943048"/>
    <x v="29"/>
    <n v="26774.799999999999"/>
    <n v="0"/>
    <n v="0"/>
    <n v="167694.79999999999"/>
    <s v="Aprobado con notificación"/>
    <s v="Emitido"/>
    <x v="0"/>
    <x v="0"/>
    <x v="0"/>
    <x v="0"/>
    <x v="1"/>
    <x v="0"/>
    <m/>
  </r>
  <r>
    <s v="Factura electrónica"/>
    <s v="b648f5e6903e9f049d9ebc705d584e123e6dda80dc5ad5b82d36339fbfaab019442fafd42493df43c930a1a6b637c987"/>
    <x v="46"/>
    <n v="-1"/>
    <s v="FVE"/>
    <s v="06-01-2026"/>
    <s v="06-01-2026 07:55:28"/>
    <s v="900800595"/>
    <s v="Provexpress SAS"/>
    <s v="900943048"/>
    <x v="29"/>
    <n v="22668.9"/>
    <n v="0"/>
    <n v="0"/>
    <n v="141978.9"/>
    <s v="Aprobado con notificación"/>
    <s v="Emitido"/>
    <x v="0"/>
    <x v="0"/>
    <x v="0"/>
    <x v="0"/>
    <x v="0"/>
    <x v="0"/>
    <m/>
  </r>
  <r>
    <s v="Factura electrónica"/>
    <s v="e99d14aeeda89138215fe49a7e166c4675738dcc70612f865ce7f6157f324e7e9c122f06a2197dfff65cff04b5edc980"/>
    <x v="47"/>
    <n v="-1"/>
    <s v="FVE"/>
    <s v="06-01-2026"/>
    <s v="06-01-2026 08:10:49"/>
    <s v="900800595"/>
    <s v="Provexpress SAS"/>
    <s v="900943048"/>
    <x v="29"/>
    <n v="22668.9"/>
    <n v="0"/>
    <n v="0"/>
    <n v="141978.9"/>
    <s v="Aprobado con notificación"/>
    <s v="Emitido"/>
    <x v="0"/>
    <x v="0"/>
    <x v="0"/>
    <x v="0"/>
    <x v="0"/>
    <x v="0"/>
    <m/>
  </r>
  <r>
    <s v="Factura electrónica"/>
    <s v="045db8fc27d5652af58842caba0db536d7389773810a07ef4dd4c0b88615a17ac11f1433cbf45e0f3b5efa01acd31df6"/>
    <x v="48"/>
    <n v="-1"/>
    <s v="FVE"/>
    <s v="06-01-2026"/>
    <s v="06-01-2026 08:10:53"/>
    <s v="900800595"/>
    <s v="Provexpress SAS"/>
    <s v="900943048"/>
    <x v="29"/>
    <n v="29945.9"/>
    <n v="0"/>
    <n v="0"/>
    <n v="187555.9"/>
    <s v="Aprobado con notificación"/>
    <s v="Emitido"/>
    <x v="0"/>
    <x v="0"/>
    <x v="0"/>
    <x v="0"/>
    <x v="0"/>
    <x v="0"/>
    <m/>
  </r>
  <r>
    <s v="Factura electrónica"/>
    <s v="9aa24df2ea1aee81b4cd4d9b5a21a4f971b29962882f6ae8c47f3541b1c758bb998774b1204cb686f9184a3e0a2f70db"/>
    <x v="49"/>
    <n v="-1"/>
    <s v="FVE"/>
    <s v="06-01-2026"/>
    <s v="06-01-2026 08:10:58"/>
    <s v="900800595"/>
    <s v="Provexpress SAS"/>
    <s v="800028326"/>
    <x v="30"/>
    <n v="551190"/>
    <n v="0"/>
    <n v="0"/>
    <n v="3452190"/>
    <s v="Aprobado con notificación"/>
    <s v="Emitido"/>
    <x v="0"/>
    <x v="0"/>
    <x v="0"/>
    <x v="0"/>
    <x v="1"/>
    <x v="1"/>
    <s v="PAGA EN SISTEMA 29/01/2026"/>
  </r>
  <r>
    <s v="Factura electrónica"/>
    <s v="b972a9f9dd408814142f955308e904914ead5fd511dd082a1442f3b63f0d7bddd50f84dbcc428dbea39a8f4eb3a11176"/>
    <x v="50"/>
    <n v="-1"/>
    <s v="FVE"/>
    <s v="06-01-2026"/>
    <s v="06-01-2026 08:11:03"/>
    <s v="900800595"/>
    <s v="Provexpress SAS"/>
    <s v="900179369"/>
    <x v="31"/>
    <n v="578322"/>
    <n v="0"/>
    <n v="0"/>
    <n v="3622122"/>
    <s v="Aprobado con notificación"/>
    <s v="Emitido"/>
    <x v="0"/>
    <x v="0"/>
    <x v="1"/>
    <x v="0"/>
    <x v="1"/>
    <x v="0"/>
    <m/>
  </r>
  <r>
    <s v="Factura electrónica"/>
    <s v="0169c3cdd0e93d0ee9b4b08bcf6e75b85062158894ce3a73134bddb1f2e209d7d5d4202b6be50bfe292cd7204d4be397"/>
    <x v="51"/>
    <n v="-1"/>
    <s v="FVE"/>
    <s v="06-01-2026"/>
    <s v="06-01-2026 08:11:07"/>
    <s v="900800595"/>
    <s v="Provexpress SAS"/>
    <s v="800028326"/>
    <x v="30"/>
    <n v="66310"/>
    <n v="0"/>
    <n v="0"/>
    <n v="415310"/>
    <s v="Aprobado con notificación"/>
    <s v="Emitido"/>
    <x v="0"/>
    <x v="0"/>
    <x v="0"/>
    <x v="0"/>
    <x v="1"/>
    <x v="1"/>
    <s v="PAGA EN SISTEMA 29/01/2026"/>
  </r>
  <r>
    <s v="Factura electrónica"/>
    <s v="2a4168ee60ea5189d119245a094bfaeda41dce127680d162c080ae7d1feed7f20492e7c9420e25852aea6a95096afaf9"/>
    <x v="52"/>
    <n v="-1"/>
    <s v="FVE"/>
    <s v="06-01-2026"/>
    <s v="06-01-2026 08:11:12"/>
    <s v="900800595"/>
    <s v="Provexpress SAS"/>
    <s v="805017818"/>
    <x v="32"/>
    <n v="0"/>
    <n v="0"/>
    <n v="0"/>
    <n v="21953666"/>
    <s v="Aprobado con notificación"/>
    <s v="Emitido"/>
    <x v="0"/>
    <x v="0"/>
    <x v="0"/>
    <x v="0"/>
    <x v="1"/>
    <x v="1"/>
    <s v="FACTURA PAGA EN EL SISTEMA 11/02/2026"/>
  </r>
  <r>
    <s v="Factura electrónica"/>
    <s v="7deb8cfbbd1bb84d56ef76e6a513f36d231e18e75c032c852962d7ec7c24b41d158534d159edc9bd4c1b6986f7fb383a"/>
    <x v="53"/>
    <n v="-1"/>
    <s v="FVE"/>
    <s v="06-01-2026"/>
    <s v="06-01-2026 08:11:17"/>
    <s v="900800595"/>
    <s v="Provexpress SAS"/>
    <s v="900179369"/>
    <x v="31"/>
    <n v="330410"/>
    <n v="0"/>
    <n v="0"/>
    <n v="2069410"/>
    <s v="Aprobado con notificación"/>
    <s v="Emitido"/>
    <x v="0"/>
    <x v="0"/>
    <x v="1"/>
    <x v="0"/>
    <x v="1"/>
    <x v="0"/>
    <m/>
  </r>
  <r>
    <s v="Factura electrónica"/>
    <s v="14e0d76e3752aa84939486d93bca895e158cc02b9c382d6f4439299eabb79b33b20bc8049e1e86b3c5482ee9cc812b00"/>
    <x v="54"/>
    <n v="-1"/>
    <s v="FVE"/>
    <s v="06-01-2026"/>
    <s v="06-01-2026 08:11:21"/>
    <s v="900800595"/>
    <s v="Provexpress SAS"/>
    <s v="860005813"/>
    <x v="33"/>
    <n v="122899.1"/>
    <n v="0"/>
    <n v="0"/>
    <n v="789819.1"/>
    <s v="Aprobado con notificación"/>
    <s v="Emitido"/>
    <x v="0"/>
    <x v="0"/>
    <x v="0"/>
    <x v="0"/>
    <x v="1"/>
    <x v="0"/>
    <s v="PAGA EN SISTEMA 24/02/2026"/>
  </r>
  <r>
    <s v="Factura electrónica"/>
    <s v="46a4800ac0bc40df9dce19e7b4bb288fbe07102adc21acf6c7d86d35f57f0dcb3cc338f1578d83b82401924945e5dedd"/>
    <x v="55"/>
    <n v="-1"/>
    <s v="FVE"/>
    <s v="06-01-2026"/>
    <s v="06-01-2026 08:28:14"/>
    <s v="900800595"/>
    <s v="Provexpress SAS"/>
    <s v="860005813"/>
    <x v="33"/>
    <n v="142453.5"/>
    <n v="0"/>
    <n v="0"/>
    <n v="1074903.5"/>
    <s v="Aprobado con notificación"/>
    <s v="Emitido"/>
    <x v="0"/>
    <x v="0"/>
    <x v="0"/>
    <x v="0"/>
    <x v="1"/>
    <x v="0"/>
    <s v="PAGA EN SISTEMA 24/02/2026"/>
  </r>
  <r>
    <s v="Factura electrónica"/>
    <s v="131479e3fa2acf2203cbe86a1454f70c5641619a88cc4632eb698d86141bd04b82a9c8c38994a70d2c050d514174d86c"/>
    <x v="56"/>
    <n v="-1"/>
    <s v="FVE"/>
    <s v="06-01-2026"/>
    <s v="06-01-2026 08:28:10"/>
    <s v="900800595"/>
    <s v="Provexpress SAS"/>
    <s v="800013879"/>
    <x v="34"/>
    <n v="67454.75"/>
    <n v="0"/>
    <n v="0"/>
    <n v="422479.75"/>
    <s v="Aprobado con notificación"/>
    <s v="Emitido"/>
    <x v="0"/>
    <x v="0"/>
    <x v="0"/>
    <x v="0"/>
    <x v="1"/>
    <x v="1"/>
    <s v="FACTURA PAGA EN EL SISTEMA 09/02/2026"/>
  </r>
  <r>
    <s v="Factura electrónica"/>
    <s v="80a738b006bb9d7a940eaaad8d653aff2f07305be621e15ce00fa7b04ea19f82edc5aa97cdde1a291086ebe23ffa642e"/>
    <x v="57"/>
    <n v="-1"/>
    <s v="FVE"/>
    <s v="06-01-2026"/>
    <s v="06-01-2026 08:28:11"/>
    <s v="900800595"/>
    <s v="Provexpress SAS"/>
    <s v="800019102"/>
    <x v="35"/>
    <n v="53619.9"/>
    <n v="0"/>
    <n v="0"/>
    <n v="335829.9"/>
    <s v="Aprobado con notificación"/>
    <s v="Emitido"/>
    <x v="0"/>
    <x v="0"/>
    <x v="0"/>
    <x v="0"/>
    <x v="1"/>
    <x v="0"/>
    <s v="PAGA EN SISTEMA 9/02/2026"/>
  </r>
  <r>
    <s v="Factura electrónica"/>
    <s v="3e01f3f6fe2598b885dfdcf9b2b6ca46034d3b8734860c290d1d525259cbffb042ed0db81ef3ce65da2c793bd12f68de"/>
    <x v="58"/>
    <n v="-1"/>
    <s v="FVE"/>
    <s v="06-01-2026"/>
    <s v="06-01-2026 08:28:15"/>
    <s v="900800595"/>
    <s v="Provexpress SAS"/>
    <s v="860513970"/>
    <x v="36"/>
    <n v="265478.45"/>
    <n v="0"/>
    <n v="0"/>
    <n v="1677253.45"/>
    <s v="Aprobado con notificación"/>
    <s v="Emitido"/>
    <x v="0"/>
    <x v="0"/>
    <x v="0"/>
    <x v="0"/>
    <x v="1"/>
    <x v="1"/>
    <s v="PAGA EN SISTEMA 30/01/2026"/>
  </r>
  <r>
    <s v="Factura electrónica"/>
    <s v="920ab4a8931633dbd77bb5d1c736ee1296ed219d443f811f0362661c42260cbcca6d1d4b37f87d50e7b21b537972e44d"/>
    <x v="59"/>
    <e v="#REF!"/>
    <s v="FVE"/>
    <s v="06-01-2026"/>
    <s v="06-01-2026 08:28:12"/>
    <s v="900800595"/>
    <s v="Provexpress SAS"/>
    <s v="890300918"/>
    <x v="37"/>
    <n v="4880720"/>
    <n v="0"/>
    <n v="0"/>
    <n v="30568720"/>
    <s v="Aprobado con notificación"/>
    <s v="Emitido"/>
    <x v="0"/>
    <x v="0"/>
    <x v="1"/>
    <x v="0"/>
    <x v="1"/>
    <x v="0"/>
    <m/>
  </r>
  <r>
    <s v="Factura electrónica"/>
    <s v="dfdf2235ece6e36bbe3014654bc6d337d57a64038d2207e7c5d7105cc6ab28c35b7209f9f67ffc3c259e7bbc79bbe884"/>
    <x v="60"/>
    <n v="-1"/>
    <s v="FVE"/>
    <s v="06-01-2026"/>
    <s v="06-01-2026 08:43:15"/>
    <s v="900800595"/>
    <s v="Provexpress SAS"/>
    <s v="830507705"/>
    <x v="38"/>
    <n v="66120"/>
    <n v="0"/>
    <n v="0"/>
    <n v="414120"/>
    <s v="Aprobado con notificación"/>
    <s v="Emitido"/>
    <x v="0"/>
    <x v="0"/>
    <x v="0"/>
    <x v="0"/>
    <x v="1"/>
    <x v="1"/>
    <s v="FACTURA PAGA EN EL SISTEMA 18/02/2026"/>
  </r>
  <r>
    <s v="Factura electrónica"/>
    <s v="8193b91a67dd0941060a57b76a5b3448a37d70180fa67917042d5cf6a0b54be4cb600460ce73746db8eccc4bafeeefcf"/>
    <x v="61"/>
    <n v="-1"/>
    <s v="FVE"/>
    <s v="06-01-2026"/>
    <s v="06-01-2026 08:43:28"/>
    <s v="900800595"/>
    <s v="Provexpress SAS"/>
    <s v="800256769"/>
    <x v="39"/>
    <n v="163020"/>
    <n v="0"/>
    <n v="0"/>
    <n v="1021020"/>
    <s v="Aprobado con notificación"/>
    <s v="Emitido"/>
    <x v="0"/>
    <x v="0"/>
    <x v="0"/>
    <x v="0"/>
    <x v="1"/>
    <x v="1"/>
    <s v="FACTURA PAGA EN EL SISTEMA 09/02/2026"/>
  </r>
  <r>
    <s v="Factura electrónica"/>
    <s v="0d9d73f8607fec097bf05074a00a6442b5fb489431af3f9c5787feebc1e7b2b4528cdf4183830db516947e61c80d1c13"/>
    <x v="62"/>
    <n v="-1"/>
    <s v="FVE"/>
    <s v="06-01-2026"/>
    <s v="06-01-2026 08:43:11"/>
    <s v="900800595"/>
    <s v="Provexpress SAS"/>
    <s v="800256769"/>
    <x v="39"/>
    <n v="830680"/>
    <n v="0"/>
    <n v="0"/>
    <n v="5202680"/>
    <s v="Aprobado con notificación"/>
    <s v="Emitido"/>
    <x v="0"/>
    <x v="0"/>
    <x v="0"/>
    <x v="0"/>
    <x v="1"/>
    <x v="1"/>
    <s v="FACTURA PAGA EN EL SISTEMA 09/02/2026"/>
  </r>
  <r>
    <s v="Factura electrónica"/>
    <s v="a5f000fb0c7170fc581b9beedd92c13a3e87ebb5033fe6ff5755d5271a9dc3b8f178260aefe87bac6e302936701e41c0"/>
    <x v="63"/>
    <n v="4"/>
    <s v="FVE"/>
    <s v="06-01-2026"/>
    <s v="06-01-2026 08:59:07"/>
    <s v="900800595"/>
    <s v="Provexpress SAS"/>
    <s v="800256769"/>
    <x v="39"/>
    <n v="383040"/>
    <n v="0"/>
    <n v="0"/>
    <n v="2399040"/>
    <s v="Aprobado con notificación"/>
    <s v="Emitido"/>
    <x v="0"/>
    <x v="0"/>
    <x v="0"/>
    <x v="0"/>
    <x v="1"/>
    <x v="1"/>
    <s v="FACTURA PAGA EN EL SISTEMA 09/02/2026"/>
  </r>
  <r>
    <s v="Factura electrónica"/>
    <s v="4c88d442d6b4e06800288e027be80dd15e67aca3168f48f7194defe2a9f1ad80cce79d25cd8d634412b1cdcf283b10c6"/>
    <x v="64"/>
    <n v="-6"/>
    <s v="FVE"/>
    <s v="06-01-2026"/>
    <s v="06-01-2026 08:59:09"/>
    <s v="900800595"/>
    <s v="Provexpress SAS"/>
    <s v="900078730"/>
    <x v="40"/>
    <n v="99469.94"/>
    <n v="0"/>
    <n v="0"/>
    <n v="622995.93999999994"/>
    <s v="Aprobado con notificación"/>
    <s v="Emitido"/>
    <x v="0"/>
    <x v="0"/>
    <x v="0"/>
    <x v="0"/>
    <x v="0"/>
    <x v="0"/>
    <m/>
  </r>
  <r>
    <s v="Factura electrónica"/>
    <s v="3ffd68fe3db41121e60d48a7266e0804472f5d2694c76a875b0e1d106faed5299c9e64ddd4f9fcf995aebbbd0933ee85"/>
    <x v="65"/>
    <n v="-1"/>
    <s v="FVE"/>
    <s v="06-01-2026"/>
    <s v="06-01-2026 08:59:12"/>
    <s v="900800595"/>
    <s v="Provexpress SAS"/>
    <s v="900477127"/>
    <x v="41"/>
    <n v="91164.800000000003"/>
    <n v="0"/>
    <n v="0"/>
    <n v="891284.8"/>
    <s v="Aprobado con notificación"/>
    <s v="Emitido"/>
    <x v="0"/>
    <x v="0"/>
    <x v="0"/>
    <x v="0"/>
    <x v="1"/>
    <x v="0"/>
    <s v="PAGA EN SISTEMA 16/02/2026"/>
  </r>
  <r>
    <s v="Factura electrónica"/>
    <s v="743db5dd921803dbf5b9ea44689b1d98cf9037da05a0bc54654bdf7b9d2b3135a3255b105b16b8f7a13b014ade009d54"/>
    <x v="66"/>
    <n v="-1"/>
    <s v="FVE"/>
    <s v="06-01-2026"/>
    <s v="06-01-2026 09:00:05"/>
    <s v="900800595"/>
    <s v="Provexpress SAS"/>
    <s v="900750483"/>
    <x v="42"/>
    <n v="79672.36"/>
    <n v="0"/>
    <n v="0"/>
    <n v="622112.36"/>
    <s v="Aprobado con notificación"/>
    <s v="Emitido"/>
    <x v="0"/>
    <x v="0"/>
    <x v="0"/>
    <x v="0"/>
    <x v="1"/>
    <x v="0"/>
    <s v="PAGA EN SISTEMA 11/02/2026"/>
  </r>
  <r>
    <s v="Factura electrónica"/>
    <s v="5e7c663ebbf958b21af8337beaa15ac3ea8be7e53a20d10f6d1811cb2ec2d50d235b8b8b560a351b30ff6ba2a6e2d926"/>
    <x v="67"/>
    <n v="-1"/>
    <s v="FVE"/>
    <s v="06-01-2026"/>
    <s v="06-01-2026 09:34:41"/>
    <s v="900800595"/>
    <s v="Provexpress SAS"/>
    <s v="830072107"/>
    <x v="43"/>
    <n v="0"/>
    <n v="0"/>
    <n v="0"/>
    <n v="240000"/>
    <s v="Aprobado con notificación"/>
    <s v="Emitido"/>
    <x v="0"/>
    <x v="0"/>
    <x v="0"/>
    <x v="0"/>
    <x v="1"/>
    <x v="1"/>
    <s v="FACTURA PAGA EN EL SISTEMA 02/02/2026"/>
  </r>
  <r>
    <s v="Factura electrónica"/>
    <s v="ae0d79e45ee97ff93fc5a313e736643a98fc2a8c73a560d463001d64e01967566ff3e0117902d97d0d5bd46efc861e58"/>
    <x v="68"/>
    <n v="-1"/>
    <s v="FVE"/>
    <s v="06-01-2026"/>
    <s v="06-01-2026 09:34:39"/>
    <s v="900800595"/>
    <s v="Provexpress SAS"/>
    <s v="900179369"/>
    <x v="31"/>
    <n v="357732"/>
    <n v="0"/>
    <n v="0"/>
    <n v="2240532"/>
    <s v="Aprobado con notificación"/>
    <s v="Emitido"/>
    <x v="0"/>
    <x v="0"/>
    <x v="1"/>
    <x v="0"/>
    <x v="1"/>
    <x v="0"/>
    <m/>
  </r>
  <r>
    <s v="Factura electrónica"/>
    <s v="23793cde41314d491fd36f75e99c02c70805726b3027504822a71339d5eaa96babb051c034bc4eefd09c01225ec3e231"/>
    <x v="69"/>
    <n v="-1"/>
    <s v="FVE"/>
    <s v="06-01-2026"/>
    <s v="06-01-2026 09:34:52"/>
    <s v="900800595"/>
    <s v="Provexpress SAS"/>
    <s v="901006430"/>
    <x v="44"/>
    <n v="1911618.12"/>
    <n v="0"/>
    <n v="0"/>
    <n v="11972766.119999999"/>
    <s v="Aprobado con notificación"/>
    <s v="Emitido"/>
    <x v="0"/>
    <x v="0"/>
    <x v="0"/>
    <x v="0"/>
    <x v="1"/>
    <x v="0"/>
    <m/>
  </r>
  <r>
    <s v="Factura electrónica"/>
    <s v="f3f0cc38c1efa6f39f27f678cabfa48597029e4a9f0d78156330452ab528ab449ff9917d5eb4e7f949aaac4e08c36ed0"/>
    <x v="70"/>
    <n v="-1"/>
    <s v="FVE"/>
    <s v="06-01-2026"/>
    <s v="06-01-2026 09:34:53"/>
    <s v="900800595"/>
    <s v="Provexpress SAS"/>
    <s v="830110141"/>
    <x v="45"/>
    <n v="1869452.18"/>
    <n v="0"/>
    <n v="0"/>
    <n v="11708674.18"/>
    <s v="Aprobado con notificación"/>
    <s v="Emitido"/>
    <x v="0"/>
    <x v="0"/>
    <x v="1"/>
    <x v="0"/>
    <x v="1"/>
    <x v="0"/>
    <m/>
  </r>
  <r>
    <s v="Factura electrónica"/>
    <s v="bbe3b1261ce048f3998bbe8c829ad27a0ec8b5f0576266c56f6b3ada4e9aa306f143e28944ee3f69a344e2d4ca9db72f"/>
    <x v="71"/>
    <n v="-1"/>
    <s v="FVE"/>
    <s v="06-01-2026"/>
    <s v="06-01-2026 09:48:00"/>
    <s v="900800595"/>
    <s v="Provexpress SAS"/>
    <s v="860040407"/>
    <x v="46"/>
    <n v="280440"/>
    <n v="0"/>
    <n v="0"/>
    <n v="1756440"/>
    <s v="Aprobado con notificación"/>
    <s v="Emitido"/>
    <x v="0"/>
    <x v="0"/>
    <x v="0"/>
    <x v="0"/>
    <x v="1"/>
    <x v="1"/>
    <s v="FACTURA PAGA EN EL SISTEMA 13/02/2026"/>
  </r>
  <r>
    <s v="Factura electrónica"/>
    <s v="82ceaa408b8b1cf56dcd8331fdf91b7ec4a5b85b9d6f28478b86949aebbd741e5d9ecf4c33e6a5fcead94a07e055d2ec"/>
    <x v="72"/>
    <n v="-1"/>
    <s v="FVE"/>
    <s v="06-01-2026"/>
    <s v="06-01-2026 09:48:33"/>
    <s v="900800595"/>
    <s v="Provexpress SAS"/>
    <s v="901281572"/>
    <x v="47"/>
    <n v="3629000"/>
    <n v="0"/>
    <n v="0"/>
    <n v="22729000"/>
    <s v="Aprobado con notificación"/>
    <s v="Emitido"/>
    <x v="0"/>
    <x v="0"/>
    <x v="1"/>
    <x v="0"/>
    <x v="1"/>
    <x v="0"/>
    <m/>
  </r>
  <r>
    <s v="Factura electrónica"/>
    <s v="9780860da5c27148eac8d0be3d070c3680f7b7a02b8f94010829963a260733a71c6a7bd1bd3dbbac7fa452cd6319a1a0"/>
    <x v="73"/>
    <n v="-1"/>
    <s v="FVE"/>
    <s v="06-01-2026"/>
    <s v="06-01-2026 09:48:31"/>
    <s v="900800595"/>
    <s v="Provexpress SAS"/>
    <s v="901281572"/>
    <x v="47"/>
    <n v="3131200"/>
    <n v="0"/>
    <n v="0"/>
    <n v="19611200"/>
    <s v="Aprobado con notificación"/>
    <s v="Emitido"/>
    <x v="0"/>
    <x v="0"/>
    <x v="1"/>
    <x v="0"/>
    <x v="1"/>
    <x v="0"/>
    <m/>
  </r>
  <r>
    <s v="Factura electrónica"/>
    <s v="801cc567e9f821b061f5194774c7b264b863ab5c900126d27e66f5776b12ce264b3b14aabf7c71a8356897367b9f1df8"/>
    <x v="74"/>
    <n v="-1"/>
    <s v="FVE"/>
    <s v="06-01-2026"/>
    <s v="06-01-2026 09:48:37"/>
    <s v="900800595"/>
    <s v="Provexpress SAS"/>
    <s v="830015970"/>
    <x v="48"/>
    <n v="68400"/>
    <n v="0"/>
    <n v="0"/>
    <n v="428400"/>
    <s v="Aprobado con notificación"/>
    <s v="Emitido"/>
    <x v="0"/>
    <x v="0"/>
    <x v="0"/>
    <x v="0"/>
    <x v="1"/>
    <x v="1"/>
    <s v="FACTURA PAGA EN EL SISTEMA 09/02/2026"/>
  </r>
  <r>
    <s v="Factura electrónica"/>
    <s v="e4dddcb3776b44a54e05b5ffa5ce4dae5c6321be743153e21797d791d87718f8288553eb9f7f6055f8f01ecf41673dae"/>
    <x v="75"/>
    <n v="-1"/>
    <s v="FVE"/>
    <s v="06-01-2026"/>
    <s v="06-01-2026 09:48:38"/>
    <s v="900800595"/>
    <s v="Provexpress SAS"/>
    <s v="900006563"/>
    <x v="49"/>
    <n v="131745.91"/>
    <n v="0"/>
    <n v="0"/>
    <n v="882182.91"/>
    <s v="Aprobado con notificación"/>
    <s v="Emitido"/>
    <x v="0"/>
    <x v="0"/>
    <x v="0"/>
    <x v="0"/>
    <x v="1"/>
    <x v="1"/>
    <s v="PAGA EN SISTEMA 24/02/2026"/>
  </r>
  <r>
    <s v="Factura electrónica"/>
    <s v="20987e4a4a8b2de6feb61f22b9f3a84451b5b1acc3b18da035823b6682929d706dd47bd60eef33251e24c538f7619249"/>
    <x v="76"/>
    <n v="-1"/>
    <s v="FVE"/>
    <s v="06-01-2026"/>
    <s v="06-01-2026 10:14:01"/>
    <s v="900800595"/>
    <s v="Provexpress SAS"/>
    <s v="900677304"/>
    <x v="50"/>
    <n v="0"/>
    <n v="0"/>
    <n v="0"/>
    <n v="945000"/>
    <s v="Aprobado con notificación"/>
    <s v="Emitido"/>
    <x v="0"/>
    <x v="0"/>
    <x v="0"/>
    <x v="0"/>
    <x v="1"/>
    <x v="1"/>
    <s v="FACTURA PAGA EN EL SISTEMA 6/01/2026"/>
  </r>
  <r>
    <s v="Factura electrónica"/>
    <s v="b23d2df7b28bed6bfcab32640a76597ced9248e2ca042f993bd93f3364738e8001f7ba3b124a8eb73706fb58241598a8"/>
    <x v="77"/>
    <n v="-1"/>
    <s v="FVE"/>
    <s v="06-01-2026"/>
    <s v="06-01-2026 10:44:17"/>
    <s v="900800595"/>
    <s v="Provexpress SAS"/>
    <s v="830084232"/>
    <x v="51"/>
    <n v="0"/>
    <n v="0"/>
    <n v="0"/>
    <n v="3526050"/>
    <s v="Aprobado con notificación"/>
    <s v="Emitido"/>
    <x v="0"/>
    <x v="0"/>
    <x v="0"/>
    <x v="0"/>
    <x v="1"/>
    <x v="1"/>
    <s v="FACTURA PAGA EN EL SISTEMA 16/01/2026"/>
  </r>
  <r>
    <s v="Factura electrónica"/>
    <s v="6bc317532db727c4edc5839f6e23a35c2885210d4c5314fff9f416c24407f61e13bd773766ebb66e979cbd1c4638b67d"/>
    <x v="78"/>
    <n v="-1"/>
    <s v="FVE"/>
    <s v="06-01-2026"/>
    <s v="06-01-2026 10:44:22"/>
    <s v="900800595"/>
    <s v="Provexpress SAS"/>
    <s v="860536003"/>
    <x v="52"/>
    <n v="334400"/>
    <n v="0"/>
    <n v="0"/>
    <n v="2094400"/>
    <s v="Aprobado con notificación"/>
    <s v="Emitido"/>
    <x v="0"/>
    <x v="0"/>
    <x v="0"/>
    <x v="0"/>
    <x v="1"/>
    <x v="1"/>
    <s v="FACTURA PAGA EN EL SISTEMA 4/02/2026"/>
  </r>
  <r>
    <s v="Factura electrónica"/>
    <s v="fa9771a53f840a5f75be65d6d46c059b68b4901e8f3facfa06a3649a9025547e9a2a01836cd2fa8b4ce99b0a4231b33a"/>
    <x v="79"/>
    <n v="-1"/>
    <s v="FVE"/>
    <s v="06-01-2026"/>
    <s v="06-01-2026 10:44:26"/>
    <s v="900800595"/>
    <s v="Provexpress SAS"/>
    <s v="900356278"/>
    <x v="53"/>
    <n v="628900"/>
    <n v="0"/>
    <n v="0"/>
    <n v="3938900"/>
    <s v="Aprobado con notificación"/>
    <s v="Emitido"/>
    <x v="0"/>
    <x v="0"/>
    <x v="0"/>
    <x v="0"/>
    <x v="1"/>
    <x v="1"/>
    <s v="PAGA EN SISTEMA 03/02/2026"/>
  </r>
  <r>
    <s v="Factura electrónica"/>
    <s v="62e45e8b9f9b95f3ae737b82c61eb7af5b6f57d2e8e0e6b7c27623e48d40533beee2f444e2b0f33362645dc9a08d48b5"/>
    <x v="80"/>
    <n v="-1"/>
    <s v="FVE"/>
    <s v="06-01-2026"/>
    <s v="06-01-2026 10:44:31"/>
    <s v="900800595"/>
    <s v="Provexpress SAS"/>
    <s v="860010371"/>
    <x v="54"/>
    <n v="1063116"/>
    <n v="0"/>
    <n v="0"/>
    <n v="7002156"/>
    <s v="Aprobado con notificación"/>
    <s v="Emitido"/>
    <x v="0"/>
    <x v="0"/>
    <x v="0"/>
    <x v="0"/>
    <x v="1"/>
    <x v="0"/>
    <s v="PAGA EN SISTEMA 12/02/2026"/>
  </r>
  <r>
    <s v="Factura electrónica"/>
    <s v="70efe99efe7c0f690b82c0748ccd2029f6b0e48ab8e33e73301e1259c9e543078305a2a4f06d035726035ddcca7ef3b9"/>
    <x v="81"/>
    <n v="-1"/>
    <s v="FVE"/>
    <s v="06-01-2026"/>
    <s v="06-01-2026 10:44:36"/>
    <s v="900800595"/>
    <s v="Provexpress SAS"/>
    <s v="830075451"/>
    <x v="55"/>
    <n v="689643"/>
    <n v="0"/>
    <n v="0"/>
    <n v="4319343"/>
    <s v="Aprobado con notificación"/>
    <s v="Emitido"/>
    <x v="0"/>
    <x v="0"/>
    <x v="0"/>
    <x v="0"/>
    <x v="1"/>
    <x v="1"/>
    <s v="PAGA EN SISTEMA 11/02/2026"/>
  </r>
  <r>
    <s v="Factura electrónica"/>
    <s v="506453d8f92f56bbd1d43e9cc57ed15bf4114e476e42dadfaad79e2066b4aa088ccf9863607ecae60593fb7996224e63"/>
    <x v="82"/>
    <n v="-1"/>
    <s v="FVE"/>
    <s v="06-01-2026"/>
    <s v="06-01-2026 10:44:40"/>
    <s v="900800595"/>
    <s v="Provexpress SAS"/>
    <s v="900134674"/>
    <x v="56"/>
    <n v="0"/>
    <n v="0"/>
    <n v="0"/>
    <n v="7045080"/>
    <s v="Aprobado con notificación"/>
    <s v="Emitido"/>
    <x v="0"/>
    <x v="0"/>
    <x v="0"/>
    <x v="0"/>
    <x v="0"/>
    <x v="0"/>
    <m/>
  </r>
  <r>
    <s v="Factura electrónica"/>
    <s v="7591fedfec0d7b61df72f007789c57b9079f2bbd043eabe03a72b9bfeef8c1fa8512d575c486f0c01178352ba52503f2"/>
    <x v="83"/>
    <n v="-1"/>
    <s v="FVE"/>
    <s v="06-01-2026"/>
    <s v="06-01-2026 10:44:45"/>
    <s v="900800595"/>
    <s v="Provexpress SAS"/>
    <s v="830061776"/>
    <x v="57"/>
    <n v="247000"/>
    <n v="0"/>
    <n v="0"/>
    <n v="1547000"/>
    <s v="Aprobado con notificación"/>
    <s v="Emitido"/>
    <x v="0"/>
    <x v="0"/>
    <x v="0"/>
    <x v="0"/>
    <x v="1"/>
    <x v="1"/>
    <s v="FACTURA PAGA EN EL SISTEMA 9/01/2026"/>
  </r>
  <r>
    <s v="Factura electrónica"/>
    <s v="aa9f175c218b0746c27c253b88131993ab1a4dd18a3599c02850113981af11131b066d9c8f46568ae8eedcb0a53febf1"/>
    <x v="84"/>
    <n v="-1"/>
    <s v="FVE"/>
    <s v="06-01-2026"/>
    <s v="06-01-2026 10:59:59"/>
    <s v="900800595"/>
    <s v="Provexpress SAS"/>
    <s v="901380344"/>
    <x v="58"/>
    <n v="10260000"/>
    <n v="0"/>
    <n v="0"/>
    <n v="64260000"/>
    <s v="Aprobado con notificación"/>
    <s v="Emitido"/>
    <x v="0"/>
    <x v="0"/>
    <x v="0"/>
    <x v="0"/>
    <x v="1"/>
    <x v="1"/>
    <s v="FACTURA PAGA EN EL SISTEMA 30/01/2026"/>
  </r>
  <r>
    <s v="Factura electrónica"/>
    <s v="7a43e78f787228ec227838d391cd41abed415c9a7fbab0e87c55512186275741561e8cbe96556c7b0a08714369b54062"/>
    <x v="85"/>
    <n v="-1"/>
    <s v="FVE"/>
    <s v="06-01-2026"/>
    <s v="06-01-2026 11:00:05"/>
    <s v="900800595"/>
    <s v="Provexpress SAS"/>
    <s v="901380344"/>
    <x v="58"/>
    <n v="966720"/>
    <n v="0"/>
    <n v="0"/>
    <n v="6054720"/>
    <s v="Aprobado con notificación"/>
    <s v="Emitido"/>
    <x v="0"/>
    <x v="0"/>
    <x v="0"/>
    <x v="0"/>
    <x v="1"/>
    <x v="1"/>
    <s v="FACTURA PAGA EN EL SISTEMA 30/01/2026"/>
  </r>
  <r>
    <s v="Factura electrónica"/>
    <s v="08b5d4893af47b82fa9a1769192e87f0f4a2d703ff1bc96c940dd3b1abd0dccdbf32a738132763057349e07371a6f12a"/>
    <x v="86"/>
    <n v="-1"/>
    <s v="FVE"/>
    <s v="06-01-2026"/>
    <s v="06-01-2026 11:00:08"/>
    <s v="900800595"/>
    <s v="Provexpress SAS"/>
    <s v="900463851"/>
    <x v="59"/>
    <n v="442890"/>
    <n v="0"/>
    <n v="0"/>
    <n v="2773890"/>
    <s v="Aprobado con notificación"/>
    <s v="Emitido"/>
    <x v="0"/>
    <x v="0"/>
    <x v="0"/>
    <x v="0"/>
    <x v="1"/>
    <x v="1"/>
    <s v="FACTURA PAGA EN EL SISTEMA 12/02/2026"/>
  </r>
  <r>
    <s v="Factura electrónica"/>
    <s v="9ed6407c3e864627377b4c233750dacc32f9e06412c9f3bf7ce601aac839824796f05c7474ae4190b6eec0314b03ae70"/>
    <x v="87"/>
    <n v="-1"/>
    <s v="FVE"/>
    <s v="06-01-2026"/>
    <s v="06-01-2026 11:00:13"/>
    <s v="900800595"/>
    <s v="Provexpress SAS"/>
    <s v="901179692"/>
    <x v="60"/>
    <n v="91200"/>
    <n v="0"/>
    <n v="0"/>
    <n v="571200"/>
    <s v="Aprobado con notificación"/>
    <s v="Emitido"/>
    <x v="0"/>
    <x v="0"/>
    <x v="0"/>
    <x v="0"/>
    <x v="1"/>
    <x v="1"/>
    <s v="FACTURA PAGA EN EL SISTEMA 13/01/2026"/>
  </r>
  <r>
    <s v="Factura electrónica"/>
    <s v="b1d4dcf96b0d3975e5ca887c771cb167155f34ef6d0ba55e11174d744057a38f75e88d37245748ff96467d2c56de1555"/>
    <x v="88"/>
    <n v="-1"/>
    <s v="FVE"/>
    <s v="06-01-2026"/>
    <s v="06-01-2026 11:00:17"/>
    <s v="900800595"/>
    <s v="Provexpress SAS"/>
    <s v="900482537"/>
    <x v="61"/>
    <n v="665000"/>
    <n v="0"/>
    <n v="0"/>
    <n v="4165000"/>
    <s v="Aprobado con notificación"/>
    <s v="Emitido"/>
    <x v="0"/>
    <x v="0"/>
    <x v="0"/>
    <x v="0"/>
    <x v="1"/>
    <x v="1"/>
    <s v="FACTURA PAGA EN EL SISTEMA 19/01/2026"/>
  </r>
  <r>
    <s v="Factura electrónica"/>
    <s v="6aaee11bc88967f67c31c705a4da660aa997a97ea806051ed86de20745b217996604621060dd10f9c0aad74391057441"/>
    <x v="89"/>
    <n v="-1"/>
    <s v="FVE"/>
    <s v="06-01-2026"/>
    <s v="06-01-2026 11:00:22"/>
    <s v="900800595"/>
    <s v="Provexpress SAS"/>
    <s v="900797309"/>
    <x v="62"/>
    <n v="351880"/>
    <n v="0"/>
    <n v="0"/>
    <n v="2203880"/>
    <s v="Aprobado con notificación"/>
    <s v="Emitido"/>
    <x v="0"/>
    <x v="0"/>
    <x v="0"/>
    <x v="0"/>
    <x v="1"/>
    <x v="1"/>
    <s v="PAGA EN SISTEMA 24/02/2026"/>
  </r>
  <r>
    <s v="Factura electrónica"/>
    <s v="7b30a72d41ac3712d8897698936fc1aa2ddc5f0886267cfde33baa8a90fb2d4794005899bdc4d1ce3bb5d12521eaa9db"/>
    <x v="90"/>
    <n v="-1"/>
    <s v="FVE"/>
    <s v="06-01-2026"/>
    <s v="06-01-2026 11:00:26"/>
    <s v="900800595"/>
    <s v="Provexpress SAS"/>
    <s v="890401802"/>
    <x v="63"/>
    <n v="129200"/>
    <n v="0"/>
    <n v="0"/>
    <n v="809200"/>
    <s v="Aprobado con notificación"/>
    <s v="Emitido"/>
    <x v="0"/>
    <x v="1"/>
    <x v="0"/>
    <x v="0"/>
    <x v="1"/>
    <x v="0"/>
    <m/>
  </r>
  <r>
    <s v="Factura electrónica"/>
    <s v="09deb9788a563ea83ea5999a1f4efb662fb90df178cc27d183049cce483aec4ca8910fa06ef360ac91630a5ca6bd477a"/>
    <x v="91"/>
    <n v="-1"/>
    <s v="FVE"/>
    <s v="06-01-2026"/>
    <s v="06-01-2026 11:00:30"/>
    <s v="900800595"/>
    <s v="Provexpress SAS"/>
    <s v="890401802"/>
    <x v="63"/>
    <n v="807500"/>
    <n v="0"/>
    <n v="0"/>
    <n v="5057500"/>
    <s v="Aprobado con notificación"/>
    <s v="Emitido"/>
    <x v="0"/>
    <x v="1"/>
    <x v="0"/>
    <x v="0"/>
    <x v="1"/>
    <x v="0"/>
    <m/>
  </r>
  <r>
    <s v="Factura electrónica"/>
    <s v="56e00bf63c4ce1c0ab8b63d77dffd3ab10483721074054c35aa3ed2dbd3633e459eef19a04ebb2c4bc31b47f6545da11"/>
    <x v="92"/>
    <n v="-1"/>
    <s v="FVE"/>
    <s v="06-01-2026"/>
    <s v="06-01-2026 11:15:41"/>
    <s v="900800595"/>
    <s v="Provexpress SAS"/>
    <s v="890401802"/>
    <x v="63"/>
    <n v="13680"/>
    <n v="0"/>
    <n v="0"/>
    <n v="85680"/>
    <s v="Aprobado con notificación"/>
    <s v="Emitido"/>
    <x v="0"/>
    <x v="1"/>
    <x v="0"/>
    <x v="0"/>
    <x v="1"/>
    <x v="0"/>
    <m/>
  </r>
  <r>
    <s v="Factura electrónica"/>
    <s v="712c632604d7af87b825457d822bddcef4c2c21c25b56c01961604318a865a7d09ac4c81609d8d76eb3bec7f744b1168"/>
    <x v="93"/>
    <n v="-1"/>
    <s v="FVE"/>
    <s v="06-01-2026"/>
    <s v="06-01-2026 11:15:46"/>
    <s v="900800595"/>
    <s v="Provexpress SAS"/>
    <s v="890401802"/>
    <x v="63"/>
    <n v="446500"/>
    <n v="0"/>
    <n v="0"/>
    <n v="2796500"/>
    <s v="Aprobado con notificación"/>
    <s v="Emitido"/>
    <x v="0"/>
    <x v="1"/>
    <x v="0"/>
    <x v="0"/>
    <x v="1"/>
    <x v="0"/>
    <m/>
  </r>
  <r>
    <s v="Factura electrónica"/>
    <s v="2731abcc2d7aea355ca7e8d5663df21ed8af066b41c4505b07cf94ab8784d123c07cae360926dbd15dd259a6a559ca0b"/>
    <x v="94"/>
    <n v="-1"/>
    <s v="FVE"/>
    <s v="06-01-2026"/>
    <s v="06-01-2026 11:16:31"/>
    <s v="900800595"/>
    <s v="Provexpress SAS"/>
    <s v="800059470"/>
    <x v="64"/>
    <n v="2152700"/>
    <n v="0"/>
    <n v="0"/>
    <n v="13482700"/>
    <s v="Aprobado con notificación"/>
    <s v="Emitido"/>
    <x v="0"/>
    <x v="0"/>
    <x v="0"/>
    <x v="0"/>
    <x v="1"/>
    <x v="1"/>
    <s v="PAGA EN SISTEMA 10/02/2026"/>
  </r>
  <r>
    <s v="Factura electrónica"/>
    <s v="08ea273ecc06fd8bc36add58d579931228b7e9e12b448370b9e44fd3e4a22c73f66689315082a8d88ea7fa2d6fd6e16d"/>
    <x v="95"/>
    <n v="-1"/>
    <s v="FVE"/>
    <s v="06-01-2026"/>
    <s v="06-01-2026 11:16:30"/>
    <s v="900800595"/>
    <s v="Provexpress SAS"/>
    <s v="900488297"/>
    <x v="65"/>
    <n v="112670"/>
    <n v="0"/>
    <n v="0"/>
    <n v="705670"/>
    <s v="Aprobado con notificación"/>
    <s v="Emitido"/>
    <x v="0"/>
    <x v="0"/>
    <x v="1"/>
    <x v="0"/>
    <x v="1"/>
    <x v="0"/>
    <m/>
  </r>
  <r>
    <s v="Factura electrónica"/>
    <s v="ed60fdb578e17330a8238b75a127efa8fb80b2d5555097e68f5c4086fba9887cfd66ffa12e2fe22a5731e0f5cbef6b93"/>
    <x v="96"/>
    <n v="-1"/>
    <s v="FVE"/>
    <s v="06-01-2026"/>
    <s v="06-01-2026 11:16:01"/>
    <s v="900800595"/>
    <s v="Provexpress SAS"/>
    <s v="900488297"/>
    <x v="65"/>
    <n v="73150"/>
    <n v="0"/>
    <n v="0"/>
    <n v="458150"/>
    <s v="Aprobado con notificación"/>
    <s v="Emitido"/>
    <x v="0"/>
    <x v="0"/>
    <x v="1"/>
    <x v="0"/>
    <x v="1"/>
    <x v="0"/>
    <m/>
  </r>
  <r>
    <s v="Factura electrónica"/>
    <s v="ac456cd122f4a9093995cbd8f0b128623526af17d764c18a7ce5a17c4a0bcb23ff04b8f0e455f20fd65cc084419c1f4c"/>
    <x v="97"/>
    <n v="-1"/>
    <s v="FVE"/>
    <s v="06-01-2026"/>
    <s v="06-01-2026 11:16:05"/>
    <s v="900800595"/>
    <s v="Provexpress SAS"/>
    <s v="900488297"/>
    <x v="65"/>
    <n v="0"/>
    <n v="0"/>
    <n v="0"/>
    <n v="1180000"/>
    <s v="Aprobado con notificación"/>
    <s v="Emitido"/>
    <x v="0"/>
    <x v="0"/>
    <x v="1"/>
    <x v="0"/>
    <x v="1"/>
    <x v="0"/>
    <m/>
  </r>
  <r>
    <s v="Factura electrónica"/>
    <s v="f1d256425f4cc277ef784933537d1fe2f9159571d5c3879f5b5db4bc1fd6d1c97761f53717f7a455b4ec2259ae059a0e"/>
    <x v="98"/>
    <n v="-1"/>
    <s v="FVE"/>
    <s v="06-01-2026"/>
    <s v="06-01-2026 11:16:09"/>
    <s v="900800595"/>
    <s v="Provexpress SAS"/>
    <s v="860066942"/>
    <x v="66"/>
    <n v="136800"/>
    <n v="0"/>
    <n v="0"/>
    <n v="856800"/>
    <s v="Aprobado con notificación"/>
    <s v="Emitido"/>
    <x v="0"/>
    <x v="0"/>
    <x v="0"/>
    <x v="0"/>
    <x v="1"/>
    <x v="1"/>
    <s v="PAGA EN SISTEMA 05/02/2026"/>
  </r>
  <r>
    <s v="Factura electrónica"/>
    <s v="4dbe0ff562d6c4d067f3ba9c499bd8752ae36379b2746396826f2ba5bea33a4680e53fcb05b16b5e08bb2c7ffe3e9eb6"/>
    <x v="99"/>
    <n v="-1"/>
    <s v="FVE"/>
    <s v="06-01-2026"/>
    <s v="06-01-2026 11:16:14"/>
    <s v="900800595"/>
    <s v="Provexpress SAS"/>
    <s v="900103457"/>
    <x v="67"/>
    <n v="65360"/>
    <n v="0"/>
    <n v="0"/>
    <n v="409360"/>
    <s v="Aprobado con notificación"/>
    <s v="Emitido"/>
    <x v="0"/>
    <x v="0"/>
    <x v="1"/>
    <x v="0"/>
    <x v="1"/>
    <x v="0"/>
    <m/>
  </r>
  <r>
    <s v="Factura electrónica"/>
    <s v="1b87419fc9f447d97e70f7dbbff8c5fee167ca1d39086ed78c1a51b521bd98da78be7ce29ef536bc95c7aa7d83295f9a"/>
    <x v="100"/>
    <n v="-1"/>
    <s v="FVE"/>
    <s v="06-01-2026"/>
    <s v="06-01-2026 11:16:19"/>
    <s v="900800595"/>
    <s v="Provexpress SAS"/>
    <s v="900180801"/>
    <x v="68"/>
    <n v="232265.5"/>
    <n v="0"/>
    <n v="0"/>
    <n v="1462515.5"/>
    <s v="Aprobado con notificación"/>
    <s v="Emitido"/>
    <x v="0"/>
    <x v="0"/>
    <x v="0"/>
    <x v="0"/>
    <x v="0"/>
    <x v="0"/>
    <m/>
  </r>
  <r>
    <s v="Factura electrónica"/>
    <s v="f386f321031d6f0d81551734f7efa59556a7d19529720740446b8bfebd32acb74bea48d47dee7fb0d13844dccf3d9396"/>
    <x v="101"/>
    <n v="-1"/>
    <s v="FVE"/>
    <s v="06-01-2026"/>
    <s v="06-01-2026 11:16:31"/>
    <s v="900800595"/>
    <s v="Provexpress SAS"/>
    <s v="900180801"/>
    <x v="68"/>
    <n v="1198900"/>
    <n v="0"/>
    <n v="0"/>
    <n v="7508900"/>
    <s v="Aprobado con notificación"/>
    <s v="Emitido"/>
    <x v="0"/>
    <x v="0"/>
    <x v="0"/>
    <x v="0"/>
    <x v="0"/>
    <x v="0"/>
    <m/>
  </r>
  <r>
    <s v="Factura electrónica"/>
    <s v="b41f61b744cf397728631a3b024ccc07b370ba413d463d44815e84085afab9ca2609e0bf9365796a12a8b33888845cc1"/>
    <x v="102"/>
    <n v="-1"/>
    <s v="FVE"/>
    <s v="06-01-2026"/>
    <s v="06-01-2026 11:16:28"/>
    <s v="900800595"/>
    <s v="Provexpress SAS"/>
    <s v="900180801"/>
    <x v="68"/>
    <n v="122928"/>
    <n v="0"/>
    <n v="0"/>
    <n v="1981728"/>
    <s v="Aprobado con notificación"/>
    <s v="Emitido"/>
    <x v="0"/>
    <x v="0"/>
    <x v="0"/>
    <x v="0"/>
    <x v="0"/>
    <x v="0"/>
    <m/>
  </r>
  <r>
    <s v="Factura electrónica"/>
    <s v="b620ff25c0f4b2f851e25a4e4bf6bc721793a11410c678d2b17a05bd6a4413b065367b47f5a652d29dd4b29c67fa499b"/>
    <x v="103"/>
    <n v="-1"/>
    <s v="FVE"/>
    <s v="06-01-2026"/>
    <s v="06-01-2026 11:16:33"/>
    <s v="900800595"/>
    <s v="Provexpress SAS"/>
    <s v="900180801"/>
    <x v="68"/>
    <n v="541139"/>
    <n v="0"/>
    <n v="0"/>
    <n v="3389239"/>
    <s v="Aprobado con notificación"/>
    <s v="Emitido"/>
    <x v="0"/>
    <x v="0"/>
    <x v="0"/>
    <x v="0"/>
    <x v="0"/>
    <x v="0"/>
    <m/>
  </r>
  <r>
    <s v="Factura electrónica"/>
    <s v="fedc4ea1d38210195e65485bc9b9478970ba31b92e232e78f68eab592f8e98838535487219fc29acda04e6b9a81ccef0"/>
    <x v="104"/>
    <n v="-1"/>
    <s v="FVE"/>
    <s v="06-01-2026"/>
    <s v="06-01-2026 11:16:38"/>
    <s v="900800595"/>
    <s v="Provexpress SAS"/>
    <s v="860049275"/>
    <x v="69"/>
    <n v="912000"/>
    <n v="0"/>
    <n v="0"/>
    <n v="5712000"/>
    <s v="Aprobado con notificación"/>
    <s v="Emitido"/>
    <x v="0"/>
    <x v="0"/>
    <x v="0"/>
    <x v="0"/>
    <x v="1"/>
    <x v="1"/>
    <s v="FACTURA PAGA EN EL SISTEMA 6/02/2026"/>
  </r>
  <r>
    <s v="Factura electrónica"/>
    <s v="21d02c7b4445f7050c4f1b9cbc9aedaa74e6b0851cd7312a0266952caddd77c3cba2b8d95ea8c9f57bf9bbcfc9bd32b6"/>
    <x v="105"/>
    <n v="-1"/>
    <s v="FVE"/>
    <s v="06-01-2026"/>
    <s v="06-01-2026 11:31:48"/>
    <s v="900800595"/>
    <s v="Provexpress SAS"/>
    <s v="901230120"/>
    <x v="70"/>
    <n v="0"/>
    <n v="0"/>
    <n v="0"/>
    <n v="2550000"/>
    <s v="Aprobado con notificación"/>
    <s v="Emitido"/>
    <x v="0"/>
    <x v="0"/>
    <x v="0"/>
    <x v="0"/>
    <x v="1"/>
    <x v="0"/>
    <s v="PAGA EN SISTEMA 09/02/2026"/>
  </r>
  <r>
    <s v="Factura electrónica"/>
    <s v="5d4db172738288df6d298bcbac23591cededab784d25ce55305d33f7ee0cfad04b7621f9bf8b7f072870210261664f6c"/>
    <x v="106"/>
    <n v="-1"/>
    <s v="FVE"/>
    <s v="06-01-2026"/>
    <s v="06-01-2026 11:31:52"/>
    <s v="900800595"/>
    <s v="Provexpress SAS"/>
    <s v="830050619"/>
    <x v="71"/>
    <n v="169130.97"/>
    <n v="0"/>
    <n v="0"/>
    <n v="1059293.97"/>
    <s v="Aprobado con notificación"/>
    <s v="Emitido"/>
    <x v="0"/>
    <x v="0"/>
    <x v="0"/>
    <x v="1"/>
    <x v="1"/>
    <x v="0"/>
    <m/>
  </r>
  <r>
    <s v="Factura electrónica"/>
    <s v="563e046b9634752cf789cd8a94ac753d7db425e9f7b3854db73c870693a482405bbdd4520875d12e558ad11935be32a4"/>
    <x v="107"/>
    <n v="-1"/>
    <s v="FVE"/>
    <s v="06-01-2026"/>
    <s v="06-01-2026 11:31:56"/>
    <s v="900800595"/>
    <s v="Provexpress SAS"/>
    <s v="860053831"/>
    <x v="72"/>
    <n v="50950.400000000001"/>
    <n v="0"/>
    <n v="0"/>
    <n v="319110.40000000002"/>
    <s v="Aprobado con notificación"/>
    <s v="Emitido"/>
    <x v="0"/>
    <x v="0"/>
    <x v="0"/>
    <x v="0"/>
    <x v="1"/>
    <x v="1"/>
    <s v="PAGA EN SISTEMA 02/02/2026"/>
  </r>
  <r>
    <s v="Factura electrónica"/>
    <s v="65dacaec519db8713198c11fc1b8c87cdf5a0b6ee87cf357b4c6df4f62f6e6115021bc4c35d693ae01aafd1c25a31531"/>
    <x v="108"/>
    <n v="-1"/>
    <s v="FVE"/>
    <s v="06-01-2026"/>
    <s v="06-01-2026 11:47:07"/>
    <s v="900800595"/>
    <s v="Provexpress SAS"/>
    <s v="900383203"/>
    <x v="73"/>
    <n v="832485"/>
    <n v="0"/>
    <n v="0"/>
    <n v="5213985"/>
    <s v="Aprobado con notificación"/>
    <s v="Emitido"/>
    <x v="0"/>
    <x v="0"/>
    <x v="0"/>
    <x v="0"/>
    <x v="0"/>
    <x v="0"/>
    <m/>
  </r>
  <r>
    <s v="Factura electrónica"/>
    <s v="38b95e1642f6ba666cdb13b5bb142cd3af94a62d17dc0dc180a08fe1696d596dbb3391d827ca66d3e7bb0bbfbee35074"/>
    <x v="109"/>
    <n v="-1"/>
    <s v="FVE"/>
    <s v="06-01-2026"/>
    <s v="06-01-2026 12:02:19"/>
    <s v="900800595"/>
    <s v="Provexpress SAS"/>
    <s v="860522056"/>
    <x v="74"/>
    <n v="752799"/>
    <n v="0"/>
    <n v="0"/>
    <n v="4714899"/>
    <s v="Aprobado con notificación"/>
    <s v="Emitido"/>
    <x v="0"/>
    <x v="0"/>
    <x v="0"/>
    <x v="0"/>
    <x v="1"/>
    <x v="0"/>
    <m/>
  </r>
  <r>
    <s v="Factura electrónica"/>
    <s v="fd2d6e5309b5bbda34c13ae168f14dd3728fd179925753bf10e69dc58ebb564b0f5f3d0216b0d984493ab27dd625d48a"/>
    <x v="110"/>
    <n v="-1"/>
    <s v="FVE"/>
    <s v="06-01-2026"/>
    <s v="06-01-2026 12:32:36"/>
    <s v="900800595"/>
    <s v="Provexpress SAS"/>
    <s v="800156354"/>
    <x v="75"/>
    <n v="49400"/>
    <n v="0"/>
    <n v="0"/>
    <n v="309400"/>
    <s v="Aprobado con notificación"/>
    <s v="Emitido"/>
    <x v="0"/>
    <x v="0"/>
    <x v="0"/>
    <x v="0"/>
    <x v="1"/>
    <x v="0"/>
    <m/>
  </r>
  <r>
    <s v="Factura electrónica"/>
    <s v="ba982c91753ce5a03dfb0b3145f57d549e91d069dd081d918d88be84d6af42e45a0ce2aa23d39b6cd5e7e3eb60e04883"/>
    <x v="111"/>
    <n v="-1"/>
    <s v="FVE"/>
    <s v="06-01-2026"/>
    <s v="06-01-2026 12:32:41"/>
    <s v="900800595"/>
    <s v="Provexpress SAS"/>
    <s v="900899110"/>
    <x v="76"/>
    <n v="118063.34"/>
    <n v="0"/>
    <n v="0"/>
    <n v="739449.34"/>
    <s v="Aprobado con notificación"/>
    <s v="Emitido"/>
    <x v="0"/>
    <x v="0"/>
    <x v="1"/>
    <x v="0"/>
    <x v="1"/>
    <x v="0"/>
    <m/>
  </r>
  <r>
    <s v="Factura electrónica"/>
    <s v="3091f852b0b8dd3e5c205a26fd4e509b45e8c3ef1dce9a6444d2eae60dceecf55cf4d64e8603ecb839487eaba0fbfb39"/>
    <x v="112"/>
    <n v="-1"/>
    <s v="FVE"/>
    <s v="06-01-2026"/>
    <s v="06-01-2026 12:32:45"/>
    <s v="900800595"/>
    <s v="Provexpress SAS"/>
    <s v="830050619"/>
    <x v="71"/>
    <n v="1066115.46"/>
    <n v="0"/>
    <n v="0"/>
    <n v="6677249.46"/>
    <s v="Aprobado con notificación"/>
    <s v="Emitido"/>
    <x v="0"/>
    <x v="0"/>
    <x v="0"/>
    <x v="1"/>
    <x v="1"/>
    <x v="0"/>
    <m/>
  </r>
  <r>
    <s v="Factura electrónica"/>
    <s v="e6bb738addcaf5fb0ed8a99318bb36c966ae51c5120c98d4e654c383d44962c73326b808d60685e7d1f60523350be530"/>
    <x v="113"/>
    <n v="-1"/>
    <s v="FVE"/>
    <s v="06-01-2026"/>
    <s v="06-01-2026 12:47:56"/>
    <s v="900800595"/>
    <s v="Provexpress SAS"/>
    <s v="900502435"/>
    <x v="77"/>
    <n v="220684.24"/>
    <n v="0"/>
    <n v="0"/>
    <n v="1418932.24"/>
    <s v="Aprobado con notificación"/>
    <s v="Emitido"/>
    <x v="0"/>
    <x v="0"/>
    <x v="0"/>
    <x v="0"/>
    <x v="1"/>
    <x v="0"/>
    <s v="PAGA EN SISTEMA 28/01/2026"/>
  </r>
  <r>
    <s v="Factura electrónica"/>
    <s v="43a19b2262b11a2f4616316232294de70e9b313ebda841ab481ef968ccf650771388f03ea30c4fb9bcf3877c37e64ed7"/>
    <x v="114"/>
    <n v="-1"/>
    <s v="FVE"/>
    <s v="06-01-2026"/>
    <s v="06-01-2026 12:48:00"/>
    <s v="900800595"/>
    <s v="Provexpress SAS"/>
    <s v="890206354"/>
    <x v="78"/>
    <n v="225625"/>
    <n v="0"/>
    <n v="0"/>
    <n v="1413125"/>
    <s v="Aprobado con notificación"/>
    <s v="Emitido"/>
    <x v="0"/>
    <x v="0"/>
    <x v="0"/>
    <x v="0"/>
    <x v="1"/>
    <x v="0"/>
    <s v="PAGA EN SISTEMA 06/02/2026"/>
  </r>
  <r>
    <s v="Factura electrónica"/>
    <s v="48ae7665d8f9047f3e225cc33489455aaaf4a9b337c024294ec2bb83a676e1b670cb019dcacda314694074a68c2fd735"/>
    <x v="115"/>
    <n v="-1"/>
    <s v="FVE"/>
    <s v="06-01-2026"/>
    <s v="06-01-2026 12:48:05"/>
    <s v="900800595"/>
    <s v="Provexpress SAS"/>
    <s v="830020109"/>
    <x v="79"/>
    <n v="78850"/>
    <n v="0"/>
    <n v="0"/>
    <n v="493850"/>
    <s v="Aprobado con notificación"/>
    <s v="Emitido"/>
    <x v="0"/>
    <x v="0"/>
    <x v="1"/>
    <x v="0"/>
    <x v="1"/>
    <x v="0"/>
    <m/>
  </r>
  <r>
    <s v="Factura electrónica"/>
    <s v="97bc31a3f26c9b4f4b70d335d8063ad8862828a61a56beda7592756f18bc21cd2ea01f9d79a898df337be2bd7da547ec"/>
    <x v="116"/>
    <n v="-1"/>
    <s v="FVE"/>
    <s v="06-01-2026"/>
    <s v="06-01-2026 12:48:09"/>
    <s v="900800595"/>
    <s v="Provexpress SAS"/>
    <s v="830020109"/>
    <x v="79"/>
    <n v="45220"/>
    <n v="0"/>
    <n v="0"/>
    <n v="283220"/>
    <s v="Aprobado con notificación"/>
    <s v="Emitido"/>
    <x v="0"/>
    <x v="0"/>
    <x v="1"/>
    <x v="0"/>
    <x v="1"/>
    <x v="0"/>
    <m/>
  </r>
  <r>
    <s v="Factura electrónica"/>
    <s v="500111ac1687a876b58e48d49ec60c377bbe6db5d63199d31ad0533e3252222dfac70ffdd45fc5a6231f65fb2b53a127"/>
    <x v="117"/>
    <n v="-1"/>
    <s v="FVE"/>
    <s v="06-01-2026"/>
    <s v="06-01-2026 12:48:15"/>
    <s v="900800595"/>
    <s v="Provexpress SAS"/>
    <s v="830034723"/>
    <x v="80"/>
    <n v="1033980"/>
    <n v="0"/>
    <n v="0"/>
    <n v="6475980"/>
    <s v="Aprobado con notificación"/>
    <s v="Emitido"/>
    <x v="0"/>
    <x v="0"/>
    <x v="0"/>
    <x v="0"/>
    <x v="1"/>
    <x v="1"/>
    <s v="FACTURA PAGA EN EL SISTEMA 2/02/2026"/>
  </r>
  <r>
    <s v="Factura electrónica"/>
    <s v="2bb854ee2c736dd67def74f3c04ebec5e581d9e7c48e472c2d97ec775dd62216c0ae51c2a5b80c4feb2d53ca269c1559"/>
    <x v="118"/>
    <n v="-1"/>
    <s v="FVE"/>
    <s v="06-01-2026"/>
    <s v="06-01-2026 13:03:25"/>
    <s v="900800595"/>
    <s v="Provexpress SAS"/>
    <s v="800237412"/>
    <x v="81"/>
    <n v="288369"/>
    <n v="0"/>
    <n v="0"/>
    <n v="2253069"/>
    <s v="Aprobado con notificación"/>
    <s v="Emitido"/>
    <x v="0"/>
    <x v="0"/>
    <x v="1"/>
    <x v="0"/>
    <x v="1"/>
    <x v="0"/>
    <m/>
  </r>
  <r>
    <s v="Factura electrónica"/>
    <s v="a729e646203147beb8ab9a2f59e4b95f140f05f9bd8f2cfb516f43bb70797f4b5e6e069bce7fc9376508813e1bd7ed57"/>
    <x v="119"/>
    <n v="-1"/>
    <s v="FVE"/>
    <s v="06-01-2026"/>
    <s v="06-01-2026 13:03:30"/>
    <s v="900800595"/>
    <s v="Provexpress SAS"/>
    <s v="800237412"/>
    <x v="81"/>
    <n v="259737"/>
    <n v="0"/>
    <n v="0"/>
    <n v="1836037"/>
    <s v="Aprobado con notificación"/>
    <s v="Emitido"/>
    <x v="0"/>
    <x v="0"/>
    <x v="1"/>
    <x v="0"/>
    <x v="1"/>
    <x v="0"/>
    <m/>
  </r>
  <r>
    <s v="Factura electrónica"/>
    <s v="1fa208bb3fb4eb4d6c550d99b67a7041cc82e2da6f932dc06b946a9ec6fec3eaf6103787004a0bb661a535ede5b77051"/>
    <x v="120"/>
    <n v="-1"/>
    <s v="FVE"/>
    <s v="06-01-2026"/>
    <s v="06-01-2026 13:03:35"/>
    <s v="900800595"/>
    <s v="Provexpress SAS"/>
    <s v="800237412"/>
    <x v="81"/>
    <n v="100479.4"/>
    <n v="0"/>
    <n v="0"/>
    <n v="650539.4"/>
    <s v="Aprobado con notificación"/>
    <s v="Emitido"/>
    <x v="0"/>
    <x v="0"/>
    <x v="1"/>
    <x v="0"/>
    <x v="1"/>
    <x v="0"/>
    <m/>
  </r>
  <r>
    <s v="Factura electrónica"/>
    <s v="a8400c4b679e2d23f2ef5b2a5958a306cd33b91cc8aa47da4317ef4ecdd9c5dea7a7b56f2a7f1f410e648be1e0f4f5bf"/>
    <x v="121"/>
    <n v="-1"/>
    <s v="FVE"/>
    <s v="06-01-2026"/>
    <s v="06-01-2026 14:19:12"/>
    <s v="900800595"/>
    <s v="Provexpress SAS"/>
    <s v="900682841"/>
    <x v="3"/>
    <n v="613320"/>
    <n v="0"/>
    <n v="0"/>
    <n v="3841320"/>
    <s v="Aprobado con notificación"/>
    <s v="Emitido"/>
    <x v="1"/>
    <x v="0"/>
    <x v="0"/>
    <x v="0"/>
    <x v="1"/>
    <x v="0"/>
    <m/>
  </r>
  <r>
    <s v="Factura electrónica"/>
    <s v="51bfd3a44d40bd802ca5915b328ca638f4e01315457e3a4d3a7bf21446d1041c78f1c25e192e764f00b7286ed4c5985d"/>
    <x v="122"/>
    <n v="-1"/>
    <s v="FVE"/>
    <s v="06-01-2026"/>
    <s v="06-01-2026 14:19:16"/>
    <s v="900800595"/>
    <s v="Provexpress SAS"/>
    <s v="800024265"/>
    <x v="4"/>
    <n v="613320"/>
    <n v="0"/>
    <n v="0"/>
    <n v="3841320"/>
    <s v="Aprobado con notificación"/>
    <s v="Emitido"/>
    <x v="0"/>
    <x v="0"/>
    <x v="1"/>
    <x v="0"/>
    <x v="1"/>
    <x v="0"/>
    <m/>
  </r>
  <r>
    <s v="Factura electrónica"/>
    <s v="20ed492f3de4deeb69f6eb53d7d85d25662937ae8126c071c37af6a2e6951486856be44da72bf93eaa0ab4b76bea417c"/>
    <x v="123"/>
    <n v="-1"/>
    <s v="FVE"/>
    <s v="06-01-2026"/>
    <s v="06-01-2026 14:19:21"/>
    <s v="900800595"/>
    <s v="Provexpress SAS"/>
    <s v="860072279"/>
    <x v="82"/>
    <n v="29787.9"/>
    <n v="0"/>
    <n v="0"/>
    <n v="363997.9"/>
    <s v="Aprobado con notificación"/>
    <s v="Emitido"/>
    <x v="0"/>
    <x v="0"/>
    <x v="0"/>
    <x v="0"/>
    <x v="1"/>
    <x v="0"/>
    <s v="PAGA EN SISTEMA 23/02/2026"/>
  </r>
  <r>
    <s v="Factura electrónica"/>
    <s v="5ba373fa5083d39134ba58d5f26f86000f714fcee7d21806481756e06ef2c40696819d6b61c68d3bcffd9321679e8a9d"/>
    <x v="124"/>
    <n v="-1"/>
    <s v="FVE"/>
    <s v="06-01-2026"/>
    <s v="06-01-2026 14:19:27"/>
    <s v="900800595"/>
    <s v="Provexpress SAS"/>
    <s v="811022981"/>
    <x v="83"/>
    <n v="48010.46"/>
    <n v="0"/>
    <n v="0"/>
    <n v="410368.46"/>
    <s v="Aprobado con notificación"/>
    <s v="Emitido"/>
    <x v="0"/>
    <x v="0"/>
    <x v="0"/>
    <x v="0"/>
    <x v="1"/>
    <x v="1"/>
    <s v="PAGA EN SISTEMA 10/02/2026"/>
  </r>
  <r>
    <s v="Factura electrónica"/>
    <s v="fd6067f41383b312b9ed0bb6a3ca0051d4490e6cbb4b3ccaf5cb0c8460dacb2fcccf8576857a6131a6b9cee5527f13b7"/>
    <x v="125"/>
    <n v="-1"/>
    <s v="FVE"/>
    <s v="06-01-2026"/>
    <s v="06-01-2026 14:19:33"/>
    <s v="900800595"/>
    <s v="Provexpress SAS"/>
    <s v="900015165"/>
    <x v="84"/>
    <n v="209558.79"/>
    <n v="0"/>
    <n v="0"/>
    <n v="1312499.79"/>
    <s v="Aprobado con notificación"/>
    <s v="Emitido"/>
    <x v="0"/>
    <x v="0"/>
    <x v="0"/>
    <x v="0"/>
    <x v="1"/>
    <x v="1"/>
    <s v="FACTURA PAGA EN EL SISTEMA 26/01/2026"/>
  </r>
  <r>
    <s v="Factura electrónica"/>
    <s v="f42036409770780cf318fc5bbdfbfcca7e71686ed4fa755ec70ea748e0a2ad2916cce5325d7e5dc5373d38500412c864"/>
    <x v="126"/>
    <n v="-1"/>
    <s v="FVE"/>
    <s v="06-01-2026"/>
    <s v="06-01-2026 14:34:44"/>
    <s v="900800595"/>
    <s v="Provexpress SAS"/>
    <s v="901041691"/>
    <x v="14"/>
    <n v="26032.47"/>
    <n v="0"/>
    <n v="0"/>
    <n v="163045.47"/>
    <s v="Aprobado con notificación"/>
    <s v="Emitido"/>
    <x v="0"/>
    <x v="0"/>
    <x v="1"/>
    <x v="0"/>
    <x v="1"/>
    <x v="0"/>
    <m/>
  </r>
  <r>
    <s v="Factura electrónica"/>
    <s v="147db3e79d75970402f34bdc41f043e6c0e77a6b4726a1c75c62866cb102645b5d6cbc19f4fdf4f662cbdc0c942e5256"/>
    <x v="127"/>
    <n v="-1"/>
    <s v="FVE"/>
    <s v="06-01-2026"/>
    <s v="06-01-2026 14:49:55"/>
    <s v="900800595"/>
    <s v="Provexpress SAS"/>
    <s v="800149384"/>
    <x v="6"/>
    <n v="39681.5"/>
    <n v="0"/>
    <n v="0"/>
    <n v="248531.5"/>
    <s v="Aprobado con notificación"/>
    <s v="Emitido"/>
    <x v="0"/>
    <x v="0"/>
    <x v="1"/>
    <x v="0"/>
    <x v="1"/>
    <x v="0"/>
    <m/>
  </r>
  <r>
    <s v="Factura electrónica"/>
    <s v="468fcd49fe449e0ff0ee01f0869a7440e6883ae731c445659cba45213a12031fc3d9abb13e7d37c05326fc964364e34d"/>
    <x v="128"/>
    <n v="-1"/>
    <s v="FVE"/>
    <s v="06-01-2026"/>
    <s v="06-01-2026 14:50:00"/>
    <s v="900800595"/>
    <s v="Provexpress SAS"/>
    <s v="900206480"/>
    <x v="85"/>
    <n v="28500"/>
    <n v="0"/>
    <n v="0"/>
    <n v="178500"/>
    <s v="Aprobado con notificación"/>
    <s v="Emitido"/>
    <x v="0"/>
    <x v="0"/>
    <x v="0"/>
    <x v="0"/>
    <x v="1"/>
    <x v="1"/>
    <s v="FACTURA PAGA EN EL SISTEMA 09/02/2026"/>
  </r>
  <r>
    <s v="Factura electrónica"/>
    <s v="af6e8bd8e4020fa3be295ca1250618709f3c267ae2af95ce8572c000b7fca7ce13308687f76ae45d852677eff5406441"/>
    <x v="129"/>
    <n v="-1"/>
    <s v="FVE"/>
    <s v="06-01-2026"/>
    <s v="06-01-2026 14:50:04"/>
    <s v="900800595"/>
    <s v="Provexpress SAS"/>
    <s v="900241101"/>
    <x v="86"/>
    <n v="2215397.91"/>
    <n v="0"/>
    <n v="0"/>
    <n v="13875386.91"/>
    <s v="Aprobado con notificación"/>
    <s v="Emitido"/>
    <x v="0"/>
    <x v="0"/>
    <x v="0"/>
    <x v="0"/>
    <x v="1"/>
    <x v="1"/>
    <s v="PAGA EN SISTEMA 24/02/2026"/>
  </r>
  <r>
    <s v="Factura electrónica"/>
    <s v="a7b442023e95e09f63b61aafc67a948f817f36a5f827355d05adb589fa7d4ebfdb57515324bed9aec6ed4568b456e067"/>
    <x v="130"/>
    <n v="-1"/>
    <s v="FVE"/>
    <s v="06-01-2026"/>
    <s v="06-01-2026 15:05:15"/>
    <s v="900800595"/>
    <s v="Provexpress SAS"/>
    <s v="900396967"/>
    <x v="87"/>
    <n v="35150"/>
    <n v="0"/>
    <n v="0"/>
    <n v="220150"/>
    <s v="Aprobado con notificación"/>
    <s v="Emitido"/>
    <x v="0"/>
    <x v="0"/>
    <x v="0"/>
    <x v="0"/>
    <x v="1"/>
    <x v="1"/>
    <s v="FACTURA PAGA EN EL SISTEMA 30/01/2026"/>
  </r>
  <r>
    <s v="Factura electrónica"/>
    <s v="fa7d08c54939870b01b9dc2259a2295dbb6cc5822b49e27c1049d59b1d60ae3b64d12c59657c1b09f3d58c0f6f77c89f"/>
    <x v="131"/>
    <n v="-1"/>
    <s v="FVE"/>
    <s v="06-01-2026"/>
    <s v="06-01-2026 15:05:22"/>
    <s v="900800595"/>
    <s v="Provexpress SAS"/>
    <s v="800103826"/>
    <x v="88"/>
    <n v="68400"/>
    <n v="0"/>
    <n v="0"/>
    <n v="428400"/>
    <s v="Aprobado con notificación"/>
    <s v="Emitido"/>
    <x v="0"/>
    <x v="0"/>
    <x v="0"/>
    <x v="0"/>
    <x v="1"/>
    <x v="0"/>
    <s v="PAGA EN SISTEMA 05/02/2026"/>
  </r>
  <r>
    <s v="Factura electrónica"/>
    <s v="bbfdd23712c27f314eb16c6917f205b8c2e0c2a5d670864ae22f624714f1f1101d8bd2f8dcef8cc54ea11347db5641e7"/>
    <x v="132"/>
    <n v="-1"/>
    <s v="FVE"/>
    <s v="06-01-2026"/>
    <s v="06-01-2026 15:05:25"/>
    <s v="900800595"/>
    <s v="Provexpress SAS"/>
    <s v="800241469"/>
    <x v="89"/>
    <n v="142500"/>
    <n v="0"/>
    <n v="0"/>
    <n v="892500"/>
    <s v="Aprobado con notificación"/>
    <s v="Emitido"/>
    <x v="0"/>
    <x v="0"/>
    <x v="0"/>
    <x v="0"/>
    <x v="1"/>
    <x v="0"/>
    <s v="PAGA EN SISTEMA 22/01/2026"/>
  </r>
  <r>
    <s v="Factura electrónica"/>
    <s v="2945f4dd09ef3ca832beffd7cbd433ff9cdb66451b89e04c4836350c12864166c260c0a4ed61f79807b643cbffed0430"/>
    <x v="133"/>
    <n v="-1"/>
    <s v="FVE"/>
    <s v="06-01-2026"/>
    <s v="06-01-2026 15:20:37"/>
    <s v="900800595"/>
    <s v="Provexpress SAS"/>
    <s v="830055467"/>
    <x v="90"/>
    <n v="106409.5"/>
    <n v="0"/>
    <n v="0"/>
    <n v="666459.5"/>
    <s v="Aprobado con notificación"/>
    <s v="Emitido"/>
    <x v="0"/>
    <x v="0"/>
    <x v="0"/>
    <x v="0"/>
    <x v="1"/>
    <x v="1"/>
    <s v="FACTURA PAGA EN EL SISTEMA 4/02/2026"/>
  </r>
  <r>
    <s v="Factura electrónica"/>
    <s v="91cdaa29e58d2b182cb9578ab7367ad7ea5ef07bbfc31cf03a1abd8afbb4dd7efb6f0046a897533bafc4ce4715ce7711"/>
    <x v="134"/>
    <n v="-1"/>
    <s v="FVE"/>
    <s v="06-01-2026"/>
    <s v="06-01-2026 15:20:40"/>
    <s v="900800595"/>
    <s v="Provexpress SAS"/>
    <s v="800194600"/>
    <x v="91"/>
    <n v="3800"/>
    <n v="0"/>
    <n v="0"/>
    <n v="23800"/>
    <s v="Aprobado con notificación"/>
    <s v="Emitido"/>
    <x v="0"/>
    <x v="0"/>
    <x v="0"/>
    <x v="0"/>
    <x v="1"/>
    <x v="1"/>
    <s v="FACTURA PAGA EN EL SISTEMA 27/01/2026"/>
  </r>
  <r>
    <s v="Factura electrónica"/>
    <s v="687b2a1ab63d304c1aba5616fe1ff27ed2f496fa488e213320021e53793f4f8aa67f9a9d4874ead74aa0ad499502c83d"/>
    <x v="135"/>
    <n v="-1"/>
    <s v="FVE"/>
    <s v="07-01-2026"/>
    <s v="07-01-2026 07:42:42"/>
    <s v="900800595"/>
    <s v="Provexpress SAS"/>
    <s v="800247814"/>
    <x v="92"/>
    <n v="21369"/>
    <n v="0"/>
    <n v="0"/>
    <n v="288869"/>
    <s v="Aprobado con notificación"/>
    <s v="Emitido"/>
    <x v="0"/>
    <x v="0"/>
    <x v="0"/>
    <x v="0"/>
    <x v="1"/>
    <x v="1"/>
    <s v="FACTURA PAGA EN EL SISTEMA 23/01/2026"/>
  </r>
  <r>
    <s v="Factura electrónica"/>
    <s v="49fe99628cc03594d0f350dd94ec3c4772f7ccb7dab82a3d7e6bd0175edaf12d74875d9eb54f12f70600425eb477d431"/>
    <x v="136"/>
    <n v="-1"/>
    <s v="FVE"/>
    <s v="07-01-2026"/>
    <s v="07-01-2026 08:43:17"/>
    <s v="900800595"/>
    <s v="Provexpress SAS"/>
    <s v="830144405"/>
    <x v="93"/>
    <n v="1326200"/>
    <n v="0"/>
    <n v="0"/>
    <n v="8306200"/>
    <s v="Aprobado con notificación"/>
    <s v="Emitido"/>
    <x v="0"/>
    <x v="0"/>
    <x v="0"/>
    <x v="0"/>
    <x v="1"/>
    <x v="0"/>
    <s v="PAGA EN SISTEMA 09/02/2026"/>
  </r>
  <r>
    <s v="Factura electrónica"/>
    <s v="01ba6993de3ed974d1366e241fd3c9af7c84134788ba453415ee9e94c85922ab0a45497e63a2db376921ec87102b44f5"/>
    <x v="137"/>
    <n v="-1"/>
    <s v="FVE"/>
    <s v="07-01-2026"/>
    <s v="07-01-2026 09:30:09"/>
    <s v="900800595"/>
    <s v="Provexpress SAS"/>
    <s v="860450450"/>
    <x v="94"/>
    <n v="103740"/>
    <n v="0"/>
    <n v="0"/>
    <n v="649740"/>
    <s v="Aprobado con notificación"/>
    <s v="Emitido"/>
    <x v="0"/>
    <x v="0"/>
    <x v="0"/>
    <x v="0"/>
    <x v="1"/>
    <x v="0"/>
    <s v="PAGA EN SISTEMA 10/02/2026"/>
  </r>
  <r>
    <s v="Factura electrónica"/>
    <s v="e356621dfa09c42699b6061c2870a24ca272261135090ab00512bbe3555d7e3a0d4a2b97fb471473d77b87cf74f11c1f"/>
    <x v="138"/>
    <n v="-1"/>
    <s v="FVE"/>
    <s v="07-01-2026"/>
    <s v="07-01-2026 09:29:00"/>
    <s v="900800595"/>
    <s v="Provexpress SAS"/>
    <s v="800019102"/>
    <x v="35"/>
    <n v="38949.050000000003"/>
    <n v="0"/>
    <n v="0"/>
    <n v="243944.05"/>
    <s v="Aprobado con notificación"/>
    <s v="Emitido"/>
    <x v="0"/>
    <x v="0"/>
    <x v="0"/>
    <x v="0"/>
    <x v="1"/>
    <x v="0"/>
    <s v="PAGA EN SISTEMA 30/01/2026"/>
  </r>
  <r>
    <s v="Factura electrónica"/>
    <s v="c8f31762015e2cb71aac7a090388d40ccec50d62e938d174c6a7a61bf4f9298dc2656b862457c213fa7b7b3e12d993fa"/>
    <x v="139"/>
    <n v="-1"/>
    <s v="FVE"/>
    <s v="07-01-2026"/>
    <s v="07-01-2026 09:44:00"/>
    <s v="900800595"/>
    <s v="Provexpress SAS"/>
    <s v="800063606"/>
    <x v="95"/>
    <n v="62130"/>
    <n v="0"/>
    <n v="0"/>
    <n v="389130"/>
    <s v="Aprobado con notificación"/>
    <s v="Emitido"/>
    <x v="0"/>
    <x v="0"/>
    <x v="0"/>
    <x v="0"/>
    <x v="1"/>
    <x v="1"/>
    <s v="PAGA EN SISTEMA 09/02/2026"/>
  </r>
  <r>
    <s v="Factura electrónica"/>
    <s v="162bd540054d4283696112e744255cfafd52bce4011cb35e8d5f7bcc7cbaa15d6915cb693686eaa3474b631b8f746bed"/>
    <x v="140"/>
    <n v="-1"/>
    <s v="FVE"/>
    <s v="07-01-2026"/>
    <s v="07-01-2026 09:44:41"/>
    <s v="900800595"/>
    <s v="Provexpress SAS"/>
    <s v="800079051"/>
    <x v="96"/>
    <n v="64182"/>
    <n v="0"/>
    <n v="0"/>
    <n v="401982"/>
    <s v="Aprobado con notificación"/>
    <s v="Emitido"/>
    <x v="0"/>
    <x v="0"/>
    <x v="0"/>
    <x v="0"/>
    <x v="1"/>
    <x v="1"/>
    <s v="FACTURA PAGA EN EL SISTEMA 9/02/2026"/>
  </r>
  <r>
    <s v="Factura electrónica"/>
    <s v="9e8068954b56455277322737cf98e5adf34f4ea9d473093eb5770ef5a5eb90eda6b402684e0cd146980a10722298953b"/>
    <x v="141"/>
    <n v="-1"/>
    <s v="FVE"/>
    <s v="07-01-2026"/>
    <s v="07-01-2026 09:44:08"/>
    <s v="900800595"/>
    <s v="Provexpress SAS"/>
    <s v="830046757"/>
    <x v="97"/>
    <n v="125343"/>
    <n v="0"/>
    <n v="0"/>
    <n v="785043"/>
    <s v="Aprobado con notificación"/>
    <s v="Emitido"/>
    <x v="0"/>
    <x v="0"/>
    <x v="0"/>
    <x v="0"/>
    <x v="0"/>
    <x v="0"/>
    <m/>
  </r>
  <r>
    <s v="Factura electrónica"/>
    <s v="c262ed0b1592cd5f33528d2a81e517a6fc842a17cd86e5f0a40175fb9f17a6294ebccbbccad758ef4a20db380df30331"/>
    <x v="142"/>
    <n v="-1"/>
    <s v="FVE"/>
    <s v="07-01-2026"/>
    <s v="07-01-2026 09:44:14"/>
    <s v="900800595"/>
    <s v="Provexpress SAS"/>
    <s v="830021423"/>
    <x v="98"/>
    <n v="42750"/>
    <n v="0"/>
    <n v="0"/>
    <n v="267750"/>
    <s v="Aprobado con notificación"/>
    <s v="Emitido"/>
    <x v="0"/>
    <x v="0"/>
    <x v="0"/>
    <x v="0"/>
    <x v="1"/>
    <x v="1"/>
    <s v="PAGA EN SISTEMA 09/02/2026"/>
  </r>
  <r>
    <s v="Factura electrónica"/>
    <s v="4cd7dde01bd7976b3dd456b6a3eba54560487ab44845388605b9de91a2c0a4a883b5a31a54a8b2ebdaf60a1fda182572"/>
    <x v="143"/>
    <n v="-1"/>
    <s v="FVE"/>
    <s v="07-01-2026"/>
    <s v="07-01-2026 09:44:39"/>
    <s v="900800595"/>
    <s v="Provexpress SAS"/>
    <s v="800251569"/>
    <x v="99"/>
    <n v="1939294.47"/>
    <n v="0"/>
    <n v="0"/>
    <n v="12146107.470000001"/>
    <s v="Aprobado con notificación"/>
    <s v="Emitido"/>
    <x v="0"/>
    <x v="0"/>
    <x v="0"/>
    <x v="0"/>
    <x v="1"/>
    <x v="1"/>
    <s v="FACTURA PAGA EN EL SISTEMA 21/01/2026"/>
  </r>
  <r>
    <s v="Factura electrónica"/>
    <s v="7e91641cadaed71645ea806259d2ba3a7aa71d7cd77b843e88d968337445b90abceefc15e6763ff90a6841b4287eecb1"/>
    <x v="144"/>
    <n v="-1"/>
    <s v="FVE"/>
    <s v="07-01-2026"/>
    <s v="07-01-2026 10:14:35"/>
    <s v="900800595"/>
    <s v="Provexpress SAS"/>
    <s v="901038007"/>
    <x v="100"/>
    <n v="60925.78"/>
    <n v="0"/>
    <n v="0"/>
    <n v="381587.78"/>
    <s v="Aprobado con notificación"/>
    <s v="Emitido"/>
    <x v="0"/>
    <x v="0"/>
    <x v="0"/>
    <x v="0"/>
    <x v="1"/>
    <x v="1"/>
    <s v="PAGA EN SISTEMA 25/02/2026"/>
  </r>
  <r>
    <s v="Factura electrónica"/>
    <s v="7bb8b5a694afeef2d6aab933e4d509ba8be3a52f53e71074b1f1794fa92fa4ead459f3e056fe915e90b3e7edb9168a5f"/>
    <x v="145"/>
    <n v="-1"/>
    <s v="FVE"/>
    <s v="07-01-2026"/>
    <s v="07-01-2026 10:14:39"/>
    <s v="900800595"/>
    <s v="Provexpress SAS"/>
    <s v="830054539"/>
    <x v="101"/>
    <n v="431583.29"/>
    <n v="0"/>
    <n v="0"/>
    <n v="2703074.29"/>
    <s v="Aprobado con notificación"/>
    <s v="Emitido"/>
    <x v="0"/>
    <x v="0"/>
    <x v="0"/>
    <x v="0"/>
    <x v="1"/>
    <x v="1"/>
    <s v="PAGA EN SISTEMA 20/02/2026"/>
  </r>
  <r>
    <s v="Factura electrónica"/>
    <s v="18d737bf45ed3206bf0ea998c3ec09ec6d44f38d23ffdfa360dff371e2f1308af6834494eeed5c38f4ba87601a1e97f3"/>
    <x v="146"/>
    <n v="-1"/>
    <s v="FVE"/>
    <s v="07-01-2026"/>
    <s v="07-01-2026 10:30:36"/>
    <s v="900800595"/>
    <s v="Provexpress SAS"/>
    <s v="900496641"/>
    <x v="102"/>
    <n v="144799"/>
    <n v="0"/>
    <n v="0"/>
    <n v="906899"/>
    <s v="Aprobado con notificación"/>
    <s v="Emitido"/>
    <x v="0"/>
    <x v="0"/>
    <x v="1"/>
    <x v="0"/>
    <x v="1"/>
    <x v="0"/>
    <m/>
  </r>
  <r>
    <s v="Factura electrónica"/>
    <s v="56c0303edbd2040f00382b9242748a6e501a914862968a8c8eb75e69d7969efb9ce0085c6bdaa2b1b9d04328fc2bcbf2"/>
    <x v="147"/>
    <n v="-1"/>
    <s v="FVE"/>
    <s v="07-01-2026"/>
    <s v="07-01-2026 10:45:02"/>
    <s v="900800595"/>
    <s v="Provexpress SAS"/>
    <s v="900206480"/>
    <x v="85"/>
    <n v="461794.62"/>
    <n v="0"/>
    <n v="0"/>
    <n v="2892292.62"/>
    <s v="Aprobado con notificación"/>
    <s v="Emitido"/>
    <x v="0"/>
    <x v="0"/>
    <x v="0"/>
    <x v="0"/>
    <x v="1"/>
    <x v="1"/>
    <s v="FACTURA PAGA EN EL SISTEMA 20/01/2026"/>
  </r>
  <r>
    <s v="Factura electrónica"/>
    <s v="f19c13e68ec1502aa804bf4b0bc7c3fa05b8baf29db92f79e7d220adf669ab212dc72f089cdd41978fb70f23af949b34"/>
    <x v="148"/>
    <n v="-1"/>
    <s v="FVE"/>
    <s v="07-01-2026"/>
    <s v="07-01-2026 11:00:13"/>
    <s v="900800595"/>
    <s v="Provexpress SAS"/>
    <s v="800155413"/>
    <x v="103"/>
    <n v="1348838.5"/>
    <n v="0"/>
    <n v="0"/>
    <n v="8447988.5"/>
    <s v="Aprobado con notificación"/>
    <s v="Emitido"/>
    <x v="0"/>
    <x v="0"/>
    <x v="0"/>
    <x v="0"/>
    <x v="1"/>
    <x v="1"/>
    <s v="FACTURA PAGA EN EL SISTEMA 30/01/2026"/>
  </r>
  <r>
    <s v="Factura electrónica"/>
    <s v="3f6d4fd5766f41c00b314a71cf08a90afe4d1153aa64c696b0aa3795c65354768a6ddfe34740c57b9a19bb2ec6cc5667"/>
    <x v="149"/>
    <n v="-1"/>
    <s v="FVE"/>
    <s v="07-01-2026"/>
    <s v="07-01-2026 11:15:25"/>
    <s v="900800595"/>
    <s v="Provexpress SAS"/>
    <s v="901043512"/>
    <x v="104"/>
    <n v="24525"/>
    <n v="0"/>
    <n v="0"/>
    <n v="515025"/>
    <s v="Aprobado con notificación"/>
    <s v="Emitido"/>
    <x v="0"/>
    <x v="0"/>
    <x v="0"/>
    <x v="0"/>
    <x v="1"/>
    <x v="1"/>
    <s v="FACTURA PAGA EN EL SISTEMA 19/02/2026"/>
  </r>
  <r>
    <s v="Factura electrónica"/>
    <s v="d6eb93d76141cf68f887e3ff12b5a379ea757639fbdad2f9cfcc2dbc28d05bd7286805313931bf6a0571745651c83d66"/>
    <x v="150"/>
    <n v="-1"/>
    <s v="FVE"/>
    <s v="07-01-2026"/>
    <s v="07-01-2026 11:15:38"/>
    <s v="900800595"/>
    <s v="Provexpress SAS"/>
    <s v="800063606"/>
    <x v="95"/>
    <n v="176776"/>
    <n v="0"/>
    <n v="0"/>
    <n v="1107176"/>
    <s v="Aprobado con notificación"/>
    <s v="Emitido"/>
    <x v="0"/>
    <x v="0"/>
    <x v="0"/>
    <x v="0"/>
    <x v="1"/>
    <x v="1"/>
    <s v="PAGA EN SISTEMA 09/02/2026"/>
  </r>
  <r>
    <s v="Factura electrónica"/>
    <s v="487c6d4f177bfaedb3e5c222f8b820f00c5fd361424be2feb963889fc45a02c02ced128d399303d05ac5af724fe282fa"/>
    <x v="151"/>
    <n v="-1"/>
    <s v="FVE"/>
    <s v="07-01-2026"/>
    <s v="07-01-2026 11:45:52"/>
    <s v="900800595"/>
    <s v="Provexpress SAS"/>
    <s v="832006599"/>
    <x v="105"/>
    <n v="0"/>
    <n v="0"/>
    <n v="0"/>
    <n v="1954800"/>
    <s v="Aprobado con notificación"/>
    <s v="Emitido"/>
    <x v="0"/>
    <x v="0"/>
    <x v="0"/>
    <x v="0"/>
    <x v="1"/>
    <x v="0"/>
    <s v="PAGA EN SISTEMA 25/02/2026"/>
  </r>
  <r>
    <s v="Factura electrónica"/>
    <s v="45720f004dc0201785cd629def150141ee52d802be403b3a809a81380de2ee4229499b1d6b96eb3a807f399822779113"/>
    <x v="152"/>
    <n v="-1"/>
    <s v="FVE"/>
    <s v="07-01-2026"/>
    <s v="07-01-2026 11:45:57"/>
    <s v="900800595"/>
    <s v="Provexpress SAS"/>
    <s v="832006599"/>
    <x v="105"/>
    <n v="0"/>
    <n v="0"/>
    <n v="0"/>
    <n v="3636800"/>
    <s v="Aprobado con notificación"/>
    <s v="Emitido"/>
    <x v="0"/>
    <x v="0"/>
    <x v="0"/>
    <x v="0"/>
    <x v="1"/>
    <x v="0"/>
    <s v="PAGA EN SISTEMA 25/02/2026"/>
  </r>
  <r>
    <s v="Factura electrónica"/>
    <s v="f904ad2bd5206693e69f6e33289bf9425d12f863ee7ebb41be8f2d5f7ebd1b63f371c25f74d39e2eff07fab9d9612306"/>
    <x v="153"/>
    <n v="-1"/>
    <s v="FVE"/>
    <s v="07-01-2026"/>
    <s v="07-01-2026 11:46:03"/>
    <s v="900800595"/>
    <s v="Provexpress SAS"/>
    <s v="830004575"/>
    <x v="106"/>
    <n v="32385.119999999999"/>
    <n v="0"/>
    <n v="0"/>
    <n v="202833.12"/>
    <s v="Aprobado con notificación"/>
    <s v="Emitido"/>
    <x v="0"/>
    <x v="0"/>
    <x v="0"/>
    <x v="0"/>
    <x v="1"/>
    <x v="1"/>
    <s v="FACTURA PAGA EN EL SISTEMA 16/02/2026"/>
  </r>
  <r>
    <s v="Factura electrónica"/>
    <s v="34474afdae83a7dfc5f5e6b9af71653e6288f6e725a445767ed44690decf7354fa61ee55623be3dac6d87c9ab336f988"/>
    <x v="154"/>
    <n v="-1"/>
    <s v="FVE"/>
    <s v="07-01-2026"/>
    <s v="07-01-2026 12:01:15"/>
    <s v="900800595"/>
    <s v="Provexpress SAS"/>
    <s v="901054874"/>
    <x v="107"/>
    <n v="1942351"/>
    <n v="0"/>
    <n v="0"/>
    <n v="12165251"/>
    <s v="Aprobado con notificación"/>
    <s v="Emitido"/>
    <x v="0"/>
    <x v="0"/>
    <x v="0"/>
    <x v="0"/>
    <x v="1"/>
    <x v="1"/>
    <s v="FACTURA PAGA EN EL SISTEMA 13/02/2026"/>
  </r>
  <r>
    <s v="Factura electrónica"/>
    <s v="87697475194f37dcf719d3b4083fa575dfa33095a40174d8a58aa804009656205b34c7039bb06bd8666e79614e7de070"/>
    <x v="155"/>
    <n v="-1"/>
    <s v="FVE"/>
    <s v="07-01-2026"/>
    <s v="07-01-2026 12:01:18"/>
    <s v="900800595"/>
    <s v="Provexpress SAS"/>
    <s v="860023264"/>
    <x v="108"/>
    <n v="183920"/>
    <n v="0"/>
    <n v="0"/>
    <n v="5071920"/>
    <s v="Aprobado con notificación"/>
    <s v="Emitido"/>
    <x v="1"/>
    <x v="0"/>
    <x v="0"/>
    <x v="0"/>
    <x v="1"/>
    <x v="0"/>
    <m/>
  </r>
  <r>
    <s v="Factura electrónica"/>
    <s v="a24b3b45d4ff905b6bd4d0e94fd3f42f5b2c62b53f84cce4878195f949db1f528b1cbc0c6daf02a0a4e58cf508b69280"/>
    <x v="156"/>
    <n v="-1"/>
    <s v="FVE"/>
    <s v="07-01-2026"/>
    <s v="07-01-2026 12:16:31"/>
    <s v="900800595"/>
    <s v="Provexpress SAS"/>
    <s v="901580303"/>
    <x v="109"/>
    <n v="73853"/>
    <n v="0"/>
    <n v="0"/>
    <n v="462553"/>
    <s v="Aprobado con notificación"/>
    <s v="Emitido"/>
    <x v="0"/>
    <x v="0"/>
    <x v="0"/>
    <x v="0"/>
    <x v="1"/>
    <x v="1"/>
    <s v="FACTURA PAGA EN EL SISTEMA 19/01/2026"/>
  </r>
  <r>
    <s v="Factura electrónica"/>
    <s v="c0c747fcfac201f471ca33c2a73486c055e96210f2bd34933fa29c7c1bf27663e05b6d9f76ed3a167266ca6f0a7c8d2b"/>
    <x v="157"/>
    <n v="-1"/>
    <s v="FVE"/>
    <s v="07-01-2026"/>
    <s v="07-01-2026 12:46:48"/>
    <s v="900800595"/>
    <s v="Provexpress SAS"/>
    <s v="901438401"/>
    <x v="110"/>
    <n v="612750"/>
    <n v="0"/>
    <n v="0"/>
    <n v="3837750"/>
    <s v="Aprobado con notificación"/>
    <s v="Emitido"/>
    <x v="0"/>
    <x v="0"/>
    <x v="0"/>
    <x v="0"/>
    <x v="0"/>
    <x v="0"/>
    <m/>
  </r>
  <r>
    <s v="Factura electrónica"/>
    <s v="d141830415769b6cae4130b42e72c9249e6fbdbbda9884a9e2f1fa1554b4cfddf2fb3358f9d4f4741a4d4f76df0e3b85"/>
    <x v="158"/>
    <n v="-1"/>
    <s v="FVE"/>
    <s v="07-01-2026"/>
    <s v="07-01-2026 12:46:52"/>
    <s v="900800595"/>
    <s v="Provexpress SAS"/>
    <s v="900494134"/>
    <x v="111"/>
    <n v="17272.71"/>
    <n v="0"/>
    <n v="0"/>
    <n v="108181.71"/>
    <s v="Aprobado con notificación"/>
    <s v="Emitido"/>
    <x v="0"/>
    <x v="0"/>
    <x v="0"/>
    <x v="0"/>
    <x v="1"/>
    <x v="1"/>
    <s v="FACTURA PAGA EN EL SISTEMA 17/02/2026"/>
  </r>
  <r>
    <s v="Factura electrónica"/>
    <s v="7db6bdffea4d9b9847e6ff436c8e71c93f208a0ac0dc20a391fccd18ee00d423c9951b3082ca936d148dddb07338e9ea"/>
    <x v="159"/>
    <n v="-1"/>
    <s v="FVE"/>
    <s v="07-01-2026"/>
    <s v="07-01-2026 12:46:57"/>
    <s v="900800595"/>
    <s v="Provexpress SAS"/>
    <s v="900494134"/>
    <x v="111"/>
    <n v="17272.71"/>
    <n v="0"/>
    <n v="0"/>
    <n v="108181.71"/>
    <s v="Aprobado con notificación"/>
    <s v="Emitido"/>
    <x v="0"/>
    <x v="0"/>
    <x v="0"/>
    <x v="0"/>
    <x v="1"/>
    <x v="1"/>
    <s v="FACTURA PAGA EN EL SISTEMA 17/02/2026"/>
  </r>
  <r>
    <s v="Factura electrónica"/>
    <s v="878bea94cf82108428e4351bd1bce6313f897090bf473b4c200feda8fea4cf1847ed08cf053c8dc73dbc18967d078f43"/>
    <x v="160"/>
    <n v="-1"/>
    <s v="FVE"/>
    <s v="07-01-2026"/>
    <s v="07-01-2026 14:47:53"/>
    <s v="900800595"/>
    <s v="Provexpress SAS"/>
    <s v="901038007"/>
    <x v="100"/>
    <n v="395200"/>
    <n v="0"/>
    <n v="0"/>
    <n v="2475200"/>
    <s v="Aprobado con notificación"/>
    <s v="Emitido"/>
    <x v="0"/>
    <x v="0"/>
    <x v="0"/>
    <x v="0"/>
    <x v="1"/>
    <x v="1"/>
    <s v="PAGA EN SISTEMA 19/02/2026"/>
  </r>
  <r>
    <s v="Factura electrónica"/>
    <s v="e003aecc9ca21a75619d0d4a8d5299c8668ddda066b9e2a597a323dd83600eeb63e7b48980d48c51fd4b2d68d7b5d834"/>
    <x v="161"/>
    <n v="-1"/>
    <s v="FVE"/>
    <s v="07-01-2026"/>
    <s v="07-01-2026 15:03:53"/>
    <s v="900800595"/>
    <s v="Provexpress SAS"/>
    <s v="830014193"/>
    <x v="112"/>
    <n v="183206.74"/>
    <n v="0"/>
    <n v="0"/>
    <n v="1147452.74"/>
    <s v="Aprobado con notificación"/>
    <s v="Emitido"/>
    <x v="0"/>
    <x v="0"/>
    <x v="0"/>
    <x v="0"/>
    <x v="0"/>
    <x v="0"/>
    <m/>
  </r>
  <r>
    <s v="Factura electrónica"/>
    <s v="10099995a776d2e6d31a39cd07ad3fc0e2c2815552b0a36a3f847e3ee0e91986d85092bffbef1b07127682164f9a4f43"/>
    <x v="162"/>
    <n v="-1"/>
    <s v="FVE"/>
    <s v="07-01-2026"/>
    <s v="07-01-2026 15:03:36"/>
    <s v="900800595"/>
    <s v="Provexpress SAS"/>
    <s v="901601542"/>
    <x v="113"/>
    <n v="592800"/>
    <n v="0"/>
    <n v="0"/>
    <n v="3712800"/>
    <s v="Aprobado con notificación"/>
    <s v="Emitido"/>
    <x v="0"/>
    <x v="0"/>
    <x v="0"/>
    <x v="1"/>
    <x v="1"/>
    <x v="0"/>
    <m/>
  </r>
  <r>
    <s v="Factura electrónica"/>
    <s v="83f0e31242613570d1e6a55aedcb9ab16b3515149977893f771f72776653c97b784c2b23461cfe87cdb9196469b64dc2"/>
    <x v="163"/>
    <n v="-1"/>
    <s v="FVE"/>
    <s v="07-01-2026"/>
    <s v="07-01-2026 15:03:41"/>
    <s v="900800595"/>
    <s v="Provexpress SAS"/>
    <s v="901601542"/>
    <x v="113"/>
    <n v="247000"/>
    <n v="0"/>
    <n v="0"/>
    <n v="1547000"/>
    <s v="Aprobado con notificación"/>
    <s v="Emitido"/>
    <x v="0"/>
    <x v="0"/>
    <x v="0"/>
    <x v="1"/>
    <x v="1"/>
    <x v="0"/>
    <m/>
  </r>
  <r>
    <s v="Factura electrónica"/>
    <s v="787756ef756dac93572f2d6b2b3fd9b0c68e688aae8860bd0ff6334f7a0c204ff6dcf052f5e5bd4b590f4e6b140bb8bc"/>
    <x v="164"/>
    <n v="-1"/>
    <s v="FVE"/>
    <s v="07-01-2026"/>
    <s v="07-01-2026 15:03:56"/>
    <s v="900800595"/>
    <s v="Provexpress SAS"/>
    <s v="900744272"/>
    <x v="114"/>
    <n v="199500"/>
    <n v="0"/>
    <n v="0"/>
    <n v="1249500"/>
    <s v="Aprobado con notificación"/>
    <s v="Emitido"/>
    <x v="0"/>
    <x v="0"/>
    <x v="0"/>
    <x v="0"/>
    <x v="1"/>
    <x v="0"/>
    <s v="PAGA EN SISTEMA 25/02/2026"/>
  </r>
  <r>
    <s v="Factura electrónica"/>
    <s v="9156acfe493f21b17885e0eba496ab6bf4bfc89727248cad1c56b46d2710105ab4e86595cfb2d7fa06dba8269d0f5dc2"/>
    <x v="165"/>
    <n v="-1"/>
    <s v="FVE"/>
    <s v="07-01-2026"/>
    <s v="07-01-2026 15:03:56"/>
    <s v="900800595"/>
    <s v="Provexpress SAS"/>
    <s v="900797309"/>
    <x v="62"/>
    <n v="19000"/>
    <n v="0"/>
    <n v="0"/>
    <n v="119000"/>
    <s v="Aprobado con notificación"/>
    <s v="Emitido"/>
    <x v="0"/>
    <x v="0"/>
    <x v="0"/>
    <x v="0"/>
    <x v="1"/>
    <x v="1"/>
    <s v="PAGA EN SISTEMA 24/02/2026"/>
  </r>
  <r>
    <s v="Factura electrónica"/>
    <s v="a0ef7cbeb1926e1fea0fd5b356316c179ccbdaead1571e0f40a50548c258d3a97897502317b5be0ede84a243b5618815"/>
    <x v="166"/>
    <n v="-1"/>
    <s v="FVE"/>
    <s v="07-01-2026"/>
    <s v="07-01-2026 15:33:40"/>
    <s v="900800595"/>
    <s v="Provexpress SAS"/>
    <s v="901312960"/>
    <x v="115"/>
    <n v="37200.1"/>
    <n v="0"/>
    <n v="0"/>
    <n v="241510.1"/>
    <s v="Aprobado con notificación"/>
    <s v="Emitido"/>
    <x v="0"/>
    <x v="0"/>
    <x v="0"/>
    <x v="0"/>
    <x v="1"/>
    <x v="1"/>
    <s v="FACTURA PAGA EN EL SISTEMA 14/01/2026"/>
  </r>
  <r>
    <s v="Factura electrónica"/>
    <s v="c74746f66e403cd517eab6e7001b6f4b3cda9b729e84bb14b942e5eef334524365d0c517f7e593c480c092bcbfd5a50a"/>
    <x v="167"/>
    <n v="-1"/>
    <s v="FVE"/>
    <s v="07-01-2026"/>
    <s v="07-01-2026 15:33:45"/>
    <s v="900800595"/>
    <s v="Provexpress SAS"/>
    <s v="901312960"/>
    <x v="115"/>
    <n v="123040.8"/>
    <n v="0"/>
    <n v="0"/>
    <n v="1024760.8"/>
    <s v="Aprobado con notificación"/>
    <s v="Emitido"/>
    <x v="0"/>
    <x v="0"/>
    <x v="0"/>
    <x v="0"/>
    <x v="0"/>
    <x v="0"/>
    <m/>
  </r>
  <r>
    <s v="Factura electrónica"/>
    <s v="ea919716c9c69f74519d2d16861b9d40cb23f89c4f090db39cda3d550e506363bc3acb5e9c6d735d12a4445aa5454937"/>
    <x v="168"/>
    <n v="-1"/>
    <s v="FVE"/>
    <s v="07-01-2026"/>
    <s v="07-01-2026 15:33:50"/>
    <s v="900800595"/>
    <s v="Provexpress SAS"/>
    <s v="800130907"/>
    <x v="116"/>
    <n v="76380"/>
    <n v="0"/>
    <n v="0"/>
    <n v="478380"/>
    <s v="Aprobado con notificación"/>
    <s v="Emitido"/>
    <x v="0"/>
    <x v="0"/>
    <x v="0"/>
    <x v="1"/>
    <x v="1"/>
    <x v="0"/>
    <m/>
  </r>
  <r>
    <s v="Factura electrónica"/>
    <s v="42aa6064119eee2799fa0d06fca47ecfc7d64a35a29be8f6a3a0f70075c5c7c9e18d3408690271c4a4c65c1d675716a3"/>
    <x v="169"/>
    <n v="-1"/>
    <s v="FVE"/>
    <s v="07-01-2026"/>
    <s v="07-01-2026 16:04:07"/>
    <s v="900800595"/>
    <s v="Provexpress SAS"/>
    <s v="860078828"/>
    <x v="8"/>
    <n v="4105251.15"/>
    <n v="0"/>
    <n v="0"/>
    <n v="25711836.149999999"/>
    <s v="Aprobado con notificación"/>
    <s v="Emitido"/>
    <x v="0"/>
    <x v="0"/>
    <x v="0"/>
    <x v="0"/>
    <x v="1"/>
    <x v="1"/>
    <s v="PAGA EN EL SISTEMA 27/02/2026"/>
  </r>
  <r>
    <s v="Factura electrónica"/>
    <s v="0e350d59cf1df15e7707119dca495920f3edd7db249e277b076e9f1baf78926f9d25740f273d1a752a74f04d5e5f2b4c"/>
    <x v="170"/>
    <n v="-1"/>
    <s v="FVE"/>
    <s v="07-01-2026"/>
    <s v="07-01-2026 16:04:12"/>
    <s v="900800595"/>
    <s v="Provexpress SAS"/>
    <s v="901041691"/>
    <x v="14"/>
    <n v="508978.08"/>
    <n v="0"/>
    <n v="0"/>
    <n v="3187810.08"/>
    <s v="Aprobado con notificación"/>
    <s v="Emitido"/>
    <x v="0"/>
    <x v="0"/>
    <x v="1"/>
    <x v="0"/>
    <x v="1"/>
    <x v="0"/>
    <m/>
  </r>
  <r>
    <s v="Factura electrónica"/>
    <s v="0f0a361cac32ce4f4a3d68790d6eaea252beb2c84c03bbb83668071f564e13e9e3b56bd589408f84e1d083671cdc4035"/>
    <x v="171"/>
    <n v="-1"/>
    <s v="FVE"/>
    <s v="07-01-2026"/>
    <s v="07-01-2026 16:04:17"/>
    <s v="900800595"/>
    <s v="Provexpress SAS"/>
    <s v="800149384"/>
    <x v="6"/>
    <n v="2612432.5499999998"/>
    <n v="0"/>
    <n v="0"/>
    <n v="16362077.550000001"/>
    <s v="Aprobado con notificación"/>
    <s v="Emitido"/>
    <x v="0"/>
    <x v="0"/>
    <x v="1"/>
    <x v="0"/>
    <x v="1"/>
    <x v="0"/>
    <m/>
  </r>
  <r>
    <s v="Factura electrónica"/>
    <s v="8d5ffc707c24a7d4f12674364646d84f96b2b0aa535c122a8c8d029beffb01505ae9e239609847cb09ebdd06cd96e9d7"/>
    <x v="172"/>
    <n v="-1"/>
    <s v="FVE"/>
    <s v="07-01-2026"/>
    <s v="07-01-2026 16:04:21"/>
    <s v="900800595"/>
    <s v="Provexpress SAS"/>
    <s v="800149384"/>
    <x v="6"/>
    <n v="882182.73"/>
    <n v="0"/>
    <n v="0"/>
    <n v="5525249.7300000004"/>
    <s v="Aprobado con notificación"/>
    <s v="Emitido"/>
    <x v="0"/>
    <x v="0"/>
    <x v="1"/>
    <x v="0"/>
    <x v="1"/>
    <x v="0"/>
    <m/>
  </r>
  <r>
    <s v="Factura electrónica"/>
    <s v="bb97ded0a4e6a9570b6019adaa0d2c75843addbc3e11dc4ff0028eb48531192174b6849b275bc5242bb53b59147b7349"/>
    <x v="173"/>
    <n v="-1"/>
    <s v="FVE"/>
    <s v="08-01-2026"/>
    <s v="08-01-2026 07:10:54"/>
    <s v="900800595"/>
    <s v="Provexpress SAS"/>
    <s v="800251440"/>
    <x v="13"/>
    <n v="373204.65"/>
    <n v="0"/>
    <n v="0"/>
    <n v="2337439.65"/>
    <s v="Aprobado con notificación"/>
    <s v="Emitido"/>
    <x v="0"/>
    <x v="0"/>
    <x v="0"/>
    <x v="0"/>
    <x v="1"/>
    <x v="1"/>
    <s v="PAGA EN EL SISTEMA 27/02/2026"/>
  </r>
  <r>
    <s v="Factura electrónica"/>
    <s v="fff915ef2b06e621969d53aced9fa6b845f6dd740364122406da32823fd80d39d46e3739b51a6819aacf44b91d51eb38"/>
    <x v="174"/>
    <n v="-1"/>
    <s v="FVE"/>
    <s v="08-01-2026"/>
    <s v="08-01-2026 07:10:59"/>
    <s v="900800595"/>
    <s v="Provexpress SAS"/>
    <s v="860078828"/>
    <x v="8"/>
    <n v="373204.46"/>
    <n v="0"/>
    <n v="0"/>
    <n v="2337438.46"/>
    <s v="Aprobado con notificación"/>
    <s v="Emitido"/>
    <x v="0"/>
    <x v="0"/>
    <x v="0"/>
    <x v="0"/>
    <x v="1"/>
    <x v="1"/>
    <s v="PAGA EN EL SISTEMA 27/02/2026"/>
  </r>
  <r>
    <s v="Factura electrónica"/>
    <s v="7005fa92da7d46ccc5f06a0e0bec91f2ad61fbe341bdc1a58cb389b94e5c646319c2bbf30177ccf5f25e563d779e29dd"/>
    <x v="175"/>
    <n v="-1"/>
    <s v="FVE"/>
    <s v="08-01-2026"/>
    <s v="08-01-2026 07:11:04"/>
    <s v="900800595"/>
    <s v="Provexpress SAS"/>
    <s v="860078828"/>
    <x v="8"/>
    <n v="882182.73"/>
    <n v="0"/>
    <n v="0"/>
    <n v="5525249.7300000004"/>
    <s v="Aprobado con notificación"/>
    <s v="Emitido"/>
    <x v="0"/>
    <x v="0"/>
    <x v="0"/>
    <x v="0"/>
    <x v="1"/>
    <x v="1"/>
    <s v="PAGA EN EL SISTEMA 27/02/2026"/>
  </r>
  <r>
    <s v="Factura electrónica"/>
    <s v="c13aed936d635e88ef801fe8f7ad597570ea8cf340b8e298c821eedc382268a4606e65b373e36b6a22e777ce802c7787"/>
    <x v="176"/>
    <n v="-1"/>
    <s v="FVE"/>
    <s v="08-01-2026"/>
    <s v="08-01-2026 07:11:08"/>
    <s v="900800595"/>
    <s v="Provexpress SAS"/>
    <s v="901041691"/>
    <x v="14"/>
    <n v="373204.65"/>
    <n v="0"/>
    <n v="0"/>
    <n v="2337439.65"/>
    <s v="Aprobado con notificación"/>
    <s v="Emitido"/>
    <x v="0"/>
    <x v="0"/>
    <x v="1"/>
    <x v="0"/>
    <x v="1"/>
    <x v="0"/>
    <m/>
  </r>
  <r>
    <s v="Factura electrónica"/>
    <s v="c82b619a576e8b675a1c9ffba2c199c0bb960306309ebf779c66d44c6c5bf447c0906bbcbe058c8965bc84868d64f5c9"/>
    <x v="177"/>
    <n v="-1"/>
    <s v="FVE"/>
    <s v="08-01-2026"/>
    <s v="08-01-2026 07:11:14"/>
    <s v="900800595"/>
    <s v="Provexpress SAS"/>
    <s v="901041691"/>
    <x v="14"/>
    <n v="373204.65"/>
    <n v="0"/>
    <n v="0"/>
    <n v="2337439.65"/>
    <s v="Aprobado con notificación"/>
    <s v="Emitido"/>
    <x v="0"/>
    <x v="0"/>
    <x v="1"/>
    <x v="0"/>
    <x v="1"/>
    <x v="0"/>
    <m/>
  </r>
  <r>
    <s v="Factura electrónica"/>
    <s v="34e9f92c5dceb5b2d42bec28f87b68c1194dc7c2bb5390d69cbe988d1cf860f8cf72dc14bf836ea93c7f36923381e7b8"/>
    <x v="178"/>
    <n v="-1"/>
    <s v="FVE"/>
    <s v="08-01-2026"/>
    <s v="08-01-2026 07:11:17"/>
    <s v="900800595"/>
    <s v="Provexpress SAS"/>
    <s v="901041691"/>
    <x v="14"/>
    <n v="1119613.95"/>
    <n v="0"/>
    <n v="0"/>
    <n v="7012318.9500000002"/>
    <s v="Aprobado con notificación"/>
    <s v="Emitido"/>
    <x v="0"/>
    <x v="0"/>
    <x v="1"/>
    <x v="0"/>
    <x v="1"/>
    <x v="0"/>
    <m/>
  </r>
  <r>
    <s v="Factura electrónica"/>
    <s v="dc7dc0f98f1c79dba74b4998ca5895e5040afa39a6b7ab34b8e6096e0c72db37f8553fe45777b328be76f37a979147f1"/>
    <x v="179"/>
    <n v="-1"/>
    <s v="FVE"/>
    <s v="08-01-2026"/>
    <s v="08-01-2026 07:11:23"/>
    <s v="900800595"/>
    <s v="Provexpress SAS"/>
    <s v="901469580"/>
    <x v="117"/>
    <n v="746409.3"/>
    <n v="0"/>
    <n v="0"/>
    <n v="4674879.3"/>
    <s v="Aprobado con notificación"/>
    <s v="Emitido"/>
    <x v="0"/>
    <x v="0"/>
    <x v="0"/>
    <x v="0"/>
    <x v="1"/>
    <x v="1"/>
    <s v="PAGA EN EL SISTEMA 27/02/2026"/>
  </r>
  <r>
    <s v="Factura electrónica"/>
    <s v="fb277192975755d7e7ce4582473f68cd105baec0187776c3bd5584f026879abcabe49e2557c3f06f77b38105feb72c26"/>
    <x v="180"/>
    <n v="-1"/>
    <s v="FVE"/>
    <s v="08-01-2026"/>
    <s v="08-01-2026 09:27:25"/>
    <s v="900800595"/>
    <s v="Provexpress SAS"/>
    <s v="800040410"/>
    <x v="118"/>
    <n v="253365"/>
    <n v="0"/>
    <n v="0"/>
    <n v="1586865"/>
    <s v="Aprobado con notificación"/>
    <s v="Emitido"/>
    <x v="0"/>
    <x v="0"/>
    <x v="0"/>
    <x v="0"/>
    <x v="1"/>
    <x v="1"/>
    <s v="FACTURA PAGA EN EL SISTEMA 16/02/2026"/>
  </r>
  <r>
    <s v="Factura electrónica"/>
    <s v="87edb34bcdfa6afe979ba264670bd8cb43f7b5d1e9f119506bfca1215fa0b2adf3155c0dd2f5b4989b4d112c359b04d5"/>
    <x v="181"/>
    <n v="-1"/>
    <s v="FVE"/>
    <s v="08-01-2026"/>
    <s v="08-01-2026 09:42:37"/>
    <s v="900800595"/>
    <s v="Provexpress SAS"/>
    <s v="830109997"/>
    <x v="119"/>
    <n v="16568"/>
    <n v="0"/>
    <n v="0"/>
    <n v="103768"/>
    <s v="Aprobado con notificación"/>
    <s v="Emitido"/>
    <x v="0"/>
    <x v="0"/>
    <x v="0"/>
    <x v="0"/>
    <x v="1"/>
    <x v="1"/>
    <s v="FACTURA PAGA EN EL SISTEMA 06/02/2026"/>
  </r>
  <r>
    <s v="Factura electrónica"/>
    <s v="2ac654db630441d71a7e4b0428f2a6ca336456b4a4a28d3cf0e5861c0dd1abbf6da2587f71658c616b035565e9560b79"/>
    <x v="182"/>
    <n v="-1"/>
    <s v="FVE"/>
    <s v="08-01-2026"/>
    <s v="08-01-2026 10:12:58"/>
    <s v="900800595"/>
    <s v="Provexpress SAS"/>
    <s v="900463851"/>
    <x v="59"/>
    <n v="64600"/>
    <n v="0"/>
    <n v="0"/>
    <n v="404600"/>
    <s v="Aprobado con notificación"/>
    <s v="Emitido"/>
    <x v="0"/>
    <x v="0"/>
    <x v="0"/>
    <x v="0"/>
    <x v="1"/>
    <x v="1"/>
    <s v="FACTURA PAGA EN EL SISTEMA 12/02/2026"/>
  </r>
  <r>
    <s v="Factura electrónica"/>
    <s v="dd1662ef565f25e9a27aa68aa0957d18852e0b896feca30bd9fd9e3f594195b21bd678fa0c836f219516ea562f15f474"/>
    <x v="183"/>
    <n v="-1"/>
    <s v="FVE"/>
    <s v="08-01-2026"/>
    <s v="08-01-2026 10:13:02"/>
    <s v="900800595"/>
    <s v="Provexpress SAS"/>
    <s v="900250454"/>
    <x v="120"/>
    <n v="0"/>
    <n v="0"/>
    <n v="0"/>
    <n v="344350"/>
    <s v="Aprobado con notificación"/>
    <s v="Emitido"/>
    <x v="0"/>
    <x v="0"/>
    <x v="0"/>
    <x v="0"/>
    <x v="0"/>
    <x v="0"/>
    <m/>
  </r>
  <r>
    <s v="Factura electrónica"/>
    <s v="2e02e030748d2c36579ed4593064edc27a193aa668ef2f7c8ed7704b6d8839beca4f545a836b7e3451803977a865ea77"/>
    <x v="184"/>
    <n v="-1"/>
    <s v="FVE"/>
    <s v="08-01-2026"/>
    <s v="08-01-2026 10:13:08"/>
    <s v="900800595"/>
    <s v="Provexpress SAS"/>
    <s v="900682841"/>
    <x v="3"/>
    <n v="203855.18"/>
    <n v="0"/>
    <n v="0"/>
    <n v="1276777.18"/>
    <s v="Aprobado con notificación"/>
    <s v="Emitido"/>
    <x v="1"/>
    <x v="0"/>
    <x v="0"/>
    <x v="0"/>
    <x v="1"/>
    <x v="0"/>
    <m/>
  </r>
  <r>
    <s v="Factura electrónica"/>
    <s v="59be2b84368243b3ff560f3cb2238e989eac275e9013b5bcc6639b24949a73b2f4218c50e062072d91641f8614573909"/>
    <x v="185"/>
    <n v="-1"/>
    <s v="FVE"/>
    <s v="08-01-2026"/>
    <s v="08-01-2026 10:28:17"/>
    <s v="900800595"/>
    <s v="Provexpress SAS"/>
    <s v="900597369"/>
    <x v="121"/>
    <n v="78850"/>
    <n v="0"/>
    <n v="0"/>
    <n v="493850"/>
    <s v="Aprobado con notificación"/>
    <s v="Emitido"/>
    <x v="0"/>
    <x v="0"/>
    <x v="0"/>
    <x v="0"/>
    <x v="1"/>
    <x v="1"/>
    <s v="PAGA EN SISTEMA 03/02/2026"/>
  </r>
  <r>
    <s v="Factura electrónica"/>
    <s v="31b22a11fbbede9270935ed1d617d0292b876ffd0d8d0ba5cad148e99a5e98ef1056ff91609fdc2c1deb7b3ca57657e7"/>
    <x v="186"/>
    <n v="-1"/>
    <s v="FVE"/>
    <s v="08-01-2026"/>
    <s v="08-01-2026 10:28:22"/>
    <s v="900800595"/>
    <s v="Provexpress SAS"/>
    <s v="900597369"/>
    <x v="121"/>
    <n v="791350"/>
    <n v="0"/>
    <n v="0"/>
    <n v="4956350"/>
    <s v="Aprobado con notificación"/>
    <s v="Emitido"/>
    <x v="1"/>
    <x v="0"/>
    <x v="0"/>
    <x v="0"/>
    <x v="1"/>
    <x v="0"/>
    <m/>
  </r>
  <r>
    <s v="Factura electrónica"/>
    <s v="ee1855640d966a0fe5304aa6f57278e9b250cdd5b8fd740e12052779a1ce78b9c5c2401304f89fb46c8bb63414b119d6"/>
    <x v="187"/>
    <n v="-1"/>
    <s v="FVE"/>
    <s v="08-01-2026"/>
    <s v="08-01-2026 10:43:38"/>
    <s v="900800595"/>
    <s v="Provexpress SAS"/>
    <s v="900077707"/>
    <x v="122"/>
    <n v="98059.5"/>
    <n v="0"/>
    <n v="0"/>
    <n v="944709.5"/>
    <s v="Aprobado con notificación"/>
    <s v="Emitido"/>
    <x v="0"/>
    <x v="0"/>
    <x v="0"/>
    <x v="0"/>
    <x v="1"/>
    <x v="1"/>
    <s v="PAGA EN SISTEMA 02/02/2026"/>
  </r>
  <r>
    <s v="Factura electrónica"/>
    <s v="3c87c1a8029fdb9d51db03d955ecf2b95012297c279423f0fd4d116477183d3a97eb1ff6a8660c4315bd4e39beb98f4e"/>
    <x v="188"/>
    <n v="-1"/>
    <s v="FVE"/>
    <s v="08-01-2026"/>
    <s v="08-01-2026 10:43:42"/>
    <s v="900800595"/>
    <s v="Provexpress SAS"/>
    <s v="900201138"/>
    <x v="123"/>
    <n v="52166"/>
    <n v="0"/>
    <n v="0"/>
    <n v="538566"/>
    <s v="Aprobado con notificación"/>
    <s v="Emitido"/>
    <x v="0"/>
    <x v="0"/>
    <x v="0"/>
    <x v="0"/>
    <x v="1"/>
    <x v="1"/>
    <s v="PAGA EN SISTEMA 13/02/2026"/>
  </r>
  <r>
    <s v="Factura electrónica"/>
    <s v="0f08538ddc58048d42e55711bc0197ad58b2fda673de177e8fee07f04635856b0a9a1d0f25c609e2ed900ab156bf743e"/>
    <x v="189"/>
    <n v="-1"/>
    <s v="FVE"/>
    <s v="08-01-2026"/>
    <s v="08-01-2026 10:43:48"/>
    <s v="900800595"/>
    <s v="Provexpress SAS"/>
    <s v="901754581"/>
    <x v="21"/>
    <n v="16568"/>
    <n v="0"/>
    <n v="0"/>
    <n v="103768"/>
    <s v="Aprobado con notificación"/>
    <s v="Emitido"/>
    <x v="0"/>
    <x v="0"/>
    <x v="0"/>
    <x v="0"/>
    <x v="1"/>
    <x v="1"/>
    <s v="PAGA EN SISTEMA 16/02/2026"/>
  </r>
  <r>
    <s v="Factura electrónica"/>
    <s v="8c3e2fac5baed2f4352128248e80bb8a0bc21621e24de748853f57a8419dcc285f1956f7ba03a49f4994db4556d4456c"/>
    <x v="190"/>
    <n v="-1"/>
    <s v="FVE"/>
    <s v="08-01-2026"/>
    <s v="08-01-2026 10:58:59"/>
    <s v="900800595"/>
    <s v="Provexpress SAS"/>
    <s v="900148177"/>
    <x v="124"/>
    <n v="267520"/>
    <n v="0"/>
    <n v="0"/>
    <n v="1675520"/>
    <s v="Aprobado con notificación"/>
    <s v="Emitido"/>
    <x v="0"/>
    <x v="0"/>
    <x v="0"/>
    <x v="0"/>
    <x v="0"/>
    <x v="0"/>
    <m/>
  </r>
  <r>
    <s v="Factura electrónica"/>
    <s v="7d3a071d0f759475e2147fe723d957f80c38d60e193af3e52cd1edcba52a420289cc1adb17c2bf6bae370694dc29bf26"/>
    <x v="191"/>
    <n v="-1"/>
    <s v="FVE"/>
    <s v="08-01-2026"/>
    <s v="08-01-2026 10:59:03"/>
    <s v="900800595"/>
    <s v="Provexpress SAS"/>
    <s v="860023264"/>
    <x v="108"/>
    <n v="430540"/>
    <n v="0"/>
    <n v="0"/>
    <n v="15676540"/>
    <s v="Aprobado con notificación"/>
    <s v="Emitido"/>
    <x v="1"/>
    <x v="0"/>
    <x v="0"/>
    <x v="0"/>
    <x v="1"/>
    <x v="0"/>
    <m/>
  </r>
  <r>
    <s v="Factura electrónica"/>
    <s v="f668989d83778728bb5f9174f9d3e5e3dfc42b8a148a84e5bbdfdd1d437ef1dfff9ab2d079e815000653ef17b008e370"/>
    <x v="192"/>
    <n v="-1"/>
    <s v="FVE"/>
    <s v="08-01-2026"/>
    <s v="08-01-2026 10:59:08"/>
    <s v="900800595"/>
    <s v="Provexpress SAS"/>
    <s v="860511886"/>
    <x v="125"/>
    <n v="99419.4"/>
    <n v="0"/>
    <n v="0"/>
    <n v="622679.4"/>
    <s v="Aprobado con notificación"/>
    <s v="Emitido"/>
    <x v="0"/>
    <x v="0"/>
    <x v="1"/>
    <x v="0"/>
    <x v="1"/>
    <x v="0"/>
    <m/>
  </r>
  <r>
    <s v="Factura electrónica"/>
    <s v="266f57a29d9708fc176d572628c77b7fce064a54ab6b607ba3b9bf5c1544f090483f7edcb9126e73ffd491eb138f03dd"/>
    <x v="193"/>
    <n v="-1"/>
    <s v="FVE"/>
    <s v="08-01-2026"/>
    <s v="08-01-2026 10:59:13"/>
    <s v="900800595"/>
    <s v="Provexpress SAS"/>
    <s v="900402619"/>
    <x v="126"/>
    <n v="0"/>
    <n v="0"/>
    <n v="0"/>
    <n v="107320"/>
    <s v="Aprobado con notificación"/>
    <s v="Emitido"/>
    <x v="0"/>
    <x v="0"/>
    <x v="0"/>
    <x v="0"/>
    <x v="0"/>
    <x v="0"/>
    <m/>
  </r>
  <r>
    <s v="Factura electrónica"/>
    <s v="06062aa2d2be9be9180d8e3d8419b6eb305fbd5c9155b7f6102d4a6b6738b8c09b86b2057e034c5db7d862828be0c1b8"/>
    <x v="194"/>
    <n v="-1"/>
    <s v="FVE"/>
    <s v="08-01-2026"/>
    <s v="08-01-2026 10:59:17"/>
    <s v="900800595"/>
    <s v="Provexpress SAS"/>
    <s v="860516431"/>
    <x v="127"/>
    <n v="86640"/>
    <n v="0"/>
    <n v="0"/>
    <n v="542640"/>
    <s v="Aprobado con notificación"/>
    <s v="Emitido"/>
    <x v="0"/>
    <x v="0"/>
    <x v="0"/>
    <x v="0"/>
    <x v="1"/>
    <x v="1"/>
    <s v="PAGO EN FACTURA 16/02/2026"/>
  </r>
  <r>
    <s v="Factura electrónica"/>
    <s v="49dbf6c15da8141cf41bf94eff1b576b932c3cb581ad22adcf9af581a4005aa8cbc86608235c704d97eff237a7d64b17"/>
    <x v="195"/>
    <n v="-1"/>
    <s v="FVE"/>
    <s v="08-01-2026"/>
    <s v="08-01-2026 10:59:22"/>
    <s v="900800595"/>
    <s v="Provexpress SAS"/>
    <s v="860055557"/>
    <x v="128"/>
    <n v="288800"/>
    <n v="0"/>
    <n v="0"/>
    <n v="1808800"/>
    <s v="Aprobado con notificación"/>
    <s v="Emitido"/>
    <x v="1"/>
    <x v="0"/>
    <x v="0"/>
    <x v="0"/>
    <x v="1"/>
    <x v="0"/>
    <m/>
  </r>
  <r>
    <s v="Factura electrónica"/>
    <s v="77bf950ebdfa2026444ec524b84fae97c538267cb6134b7e78e10c553b03b18b4d4794672310121c918ae3bbd21d3223"/>
    <x v="196"/>
    <n v="-1"/>
    <s v="FVE"/>
    <s v="08-01-2026"/>
    <s v="08-01-2026 11:29:40"/>
    <s v="900800595"/>
    <s v="Provexpress SAS"/>
    <s v="900424702"/>
    <x v="129"/>
    <n v="802370"/>
    <n v="0"/>
    <n v="0"/>
    <n v="5025370"/>
    <s v="Aprobado con notificación"/>
    <s v="Emitido"/>
    <x v="0"/>
    <x v="0"/>
    <x v="0"/>
    <x v="0"/>
    <x v="1"/>
    <x v="1"/>
    <s v="PAGA EN SISTEMA 12/02/2026"/>
  </r>
  <r>
    <s v="Factura electrónica"/>
    <s v="bfca205b8964862db7b1b2c2cab63cffc52412d538ba65f496f3e65bb4c24ceb053231183a9d98c746647bb9ec12700e"/>
    <x v="197"/>
    <n v="-1"/>
    <s v="FVE"/>
    <s v="08-01-2026"/>
    <s v="08-01-2026 15:14:41"/>
    <s v="900800595"/>
    <s v="Provexpress SAS"/>
    <s v="830033494"/>
    <x v="130"/>
    <n v="19950"/>
    <n v="0"/>
    <n v="0"/>
    <n v="124950"/>
    <s v="Aprobado con notificación"/>
    <s v="Emitido"/>
    <x v="0"/>
    <x v="0"/>
    <x v="1"/>
    <x v="0"/>
    <x v="1"/>
    <x v="0"/>
    <m/>
  </r>
  <r>
    <s v="Factura electrónica"/>
    <s v="4c43b2441897f9fb35d4fea12718f3b6da43b68470073039ee8af5242547f96d91180ff51bde48edf02c6abdd54322de"/>
    <x v="198"/>
    <n v="-1"/>
    <s v="FVE"/>
    <s v="08-01-2026"/>
    <s v="08-01-2026 15:14:47"/>
    <s v="900800595"/>
    <s v="Provexpress SAS"/>
    <s v="900488297"/>
    <x v="65"/>
    <n v="58900"/>
    <n v="0"/>
    <n v="0"/>
    <n v="368900"/>
    <s v="Aprobado con notificación"/>
    <s v="Emitido"/>
    <x v="0"/>
    <x v="0"/>
    <x v="1"/>
    <x v="0"/>
    <x v="1"/>
    <x v="0"/>
    <m/>
  </r>
  <r>
    <s v="Factura electrónica"/>
    <s v="adc7699fe3594c3ff9081f25df9fd48c0f63c7914e534773948b1a85bee0c641c8c4d630ca61ce83353550c853a5c6fb"/>
    <x v="199"/>
    <n v="-1"/>
    <s v="FVE"/>
    <s v="08-01-2026"/>
    <s v="08-01-2026 15:14:52"/>
    <s v="900800595"/>
    <s v="Provexpress SAS"/>
    <s v="900488297"/>
    <x v="65"/>
    <n v="19000"/>
    <n v="0"/>
    <n v="0"/>
    <n v="119000"/>
    <s v="Aprobado con notificación"/>
    <s v="Emitido"/>
    <x v="0"/>
    <x v="0"/>
    <x v="1"/>
    <x v="0"/>
    <x v="1"/>
    <x v="0"/>
    <m/>
  </r>
  <r>
    <s v="Factura electrónica"/>
    <s v="7c1865949199899398d8d02035622893ca2f30f46ab3b9d8d04b000fdb6aba6635f8c450c1680df05738a8a51caf6474"/>
    <x v="200"/>
    <n v="-1"/>
    <s v="FVE"/>
    <s v="08-01-2026"/>
    <s v="08-01-2026 15:14:56"/>
    <s v="900800595"/>
    <s v="Provexpress SAS"/>
    <s v="900488297"/>
    <x v="65"/>
    <n v="19000"/>
    <n v="0"/>
    <n v="0"/>
    <n v="119000"/>
    <s v="Aprobado con notificación"/>
    <s v="Emitido"/>
    <x v="0"/>
    <x v="0"/>
    <x v="1"/>
    <x v="0"/>
    <x v="1"/>
    <x v="0"/>
    <m/>
  </r>
  <r>
    <s v="Factura electrónica"/>
    <s v="f282ffd4dc8e6f0200e8d8d542338276e605b635030d1ecc31a837b28007e32857bcf6716e838791ab29b046920ca875"/>
    <x v="201"/>
    <n v="-1"/>
    <s v="FVE"/>
    <s v="08-01-2026"/>
    <s v="08-01-2026 15:15:01"/>
    <s v="900800595"/>
    <s v="Provexpress SAS"/>
    <s v="900488297"/>
    <x v="65"/>
    <n v="38000"/>
    <n v="0"/>
    <n v="0"/>
    <n v="238000"/>
    <s v="Aprobado con notificación"/>
    <s v="Emitido"/>
    <x v="0"/>
    <x v="0"/>
    <x v="1"/>
    <x v="0"/>
    <x v="1"/>
    <x v="0"/>
    <m/>
  </r>
  <r>
    <s v="Factura electrónica"/>
    <s v="0c728869e8f0565780fb94a9274c1b5427760ad5ba392e6e6a54a46806c393ac8c56a838504839115e7d066540a3a253"/>
    <x v="202"/>
    <n v="-1"/>
    <s v="FVE"/>
    <s v="08-01-2026"/>
    <s v="08-01-2026 15:15:06"/>
    <s v="900800595"/>
    <s v="Provexpress SAS"/>
    <s v="830513729"/>
    <x v="131"/>
    <n v="197600"/>
    <n v="0"/>
    <n v="0"/>
    <n v="1237600"/>
    <s v="Aprobado con notificación"/>
    <s v="Emitido"/>
    <x v="0"/>
    <x v="0"/>
    <x v="0"/>
    <x v="0"/>
    <x v="1"/>
    <x v="1"/>
    <s v="PAGA EN SISTEMA20/02/2026"/>
  </r>
  <r>
    <s v="Factura electrónica"/>
    <s v="841ca57fb09e34be882c18275e3d76ab7b726d1571e29ed866bc7eb6b11a5dd8a7bee8d73fedf80f8a6b0623c47e910c"/>
    <x v="203"/>
    <n v="-1"/>
    <s v="FVE"/>
    <s v="08-01-2026"/>
    <s v="08-01-2026 15:15:10"/>
    <s v="900800595"/>
    <s v="Provexpress SAS"/>
    <s v="860072279"/>
    <x v="82"/>
    <n v="103896.75"/>
    <n v="0"/>
    <n v="0"/>
    <n v="656701.75"/>
    <s v="Aprobado con notificación"/>
    <s v="Emitido"/>
    <x v="0"/>
    <x v="0"/>
    <x v="0"/>
    <x v="0"/>
    <x v="1"/>
    <x v="1"/>
    <s v="PAGA EN SISTEMA20/02/2026"/>
  </r>
  <r>
    <s v="Factura electrónica"/>
    <s v="088296650e58c7c061561b0f92ec9165ff85da8a6ede4f43a1b47495cfe3f820b91be83b8578484535c67c8a46a8f7a6"/>
    <x v="204"/>
    <n v="-1"/>
    <s v="FVE"/>
    <s v="08-01-2026"/>
    <s v="08-01-2026 15:15:16"/>
    <s v="900800595"/>
    <s v="Provexpress SAS"/>
    <s v="860066942"/>
    <x v="66"/>
    <n v="68400"/>
    <n v="0"/>
    <n v="0"/>
    <n v="428400"/>
    <s v="Aprobado con notificación"/>
    <s v="Emitido"/>
    <x v="0"/>
    <x v="0"/>
    <x v="0"/>
    <x v="0"/>
    <x v="1"/>
    <x v="1"/>
    <s v="PAGA EN SISTEMA 09/02/2026"/>
  </r>
  <r>
    <s v="Factura electrónica"/>
    <s v="12132a478ed3f84aab814002b7767bb64fcb05bdcd3083cd513d99c8693707832a96c38c16a88fa9ecbff3b3c7476036"/>
    <x v="205"/>
    <n v="-1"/>
    <s v="FVE"/>
    <s v="08-01-2026"/>
    <s v="08-01-2026 15:15:20"/>
    <s v="900800595"/>
    <s v="Provexpress SAS"/>
    <s v="1016036846"/>
    <x v="132"/>
    <n v="20440.96"/>
    <n v="0"/>
    <n v="0"/>
    <n v="128024.96000000001"/>
    <s v="Aprobado con notificación"/>
    <s v="Emitido"/>
    <x v="0"/>
    <x v="0"/>
    <x v="0"/>
    <x v="0"/>
    <x v="1"/>
    <x v="1"/>
    <s v="FACTURA PAGA EN EL SISTEMA 30/01/2026"/>
  </r>
  <r>
    <s v="Factura electrónica"/>
    <s v="5865a234d5e7894b150611a8c1d2dc199bc932784cb1fe8d64eaffdd2e1e742ddae4aa0827e7f3c227c2eb2e154d07c2"/>
    <x v="206"/>
    <n v="-1"/>
    <s v="FVE"/>
    <s v="08-01-2026"/>
    <s v="08-01-2026 15:15:25"/>
    <s v="900800595"/>
    <s v="Provexpress SAS"/>
    <s v="830130106"/>
    <x v="23"/>
    <n v="860462.5"/>
    <n v="0"/>
    <n v="0"/>
    <n v="5389212.5"/>
    <s v="Aprobado con notificación"/>
    <s v="Emitido"/>
    <x v="0"/>
    <x v="0"/>
    <x v="0"/>
    <x v="0"/>
    <x v="0"/>
    <x v="0"/>
    <m/>
  </r>
  <r>
    <s v="Factura electrónica"/>
    <s v="8f36e69c6e0092f926be88c217bc10e431fb0f3ec235604b7746a2f34bb274e2e2e8caab82b8c5a09a695ebe728fe48e"/>
    <x v="207"/>
    <n v="-1"/>
    <s v="FVE"/>
    <s v="08-01-2026"/>
    <s v="08-01-2026 15:30:36"/>
    <s v="900800595"/>
    <s v="Provexpress SAS"/>
    <s v="800194600"/>
    <x v="91"/>
    <n v="82996.75"/>
    <n v="0"/>
    <n v="0"/>
    <n v="519821.75"/>
    <s v="Aprobado con notificación"/>
    <s v="Emitido"/>
    <x v="0"/>
    <x v="0"/>
    <x v="0"/>
    <x v="0"/>
    <x v="1"/>
    <x v="1"/>
    <s v="FACTURA PAGA EN EL SISTEMA 27/01/2026"/>
  </r>
  <r>
    <s v="Factura electrónica"/>
    <s v="6adb040ae7ee911d68740ea2a8f1383aba247ee02afe489d26ce5a7470cd311c006e2451a14585bbdce29b0ebc41e8c9"/>
    <x v="208"/>
    <n v="-1"/>
    <s v="FVE"/>
    <s v="08-01-2026"/>
    <s v="08-01-2026 15:30:40"/>
    <s v="900800595"/>
    <s v="Provexpress SAS"/>
    <s v="800241469"/>
    <x v="89"/>
    <n v="155800"/>
    <n v="0"/>
    <n v="0"/>
    <n v="975800"/>
    <s v="Aprobado con notificación"/>
    <s v="Emitido"/>
    <x v="0"/>
    <x v="0"/>
    <x v="0"/>
    <x v="0"/>
    <x v="1"/>
    <x v="1"/>
    <s v="PAGA EN SISTEMA 22/01/2026"/>
  </r>
  <r>
    <s v="Factura electrónica"/>
    <s v="eb57db945e1fc4db6d07f97e595b291e8076312724606fa23ea6677f11ed1380a472af60177a950aacedd2e23fb24a44"/>
    <x v="209"/>
    <n v="-1"/>
    <s v="FVE"/>
    <s v="08-01-2026"/>
    <s v="08-01-2026 15:30:45"/>
    <s v="900800595"/>
    <s v="Provexpress SAS"/>
    <s v="86075350"/>
    <x v="133"/>
    <n v="941514.03"/>
    <n v="0"/>
    <n v="0"/>
    <n v="5896851.0300000003"/>
    <s v="Aprobado con notificación"/>
    <s v="Emitido"/>
    <x v="0"/>
    <x v="0"/>
    <x v="0"/>
    <x v="0"/>
    <x v="1"/>
    <x v="1"/>
    <s v="FACTURA PAGA EN EL SISTEMA 13/01/2026"/>
  </r>
  <r>
    <s v="Factura electrónica"/>
    <s v="1e678f78106aa61d2be2b6c80f09fca748aa8b884b38a14d87773bce3abe1905118211fbb6f17d965e15092387e4b678"/>
    <x v="210"/>
    <n v="-1"/>
    <s v="FVE"/>
    <s v="08-01-2026"/>
    <s v="08-01-2026 16:01:03"/>
    <s v="900800595"/>
    <s v="Provexpress SAS"/>
    <s v="830040378"/>
    <x v="134"/>
    <n v="433150.6"/>
    <n v="0"/>
    <n v="0"/>
    <n v="2730170.6"/>
    <s v="Aprobado con notificación"/>
    <s v="Emitido"/>
    <x v="0"/>
    <x v="0"/>
    <x v="0"/>
    <x v="0"/>
    <x v="1"/>
    <x v="1"/>
    <s v="FACTURA PAGA EN EL SISTEMA 28/01/2026"/>
  </r>
  <r>
    <s v="Factura electrónica"/>
    <s v="58c13997340e82421a64bf60ba20ae7948f42d3e1a70f79f93b98fc465b0ca145f8d47be37e66ceb0555ac8660a20943"/>
    <x v="211"/>
    <n v="-1"/>
    <s v="FVE"/>
    <s v="08-01-2026"/>
    <s v="08-01-2026 16:01:08"/>
    <s v="900800595"/>
    <s v="Provexpress SAS"/>
    <s v="860023053"/>
    <x v="135"/>
    <n v="3052371.66"/>
    <n v="0"/>
    <n v="0"/>
    <n v="19117485.66"/>
    <s v="Aprobado con notificación"/>
    <s v="Emitido"/>
    <x v="0"/>
    <x v="0"/>
    <x v="0"/>
    <x v="0"/>
    <x v="1"/>
    <x v="1"/>
    <s v="PAGA EN SISTEMA 22/01/2026"/>
  </r>
  <r>
    <s v="Factura electrónica"/>
    <s v="20404ef8f04dc85c2e99164d87c59e632b7b0042730c865c7991e5ab2107468b55e6bb77548dfdc7ffc02d980a78796f"/>
    <x v="212"/>
    <n v="-1"/>
    <s v="FVE"/>
    <s v="08-01-2026"/>
    <s v="08-01-2026 16:01:13"/>
    <s v="900800595"/>
    <s v="Provexpress SAS"/>
    <s v="900148177"/>
    <x v="124"/>
    <n v="135945"/>
    <n v="0"/>
    <n v="0"/>
    <n v="851445"/>
    <s v="Aprobado con notificación"/>
    <s v="Emitido"/>
    <x v="0"/>
    <x v="0"/>
    <x v="0"/>
    <x v="0"/>
    <x v="0"/>
    <x v="0"/>
    <m/>
  </r>
  <r>
    <s v="Factura electrónica"/>
    <s v="88cbf29b27d6a9215ea3ebaababda43de65f6d5938842560bcda4e4950173cddd1c4f9db81907fa4c567876a5cbe5b8b"/>
    <x v="213"/>
    <n v="-1"/>
    <s v="FVE"/>
    <s v="09-01-2026"/>
    <s v="09-01-2026 08:23:11"/>
    <s v="900800595"/>
    <s v="Provexpress SAS"/>
    <s v="900592369"/>
    <x v="136"/>
    <n v="45430"/>
    <n v="0"/>
    <n v="0"/>
    <n v="486430"/>
    <s v="Aprobado con notificación"/>
    <s v="Emitido"/>
    <x v="0"/>
    <x v="0"/>
    <x v="1"/>
    <x v="0"/>
    <x v="1"/>
    <x v="0"/>
    <m/>
  </r>
  <r>
    <s v="Factura electrónica"/>
    <s v="96710c4a36aeb748aca29c136029b3e028ab3e6840097c0831b833d01ab441c0a2167b263fbd29b0b68f0489b02fed3a"/>
    <x v="214"/>
    <n v="-1"/>
    <s v="FVE"/>
    <s v="09-01-2026"/>
    <s v="09-01-2026 08:23:16"/>
    <s v="900800595"/>
    <s v="Provexpress SAS"/>
    <s v="800061512"/>
    <x v="137"/>
    <n v="18715"/>
    <n v="0"/>
    <n v="0"/>
    <n v="923215"/>
    <s v="Aprobado con notificación"/>
    <s v="Emitido"/>
    <x v="0"/>
    <x v="0"/>
    <x v="0"/>
    <x v="0"/>
    <x v="1"/>
    <x v="1"/>
    <s v="FACTURA PAGA EN EL SISTEMA 11/02/2026"/>
  </r>
  <r>
    <s v="Factura electrónica"/>
    <s v="bcd8b1ef25a0661682a7bcbc549021034c458e847fc026dae7c14c246eecf2846cea3ac0837753fcc24a16241faf3ea8"/>
    <x v="215"/>
    <n v="-1"/>
    <s v="FVE"/>
    <s v="09-01-2026"/>
    <s v="09-01-2026 09:08:44"/>
    <s v="900800595"/>
    <s v="Provexpress SAS"/>
    <s v="901312960"/>
    <x v="115"/>
    <n v="28604.5"/>
    <n v="0"/>
    <n v="0"/>
    <n v="179154.5"/>
    <s v="Aprobado con notificación"/>
    <s v="Emitido"/>
    <x v="0"/>
    <x v="0"/>
    <x v="0"/>
    <x v="0"/>
    <x v="0"/>
    <x v="0"/>
    <m/>
  </r>
  <r>
    <s v="Factura electrónica"/>
    <s v="12f28bcfd7481633bf06ee3e35f0125ee737208716bac892521a8228b00a2230038da0f8cee8f5bc1e5e3ecb795b0f8b"/>
    <x v="216"/>
    <n v="-1"/>
    <s v="FVE"/>
    <s v="09-01-2026"/>
    <s v="09-01-2026 09:38:58"/>
    <s v="900800595"/>
    <s v="Provexpress SAS"/>
    <s v="860510627"/>
    <x v="138"/>
    <n v="0"/>
    <n v="0"/>
    <n v="0"/>
    <n v="5368041.53"/>
    <s v="Aprobado con notificación"/>
    <s v="Emitido"/>
    <x v="0"/>
    <x v="0"/>
    <x v="0"/>
    <x v="0"/>
    <x v="1"/>
    <x v="1"/>
    <s v="FACTURA PAGA EN EL SISTEMA 30/01/2026"/>
  </r>
  <r>
    <s v="Factura electrónica"/>
    <s v="46ed7c4ec28bb30e02bed9dcf794a0e6bd6f71547d1d0eaec71f339aa6a613f0923f788382e0bc1ec88a1358b5bdc8c1"/>
    <x v="217"/>
    <n v="-1"/>
    <s v="FVE"/>
    <s v="09-01-2026"/>
    <s v="09-01-2026 09:39:03"/>
    <s v="900800595"/>
    <s v="Provexpress SAS"/>
    <s v="860510627"/>
    <x v="138"/>
    <n v="75012"/>
    <n v="0"/>
    <n v="0"/>
    <n v="469812"/>
    <s v="Aprobado con notificación"/>
    <s v="Emitido"/>
    <x v="0"/>
    <x v="0"/>
    <x v="0"/>
    <x v="0"/>
    <x v="1"/>
    <x v="1"/>
    <s v="FACTURA PAGA EN EL SISTEMA 30/01/2026"/>
  </r>
  <r>
    <s v="Factura electrónica"/>
    <s v="990229c3911498b0d66b13e7b621afcb18cf3bc68ea44906a3c9efeb48d8f9b271191d067f02e78fe2a4d98971345a05"/>
    <x v="218"/>
    <n v="-1"/>
    <s v="FVE"/>
    <s v="10-01-2026"/>
    <s v="10-01-2026 00:25:59"/>
    <s v="900800595"/>
    <s v="Provexpress SAS"/>
    <s v="860516431"/>
    <x v="127"/>
    <n v="1788142.57"/>
    <n v="0"/>
    <n v="0"/>
    <n v="11531465.57"/>
    <s v="Aprobado con notificación"/>
    <s v="Emitido"/>
    <x v="0"/>
    <x v="0"/>
    <x v="0"/>
    <x v="0"/>
    <x v="1"/>
    <x v="1"/>
    <s v="PAGA EN SISTEMA 16/02/2026"/>
  </r>
  <r>
    <s v="Factura electrónica"/>
    <s v="a8a8cd557f7d741fbff05ba1b59b97a3bbbe14b4b9633d9933a910924f88349571767c7e74f8ec6b9d06fce0ab5be715"/>
    <x v="219"/>
    <n v="-1"/>
    <s v="FVE"/>
    <s v="09-01-2026"/>
    <s v="09-01-2026 09:54:17"/>
    <s v="900800595"/>
    <s v="Provexpress SAS"/>
    <s v="830008300"/>
    <x v="139"/>
    <n v="0"/>
    <n v="0"/>
    <n v="0"/>
    <n v="487500"/>
    <s v="Aprobado con notificación"/>
    <s v="Emitido"/>
    <x v="0"/>
    <x v="0"/>
    <x v="1"/>
    <x v="0"/>
    <x v="1"/>
    <x v="0"/>
    <m/>
  </r>
  <r>
    <s v="Factura electrónica"/>
    <s v="bfbf3693011fad897fb284f858715705ff468a60d46391a82c4d7323eb8bbc8fad65457ddbf32e76a7041e5352c4c0ac"/>
    <x v="220"/>
    <n v="-1"/>
    <s v="FVE"/>
    <s v="09-01-2026"/>
    <s v="09-01-2026 09:54:21"/>
    <s v="900800595"/>
    <s v="Provexpress SAS"/>
    <s v="900268896"/>
    <x v="140"/>
    <n v="50274"/>
    <n v="0"/>
    <n v="0"/>
    <n v="314874"/>
    <s v="Aprobado con notificación"/>
    <s v="Emitido"/>
    <x v="0"/>
    <x v="0"/>
    <x v="0"/>
    <x v="0"/>
    <x v="1"/>
    <x v="1"/>
    <s v="FACTURA PAGA EN EL SISTEMA 13/02/2026"/>
  </r>
  <r>
    <s v="Factura electrónica"/>
    <s v="6bffb6733c3ea7ff069c456ddd8fcb2304ae00c8e5e5dcbddddafb1b8502aa835259c90d58a9212bc08235b7fdd9a212"/>
    <x v="221"/>
    <n v="-1"/>
    <s v="FVE"/>
    <s v="09-01-2026"/>
    <s v="09-01-2026 10:24:39"/>
    <s v="900800595"/>
    <s v="Provexpress SAS"/>
    <s v="901681272"/>
    <x v="141"/>
    <n v="939711.5"/>
    <n v="0"/>
    <n v="0"/>
    <n v="5885561.5"/>
    <s v="Aprobado con notificación"/>
    <s v="Emitido"/>
    <x v="0"/>
    <x v="0"/>
    <x v="0"/>
    <x v="0"/>
    <x v="1"/>
    <x v="1"/>
    <s v="PAGA EN SISTEMA 23/01/2026"/>
  </r>
  <r>
    <s v="Factura electrónica"/>
    <s v="396d61bf43890d7ebf13cb5a7ba49d97ddde27dd77299f81b6819ed4dd1eceb6746e70fcd2b5e382c522946334346864"/>
    <x v="222"/>
    <n v="-1"/>
    <s v="FVE"/>
    <s v="09-01-2026"/>
    <s v="09-01-2026 10:24:44"/>
    <s v="900800595"/>
    <s v="Provexpress SAS"/>
    <s v="901681272"/>
    <x v="141"/>
    <n v="1879423"/>
    <n v="0"/>
    <n v="0"/>
    <n v="11771123"/>
    <s v="Aprobado con notificación"/>
    <s v="Emitido"/>
    <x v="0"/>
    <x v="0"/>
    <x v="0"/>
    <x v="0"/>
    <x v="1"/>
    <x v="1"/>
    <s v="PAGA EN SISTEMA 23/01/2026"/>
  </r>
  <r>
    <s v="Factura electrónica"/>
    <s v="d3d248fcdcbc72573ad49bc933b3a965168cfe54e38341964dad9b6db9570128f6a34464c1eb397657ac8097f038ca91"/>
    <x v="223"/>
    <n v="-1"/>
    <s v="FVE"/>
    <s v="09-01-2026"/>
    <s v="09-01-2026 10:24:49"/>
    <s v="900800595"/>
    <s v="Provexpress SAS"/>
    <s v="901443323"/>
    <x v="142"/>
    <n v="25376.3"/>
    <n v="0"/>
    <n v="0"/>
    <n v="291822.3"/>
    <s v="Aprobado con notificación"/>
    <s v="Emitido"/>
    <x v="0"/>
    <x v="0"/>
    <x v="0"/>
    <x v="0"/>
    <x v="1"/>
    <x v="1"/>
    <s v="PAGA EN SISTEMA 19/01/2026"/>
  </r>
  <r>
    <s v="Factura electrónica"/>
    <s v="76f759b0b774b25010fdabedfe5af829ddef63608e704611014fb7c45a18abbdfab99cae973490e70145bf89e62d89b9"/>
    <x v="224"/>
    <n v="-1"/>
    <s v="FVE"/>
    <s v="09-01-2026"/>
    <s v="09-01-2026 10:40:00"/>
    <s v="900800595"/>
    <s v="Provexpress SAS"/>
    <s v="860045379"/>
    <x v="143"/>
    <n v="1286843.78"/>
    <n v="0"/>
    <n v="0"/>
    <n v="8059705.7800000003"/>
    <s v="Aprobado con notificación"/>
    <s v="Emitido"/>
    <x v="0"/>
    <x v="0"/>
    <x v="0"/>
    <x v="0"/>
    <x v="1"/>
    <x v="1"/>
    <s v="PAGA EN SISTEMA 24/02/2026"/>
  </r>
  <r>
    <s v="Factura electrónica"/>
    <s v="27d6537974e757065a9f00d1d6dd67843f03f30cda861235df8beb9f04fbee79ce98934004b05cad9f68b6512c6f5b94"/>
    <x v="225"/>
    <n v="-1"/>
    <s v="FVE"/>
    <s v="09-01-2026"/>
    <s v="09-01-2026 11:10:18"/>
    <s v="900800595"/>
    <s v="Provexpress SAS"/>
    <s v="900879300"/>
    <x v="144"/>
    <n v="110120.39"/>
    <n v="0"/>
    <n v="0"/>
    <n v="689701.39"/>
    <s v="Aprobado con notificación"/>
    <s v="Emitido"/>
    <x v="0"/>
    <x v="0"/>
    <x v="0"/>
    <x v="0"/>
    <x v="1"/>
    <x v="1"/>
    <s v="FACTURA PAGA EN EL SISTEMA 3/02/2026"/>
  </r>
  <r>
    <s v="Factura electrónica"/>
    <s v="e9a77cea45db91ee529ab55fb7ea0835728f632e738cdda5471436ed9754ed17eb0e89c7b3c0fb29f27d1f6e12bc4e2d"/>
    <x v="226"/>
    <n v="-1"/>
    <s v="FVE"/>
    <s v="09-01-2026"/>
    <s v="09-01-2026 11:10:23"/>
    <s v="900800595"/>
    <s v="Provexpress SAS"/>
    <s v="804003084"/>
    <x v="145"/>
    <n v="689479.6"/>
    <n v="0"/>
    <n v="0"/>
    <n v="4318319.5999999996"/>
    <s v="Aprobado con notificación"/>
    <s v="Emitido"/>
    <x v="0"/>
    <x v="0"/>
    <x v="0"/>
    <x v="0"/>
    <x v="1"/>
    <x v="1"/>
    <s v="PAGA EN SISTEMA 11/02/2026"/>
  </r>
  <r>
    <s v="Factura electrónica"/>
    <s v="ef014ef482557c1ea07c70d53eb631ef39fe03218ec17a1eae22460eaf409a9977408f6cd25324f603a297e14c66c437"/>
    <x v="227"/>
    <n v="-1"/>
    <s v="FVE"/>
    <s v="09-01-2026"/>
    <s v="09-01-2026 11:25:35"/>
    <s v="900800595"/>
    <s v="Provexpress SAS"/>
    <s v="860509514"/>
    <x v="146"/>
    <n v="79376.3"/>
    <n v="0"/>
    <n v="0"/>
    <n v="497146.3"/>
    <s v="Aprobado con notificación"/>
    <s v="Emitido"/>
    <x v="0"/>
    <x v="0"/>
    <x v="0"/>
    <x v="0"/>
    <x v="1"/>
    <x v="1"/>
    <s v="PAGA EN SISTEMA 05/02/2026"/>
  </r>
  <r>
    <s v="Factura electrónica"/>
    <s v="eef118ed1eef622f419e42a195aa3280d6d23742ecf4f12db8cd4faed6b8263ea32dfab62f68b068ce96754aca29020d"/>
    <x v="228"/>
    <n v="-1"/>
    <s v="FVE"/>
    <s v="09-01-2026"/>
    <s v="09-01-2026 11:25:39"/>
    <s v="900800595"/>
    <s v="Provexpress SAS"/>
    <s v="800042119"/>
    <x v="147"/>
    <n v="35625"/>
    <n v="0"/>
    <n v="0"/>
    <n v="1943545"/>
    <s v="Aprobado con notificación"/>
    <s v="Emitido"/>
    <x v="1"/>
    <x v="0"/>
    <x v="0"/>
    <x v="0"/>
    <x v="1"/>
    <x v="0"/>
    <m/>
  </r>
  <r>
    <s v="Factura electrónica"/>
    <s v="1c62aa4d2f5ff499d329e1639dbac22da5b62aac04c73f6e2c651388a1520c957bff2cf5a43f154a26b0b795efadae75"/>
    <x v="229"/>
    <n v="-1"/>
    <s v="FVE"/>
    <s v="09-01-2026"/>
    <s v="09-01-2026 11:40:51"/>
    <s v="900800595"/>
    <s v="Provexpress SAS"/>
    <s v="890206354"/>
    <x v="78"/>
    <n v="90288"/>
    <n v="0"/>
    <n v="0"/>
    <n v="565488"/>
    <s v="Aprobado con notificación"/>
    <s v="Emitido"/>
    <x v="0"/>
    <x v="0"/>
    <x v="0"/>
    <x v="0"/>
    <x v="1"/>
    <x v="1"/>
    <s v="PAGA EN SISTEMA 06/02/2026"/>
  </r>
  <r>
    <s v="Factura electrónica"/>
    <s v="820098a863a44cb0dd466e431707bd9f36aa2d13b490018d7c2243ea3013e0b2037007c51f8c4413bada313dabd9af84"/>
    <x v="230"/>
    <n v="-1"/>
    <s v="FVE"/>
    <s v="09-01-2026"/>
    <s v="09-01-2026 11:56:03"/>
    <s v="900800595"/>
    <s v="Provexpress SAS"/>
    <s v="860045379"/>
    <x v="143"/>
    <n v="489612.9"/>
    <n v="0"/>
    <n v="0"/>
    <n v="3066522.9"/>
    <s v="Aprobado con notificación"/>
    <s v="Emitido"/>
    <x v="0"/>
    <x v="0"/>
    <x v="0"/>
    <x v="0"/>
    <x v="1"/>
    <x v="1"/>
    <s v="PAGA EN SISTEMA 24/02/2026"/>
  </r>
  <r>
    <s v="Factura electrónica"/>
    <s v="d4efd614af69bdabe8d9e23d3788024f0a0abfb93434c7035bffcf4ee7cf7c0e8e35af3cd35ed84e1a80f52a75d29460"/>
    <x v="231"/>
    <n v="-1"/>
    <s v="FVE"/>
    <s v="09-01-2026"/>
    <s v="09-01-2026 11:56:07"/>
    <s v="900800595"/>
    <s v="Provexpress SAS"/>
    <s v="806002953"/>
    <x v="148"/>
    <n v="474240"/>
    <n v="0"/>
    <n v="0"/>
    <n v="2970240"/>
    <s v="Aprobado con notificación"/>
    <s v="Emitido"/>
    <x v="0"/>
    <x v="0"/>
    <x v="0"/>
    <x v="0"/>
    <x v="1"/>
    <x v="1"/>
    <s v="PAGA EN EL SISTEMA 27/02/2026"/>
  </r>
  <r>
    <s v="Factura electrónica"/>
    <s v="a26d3845550e33638fc98aea4898757e387a25f608a0d0aa8ed549131f11388e7402c309213c3c345bf248108e248ab0"/>
    <x v="232"/>
    <n v="-1"/>
    <s v="FVE"/>
    <s v="09-01-2026"/>
    <s v="09-01-2026 11:56:16"/>
    <s v="900800595"/>
    <s v="Provexpress SAS"/>
    <s v="800129680"/>
    <x v="149"/>
    <n v="30590"/>
    <n v="0"/>
    <n v="0"/>
    <n v="191590"/>
    <s v="Aprobado con notificación"/>
    <s v="Emitido"/>
    <x v="1"/>
    <x v="0"/>
    <x v="0"/>
    <x v="0"/>
    <x v="1"/>
    <x v="0"/>
    <m/>
  </r>
  <r>
    <s v="Factura electrónica"/>
    <s v="17ed77ce02e56f8cebe8101eeab65bf9d46b6ee69b89a2cba9a24335cb34af0d23cc7db67597c8bc9906a5ce8ac6542f"/>
    <x v="233"/>
    <n v="-1"/>
    <s v="FVE"/>
    <s v="09-01-2026"/>
    <s v="09-01-2026 11:56:20"/>
    <s v="900800595"/>
    <s v="Provexpress SAS"/>
    <s v="860007972"/>
    <x v="150"/>
    <n v="1326200"/>
    <n v="0"/>
    <n v="0"/>
    <n v="8306200"/>
    <s v="Aprobado con notificación"/>
    <s v="Emitido"/>
    <x v="0"/>
    <x v="0"/>
    <x v="0"/>
    <x v="0"/>
    <x v="1"/>
    <x v="1"/>
    <s v="PAGA EN SISTEMA 17/02/2026"/>
  </r>
  <r>
    <s v="Factura electrónica"/>
    <s v="04973bff80d4584d031e6d3bba25ea16b810663cd47a021c47c444cea318d2313c6d673490c4e5f4fd747001f0eeee95"/>
    <x v="234"/>
    <n v="-1"/>
    <s v="FVE"/>
    <s v="09-01-2026"/>
    <s v="09-01-2026 11:56:25"/>
    <s v="900800595"/>
    <s v="Provexpress SAS"/>
    <s v="860000397"/>
    <x v="151"/>
    <n v="17708"/>
    <n v="0"/>
    <n v="0"/>
    <n v="110908"/>
    <s v="Aprobado con notificación"/>
    <s v="Emitido"/>
    <x v="0"/>
    <x v="0"/>
    <x v="0"/>
    <x v="0"/>
    <x v="0"/>
    <x v="0"/>
    <m/>
  </r>
  <r>
    <s v="Factura electrónica"/>
    <s v="0d424380cfa8e03c3a01de6fc002bda67e4aa6bd467117e499472b7705bde912799a3781e7e6cf1779372579a466a185"/>
    <x v="235"/>
    <n v="-1"/>
    <s v="FVE"/>
    <s v="09-01-2026"/>
    <s v="09-01-2026 11:56:29"/>
    <s v="900800595"/>
    <s v="Provexpress SAS"/>
    <s v="860041227"/>
    <x v="152"/>
    <n v="91200"/>
    <n v="0"/>
    <n v="0"/>
    <n v="571200"/>
    <s v="Aprobado con notificación"/>
    <s v="Emitido"/>
    <x v="0"/>
    <x v="0"/>
    <x v="0"/>
    <x v="0"/>
    <x v="1"/>
    <x v="1"/>
    <s v="PAGA EN SISTEMA 09/02/2026"/>
  </r>
  <r>
    <s v="Factura electrónica"/>
    <s v="e26390a9cde2686267ad561947c97a307c6cdc5e671107cdf935045353460b4dbb787ac4c125130283d223fcaf994695"/>
    <x v="236"/>
    <n v="-1"/>
    <s v="FVE"/>
    <s v="09-01-2026"/>
    <s v="09-01-2026 11:56:35"/>
    <s v="900800595"/>
    <s v="Provexpress SAS"/>
    <s v="901117560"/>
    <x v="153"/>
    <n v="17100"/>
    <n v="0"/>
    <n v="0"/>
    <n v="107100"/>
    <s v="Aprobado con notificación"/>
    <s v="Emitido"/>
    <x v="0"/>
    <x v="0"/>
    <x v="0"/>
    <x v="0"/>
    <x v="1"/>
    <x v="1"/>
    <s v="PAGA EN SISTEMA 17/02/2026"/>
  </r>
  <r>
    <s v="Factura electrónica"/>
    <s v="cf8e2acb8193eedd472abfa022b6d67fd5daf5013d327059755ba3411c3ce8d669c688178ac666a1c22435406e3b2f58"/>
    <x v="237"/>
    <n v="-1"/>
    <s v="FVE"/>
    <s v="09-01-2026"/>
    <s v="09-01-2026 12:11:46"/>
    <s v="900800595"/>
    <s v="Provexpress SAS"/>
    <s v="800114672"/>
    <x v="154"/>
    <n v="75821.399999999994"/>
    <n v="0"/>
    <n v="0"/>
    <n v="474881.4"/>
    <s v="Aprobado con notificación"/>
    <s v="Emitido"/>
    <x v="0"/>
    <x v="0"/>
    <x v="1"/>
    <x v="0"/>
    <x v="1"/>
    <x v="0"/>
    <m/>
  </r>
  <r>
    <s v="Factura electrónica"/>
    <s v="22dca6741e31bf75943ec5de6300db66aa4186b9e04f1fd9a73b300b96d911bb8ee490241f29c5e955897839e9d7f2c5"/>
    <x v="238"/>
    <n v="-1"/>
    <s v="FVE"/>
    <s v="09-01-2026"/>
    <s v="09-01-2026 12:11:51"/>
    <s v="900800595"/>
    <s v="Provexpress SAS"/>
    <s v="800114672"/>
    <x v="154"/>
    <n v="10792"/>
    <n v="0"/>
    <n v="0"/>
    <n v="67592"/>
    <s v="Aprobado con notificación"/>
    <s v="Emitido"/>
    <x v="0"/>
    <x v="0"/>
    <x v="1"/>
    <x v="0"/>
    <x v="1"/>
    <x v="0"/>
    <m/>
  </r>
  <r>
    <s v="Factura electrónica"/>
    <s v="b9d7a826fe6cccff26f8b8bf9f87cce25e579e8be06a169ea1db5a57b82a98c980ef2693057a471ab5405bb87557a1cf"/>
    <x v="239"/>
    <n v="-1"/>
    <s v="FVE"/>
    <s v="09-01-2026"/>
    <s v="09-01-2026 12:27:01"/>
    <s v="900800595"/>
    <s v="Provexpress SAS"/>
    <s v="860000794"/>
    <x v="155"/>
    <n v="1505837.78"/>
    <n v="0"/>
    <n v="0"/>
    <n v="9431299.7799999993"/>
    <s v="Aprobado con notificación"/>
    <s v="Emitido"/>
    <x v="0"/>
    <x v="0"/>
    <x v="1"/>
    <x v="0"/>
    <x v="1"/>
    <x v="0"/>
    <m/>
  </r>
  <r>
    <s v="Factura electrónica"/>
    <s v="3d1b1b4b411240407ee1d5ed24e581fefe8c887a5f7120b97a35b2bcd125183fdbe3ce8b7453d43e9b5c13c26d657d7a"/>
    <x v="240"/>
    <n v="-1"/>
    <s v="FVE"/>
    <s v="09-01-2026"/>
    <s v="09-01-2026 12:27:06"/>
    <s v="900800595"/>
    <s v="Provexpress SAS"/>
    <s v="860000794"/>
    <x v="155"/>
    <n v="1505837.78"/>
    <n v="0"/>
    <n v="0"/>
    <n v="9431299.7799999993"/>
    <s v="Aprobado con notificación"/>
    <s v="Emitido"/>
    <x v="0"/>
    <x v="0"/>
    <x v="1"/>
    <x v="0"/>
    <x v="1"/>
    <x v="0"/>
    <m/>
  </r>
  <r>
    <s v="Factura electrónica"/>
    <s v="5974f69050c120f61e5e5c1ae5aa582e2db467e3278d323bec0b22d225440b89c056814725905a879fe89585cf196535"/>
    <x v="241"/>
    <n v="-1"/>
    <s v="FVE"/>
    <s v="09-01-2026"/>
    <s v="09-01-2026 12:27:10"/>
    <s v="900800595"/>
    <s v="Provexpress SAS"/>
    <s v="860000794"/>
    <x v="155"/>
    <n v="1505837.78"/>
    <n v="0"/>
    <n v="0"/>
    <n v="9431299.7799999993"/>
    <s v="Aprobado con notificación"/>
    <s v="Emitido"/>
    <x v="0"/>
    <x v="0"/>
    <x v="1"/>
    <x v="0"/>
    <x v="1"/>
    <x v="0"/>
    <m/>
  </r>
  <r>
    <s v="Factura electrónica"/>
    <s v="24e19da740f03dfae1800a08861dd9f0fe1b97298e7ff2eb55851ba4f5065664f3606052b95ce4c64944ac4407c5de9c"/>
    <x v="242"/>
    <n v="-1"/>
    <s v="FVE"/>
    <s v="09-01-2026"/>
    <s v="09-01-2026 12:27:15"/>
    <s v="900800595"/>
    <s v="Provexpress SAS"/>
    <s v="860000794"/>
    <x v="155"/>
    <n v="1505837.78"/>
    <n v="0"/>
    <n v="0"/>
    <n v="9431299.7799999993"/>
    <s v="Aprobado con notificación"/>
    <s v="Emitido"/>
    <x v="0"/>
    <x v="0"/>
    <x v="1"/>
    <x v="0"/>
    <x v="1"/>
    <x v="0"/>
    <m/>
  </r>
  <r>
    <s v="Factura electrónica"/>
    <s v="809a0039bf9dc97174101156340d081f3b24912bd85e188dadb09ce21ad8ef645faf717a6d57e789e0f603431a7e6307"/>
    <x v="243"/>
    <n v="-1"/>
    <s v="FVE"/>
    <s v="09-01-2026"/>
    <s v="09-01-2026 12:42:26"/>
    <s v="900800595"/>
    <s v="Provexpress SAS"/>
    <s v="901029016"/>
    <x v="156"/>
    <n v="172330"/>
    <n v="0"/>
    <n v="0"/>
    <n v="1079330"/>
    <s v="Aprobado con notificación"/>
    <s v="Emitido"/>
    <x v="0"/>
    <x v="0"/>
    <x v="1"/>
    <x v="0"/>
    <x v="1"/>
    <x v="0"/>
    <m/>
  </r>
  <r>
    <s v="Factura electrónica"/>
    <s v="226fc5619105a1a9aa26883577b92a5b356858491f1b43e362f60cada23cdd295654c217720b456ab5a1716d61fe462c"/>
    <x v="244"/>
    <n v="-1"/>
    <s v="FVE"/>
    <s v="09-01-2026"/>
    <s v="09-01-2026 12:42:32"/>
    <s v="900800595"/>
    <s v="Provexpress SAS"/>
    <s v="901122559"/>
    <x v="157"/>
    <n v="140128.04"/>
    <n v="0"/>
    <n v="0"/>
    <n v="877644.04"/>
    <s v="Aprobado con notificación"/>
    <s v="Emitido"/>
    <x v="0"/>
    <x v="1"/>
    <x v="0"/>
    <x v="0"/>
    <x v="1"/>
    <x v="0"/>
    <m/>
  </r>
  <r>
    <s v="Factura electrónica"/>
    <s v="5ee290e7a2996ea95f292083eaf231487742a39f619264c9574635c80b5216a1480114da7704bd8cf4478a827890acca"/>
    <x v="245"/>
    <n v="-1"/>
    <s v="FVE"/>
    <s v="09-01-2026"/>
    <s v="09-01-2026 12:57:49"/>
    <s v="900800595"/>
    <s v="Provexpress SAS"/>
    <s v="900502435"/>
    <x v="77"/>
    <n v="37528.800000000003"/>
    <n v="0"/>
    <n v="0"/>
    <n v="254979.8"/>
    <s v="Aprobado con notificación"/>
    <s v="Emitido"/>
    <x v="0"/>
    <x v="0"/>
    <x v="0"/>
    <x v="0"/>
    <x v="1"/>
    <x v="1"/>
    <s v="PAGA EN SISTEMA 28/01/2026"/>
  </r>
  <r>
    <s v="Factura electrónica"/>
    <s v="2ac901001fc637773345387fa87a7709ba4cf1db7f4d0876952401a198636f78f3e1af1ae53104d9eff280048031b63e"/>
    <x v="246"/>
    <n v="-1"/>
    <s v="FVE"/>
    <s v="09-01-2026"/>
    <s v="09-01-2026 12:57:47"/>
    <s v="900800595"/>
    <s v="Provexpress SAS"/>
    <s v="900502435"/>
    <x v="77"/>
    <n v="177971.86"/>
    <n v="0"/>
    <n v="0"/>
    <n v="1142229.8600000001"/>
    <s v="Aprobado con notificación"/>
    <s v="Emitido"/>
    <x v="0"/>
    <x v="0"/>
    <x v="0"/>
    <x v="0"/>
    <x v="1"/>
    <x v="1"/>
    <s v="PAGA EN SISTEMA 28/01/2026"/>
  </r>
  <r>
    <s v="Factura electrónica"/>
    <s v="c858f5c880dd6289f7b4ab16556d292477fca3b98a1194bbb1701a22cbc4aa752c091bcfdfe9a60f0ed7be5d56aad457"/>
    <x v="247"/>
    <n v="-1"/>
    <s v="FVE"/>
    <s v="09-01-2026"/>
    <s v="09-01-2026 12:57:53"/>
    <s v="900800595"/>
    <s v="Provexpress SAS"/>
    <s v="900502435"/>
    <x v="77"/>
    <n v="26710.2"/>
    <n v="0"/>
    <n v="0"/>
    <n v="167290.20000000001"/>
    <s v="Aprobado con notificación"/>
    <s v="Emitido"/>
    <x v="0"/>
    <x v="0"/>
    <x v="0"/>
    <x v="0"/>
    <x v="1"/>
    <x v="1"/>
    <s v="PAGA EN SISTEMA 28/01/2026"/>
  </r>
  <r>
    <s v="Factura electrónica"/>
    <s v="739ac2eace4c0f57dbd0503121ec2198dad8ef1ab9977a863a7b354e06dc16828a383df7408619d41dd30a001b7e6594"/>
    <x v="248"/>
    <n v="-1"/>
    <s v="FVE"/>
    <s v="09-01-2026"/>
    <s v="09-01-2026 13:13:03"/>
    <s v="900800595"/>
    <s v="Provexpress SAS"/>
    <s v="900502435"/>
    <x v="77"/>
    <n v="36955.370000000003"/>
    <n v="0"/>
    <n v="0"/>
    <n v="236970.37"/>
    <s v="Aprobado con notificación"/>
    <s v="Emitido"/>
    <x v="0"/>
    <x v="0"/>
    <x v="0"/>
    <x v="0"/>
    <x v="1"/>
    <x v="1"/>
    <s v="PAGA EN SISTEMA 28/01/2026"/>
  </r>
  <r>
    <s v="Factura electrónica"/>
    <s v="819c034f799dd3ad2ec6b89ef52e72d52f0b96b7734db80d6cae4d7cb10317699ecaf05d031949e51bfb5423f674ebae"/>
    <x v="249"/>
    <n v="-1"/>
    <s v="FVE"/>
    <s v="09-01-2026"/>
    <s v="09-01-2026 13:13:07"/>
    <s v="900800595"/>
    <s v="Provexpress SAS"/>
    <s v="890101681"/>
    <x v="158"/>
    <n v="909139.74"/>
    <n v="0"/>
    <n v="0"/>
    <n v="5694085.7400000002"/>
    <s v="Aprobado con notificación"/>
    <s v="Emitido"/>
    <x v="0"/>
    <x v="0"/>
    <x v="0"/>
    <x v="0"/>
    <x v="1"/>
    <x v="1"/>
    <s v="PAGA EN SISTEMA 12/02/2026"/>
  </r>
  <r>
    <s v="Factura electrónica"/>
    <s v="49be0191550d92473e3c4f041e3b3299997a241fa337344e873b6c74da3ecc2e7be6a6868a9112f2e3b2a678835921a6"/>
    <x v="250"/>
    <n v="-1"/>
    <s v="FVE"/>
    <s v="09-01-2026"/>
    <s v="09-01-2026 14:43:52"/>
    <s v="900800595"/>
    <s v="Provexpress SAS"/>
    <s v="830051928"/>
    <x v="159"/>
    <n v="321461"/>
    <n v="0"/>
    <n v="0"/>
    <n v="2013361"/>
    <s v="Aprobado con notificación"/>
    <s v="Emitido"/>
    <x v="0"/>
    <x v="1"/>
    <x v="0"/>
    <x v="0"/>
    <x v="1"/>
    <x v="0"/>
    <m/>
  </r>
  <r>
    <s v="Factura electrónica"/>
    <s v="3579fa04b07087098b24108d2f3f68ed257866037e811d0aadf01dc329be05ee3c510b45402c0f62922305a268654e33"/>
    <x v="251"/>
    <n v="-1"/>
    <s v="FVE"/>
    <s v="09-01-2026"/>
    <s v="09-01-2026 14:43:59"/>
    <s v="900800595"/>
    <s v="Provexpress SAS"/>
    <s v="900208445"/>
    <x v="160"/>
    <n v="54080"/>
    <n v="0"/>
    <n v="0"/>
    <n v="418180"/>
    <s v="Aprobado con notificación"/>
    <s v="Emitido"/>
    <x v="0"/>
    <x v="1"/>
    <x v="0"/>
    <x v="0"/>
    <x v="1"/>
    <x v="0"/>
    <m/>
  </r>
  <r>
    <s v="Factura electrónica"/>
    <s v="57f5a9cd596d27369601f5bb189d3f8c482eaafc05d6d7e5e7ee00ca4998bdd672f1167b488ac19e3bafd7645836fe09"/>
    <x v="252"/>
    <n v="-1"/>
    <s v="FVE"/>
    <s v="09-01-2026"/>
    <s v="09-01-2026 14:44:01"/>
    <s v="900800595"/>
    <s v="Provexpress SAS"/>
    <s v="860503184"/>
    <x v="161"/>
    <n v="114302.48"/>
    <n v="0"/>
    <n v="0"/>
    <n v="715894.48"/>
    <s v="Aprobado con notificación"/>
    <s v="Emitido"/>
    <x v="0"/>
    <x v="0"/>
    <x v="0"/>
    <x v="0"/>
    <x v="1"/>
    <x v="1"/>
    <s v="FACTURA PAGA EN EL SISTEMA 9/02/2026"/>
  </r>
  <r>
    <s v="Factura electrónica"/>
    <s v="5ddbbf0041f797ec8c6febf0d80205cb05e0f917ebc55a1cefdb50ff6bdede88c7c01ceaf74287bec7d343e1f1b595a1"/>
    <x v="253"/>
    <n v="-1"/>
    <s v="FVE"/>
    <s v="09-01-2026"/>
    <s v="09-01-2026 14:44:05"/>
    <s v="900800595"/>
    <s v="Provexpress SAS"/>
    <s v="860524163"/>
    <x v="162"/>
    <n v="117876"/>
    <n v="0"/>
    <n v="0"/>
    <n v="738276"/>
    <s v="Aprobado con notificación"/>
    <s v="Emitido"/>
    <x v="1"/>
    <x v="0"/>
    <x v="0"/>
    <x v="0"/>
    <x v="1"/>
    <x v="0"/>
    <m/>
  </r>
  <r>
    <s v="Factura electrónica"/>
    <s v="0e1388512ae367ca9920693feb57035a4ed1e5b186a48a5323dd4fa96fcbbfeec5f12418f6b90ab5b70eada9f9812cea"/>
    <x v="254"/>
    <n v="-1"/>
    <s v="FVE"/>
    <s v="09-01-2026"/>
    <s v="09-01-2026 14:59:16"/>
    <s v="900800595"/>
    <s v="Provexpress SAS"/>
    <s v="830051928"/>
    <x v="159"/>
    <n v="63742.559999999998"/>
    <n v="0"/>
    <n v="0"/>
    <n v="2543726.61"/>
    <s v="Aprobado con notificación"/>
    <s v="Emitido"/>
    <x v="1"/>
    <x v="0"/>
    <x v="0"/>
    <x v="0"/>
    <x v="1"/>
    <x v="0"/>
    <m/>
  </r>
  <r>
    <s v="Factura electrónica"/>
    <s v="ba1165566effeea7fe7d6786a51c6056dcdf9178a8a0e8dfe4c6903599ed2dbd2f30d979f934814f402dce6c1664c9be"/>
    <x v="255"/>
    <n v="-1"/>
    <s v="FVE"/>
    <s v="09-01-2026"/>
    <s v="09-01-2026 14:59:21"/>
    <s v="900800595"/>
    <s v="Provexpress SAS"/>
    <s v="860052872"/>
    <x v="163"/>
    <n v="15181"/>
    <n v="0"/>
    <n v="0"/>
    <n v="95081"/>
    <s v="Aprobado con notificación"/>
    <s v="Emitido"/>
    <x v="0"/>
    <x v="0"/>
    <x v="0"/>
    <x v="0"/>
    <x v="1"/>
    <x v="0"/>
    <s v="PAGA EN SISTEMA 21/01/2026"/>
  </r>
  <r>
    <s v="Factura electrónica"/>
    <s v="14a44ee529a55b0435907ad8bb8c76e45214786dd6b13bd7f3495bc655b4a28bcf1f29ab7ec6482c45647ab9f604202c"/>
    <x v="256"/>
    <n v="-1"/>
    <s v="FVE"/>
    <s v="09-01-2026"/>
    <s v="09-01-2026 15:14:32"/>
    <s v="900800595"/>
    <s v="Provexpress SAS"/>
    <s v="79304958"/>
    <x v="164"/>
    <n v="6329.28"/>
    <n v="0"/>
    <n v="0"/>
    <n v="39641.279999999999"/>
    <s v="Aprobado con notificación"/>
    <s v="Emitido"/>
    <x v="0"/>
    <x v="0"/>
    <x v="0"/>
    <x v="0"/>
    <x v="1"/>
    <x v="1"/>
    <s v="FACTURA PAGA EN EL SISTEMA 30/01/2026"/>
  </r>
  <r>
    <s v="Factura electrónica"/>
    <s v="6646211efd5e11ddd6eb620d8449910077e3852a1002db4887d11b25ed3e790ef96ec9dd6b49116b03fa6628fb28a40f"/>
    <x v="257"/>
    <n v="-1"/>
    <s v="FVE"/>
    <s v="09-01-2026"/>
    <s v="09-01-2026 15:29:43"/>
    <s v="900800595"/>
    <s v="Provexpress SAS"/>
    <s v="1063561549"/>
    <x v="165"/>
    <n v="10487.48"/>
    <n v="0"/>
    <n v="0"/>
    <n v="111283.48"/>
    <s v="Aprobado con notificación"/>
    <s v="Emitido"/>
    <x v="0"/>
    <x v="0"/>
    <x v="0"/>
    <x v="0"/>
    <x v="1"/>
    <x v="1"/>
    <s v="FACTURA PAGA EN EL SISTEMA 30/01/2026"/>
  </r>
  <r>
    <s v="Factura electrónica"/>
    <s v="c0e475c4a986e6fe5a38d58edf1ec01de355830a20dfd65b6d319e5913d572d4c75096f5b54ef7ccfb1a34c80bc89885"/>
    <x v="258"/>
    <n v="-1"/>
    <s v="FVE"/>
    <s v="09-01-2026"/>
    <s v="09-01-2026 15:44:55"/>
    <s v="900800595"/>
    <s v="Provexpress SAS"/>
    <s v="900671249"/>
    <x v="166"/>
    <n v="18506"/>
    <n v="0"/>
    <n v="0"/>
    <n v="115906"/>
    <s v="Aprobado con notificación"/>
    <s v="Emitido"/>
    <x v="0"/>
    <x v="0"/>
    <x v="0"/>
    <x v="0"/>
    <x v="0"/>
    <x v="0"/>
    <m/>
  </r>
  <r>
    <s v="Factura electrónica"/>
    <s v="a13f698f5759caeb2df35b855c27fcfe0cff5361a675210ded54f0d5cec6dbacd4f48a2e2eb89779ab198a71db6c13aa"/>
    <x v="259"/>
    <n v="-1"/>
    <s v="FVE"/>
    <s v="09-01-2026"/>
    <s v="09-01-2026 15:44:59"/>
    <s v="900800595"/>
    <s v="Provexpress SAS"/>
    <s v="900236520"/>
    <x v="167"/>
    <n v="0"/>
    <n v="0"/>
    <n v="0"/>
    <n v="3258971"/>
    <s v="Aprobado con notificación"/>
    <s v="Emitido"/>
    <x v="0"/>
    <x v="0"/>
    <x v="0"/>
    <x v="0"/>
    <x v="1"/>
    <x v="1"/>
    <s v="PAGA EN SISTEMA 16/02/2026"/>
  </r>
  <r>
    <s v="Factura electrónica"/>
    <s v="5bcabb190c8dbf94a8a25c1e633cf82b9a11fc5a28e9144d00f58bb3188f912e090df90abc9530d9c538424b53ee3bce"/>
    <x v="260"/>
    <n v="-1"/>
    <s v="FVE"/>
    <s v="09-01-2026"/>
    <s v="09-01-2026 15:45:04"/>
    <s v="900800595"/>
    <s v="Provexpress SAS"/>
    <s v="900396967"/>
    <x v="87"/>
    <n v="583300"/>
    <n v="0"/>
    <n v="0"/>
    <n v="3653300"/>
    <s v="Aprobado con notificación"/>
    <s v="Emitido"/>
    <x v="0"/>
    <x v="0"/>
    <x v="0"/>
    <x v="0"/>
    <x v="1"/>
    <x v="1"/>
    <s v="FACTURA PAGA EN EL SISTEMA 10/02/2026"/>
  </r>
  <r>
    <s v="Factura electrónica"/>
    <s v="2592b001c269f5dd8c7df5f33548c7bc6c7abe65f395d5379660e2cd284b8452b48dbb1bf717726a4847148f83f8ba79"/>
    <x v="261"/>
    <n v="-1"/>
    <s v="FVE"/>
    <s v="09-01-2026"/>
    <s v="09-01-2026 15:45:09"/>
    <s v="900800595"/>
    <s v="Provexpress SAS"/>
    <s v="830077655"/>
    <x v="168"/>
    <n v="229729.95"/>
    <n v="0"/>
    <n v="0"/>
    <n v="1438834.95"/>
    <s v="Aprobado con notificación"/>
    <s v="Emitido"/>
    <x v="0"/>
    <x v="0"/>
    <x v="0"/>
    <x v="0"/>
    <x v="1"/>
    <x v="1"/>
    <s v="PAGA EN SISTEMA 17/02/2026"/>
  </r>
  <r>
    <s v="Factura electrónica"/>
    <s v="9c17b3aa3cd2675776b4cd0ab7af5a59a46881dbb819ab468faf071eda4791b834426e8ea77a8b5c030ebedfc0c8750b"/>
    <x v="262"/>
    <n v="-1"/>
    <s v="FVE"/>
    <s v="13-01-2026"/>
    <s v="13-01-2026 07:29:42"/>
    <s v="900800595"/>
    <s v="Provexpress SAS"/>
    <s v="800195603"/>
    <x v="169"/>
    <n v="54831.15"/>
    <n v="0"/>
    <n v="0"/>
    <n v="343416.15"/>
    <s v="Aprobado con notificación"/>
    <s v="Emitido"/>
    <x v="0"/>
    <x v="0"/>
    <x v="0"/>
    <x v="0"/>
    <x v="1"/>
    <x v="1"/>
    <s v="PAGA EN SISTEMA 19/02/2026"/>
  </r>
  <r>
    <s v="Factura electrónica"/>
    <s v="fa80e273a5c0520db28cd3f2f08252893cc53e7368edf96af70311f5c959c40bc9213ea60f310ab9789af47a146b4555"/>
    <x v="263"/>
    <n v="-1"/>
    <s v="FVE"/>
    <s v="13-01-2026"/>
    <s v="13-01-2026 07:44:54"/>
    <s v="900800595"/>
    <s v="Provexpress SAS"/>
    <s v="800195603"/>
    <x v="169"/>
    <n v="31973.200000000001"/>
    <n v="0"/>
    <n v="0"/>
    <n v="209853.2"/>
    <s v="Aprobado con notificación"/>
    <s v="Emitido"/>
    <x v="0"/>
    <x v="0"/>
    <x v="0"/>
    <x v="0"/>
    <x v="1"/>
    <x v="1"/>
    <s v="PAGA EN SISTEMA 19/02/2026"/>
  </r>
  <r>
    <s v="Factura electrónica"/>
    <s v="dd2d15f02b36f3bf30a5c92b0aa86385835e58c6cf120bead64a948bb853bc456efe71adda73dd9a6e608a384099f9f5"/>
    <x v="264"/>
    <n v="-1"/>
    <s v="FVE"/>
    <s v="13-01-2026"/>
    <s v="13-01-2026 08:00:05"/>
    <s v="900800595"/>
    <s v="Provexpress SAS"/>
    <s v="901938677"/>
    <x v="170"/>
    <n v="1188735"/>
    <n v="0"/>
    <n v="0"/>
    <n v="7445235"/>
    <s v="Aprobado con notificación"/>
    <s v="Emitido"/>
    <x v="0"/>
    <x v="0"/>
    <x v="0"/>
    <x v="0"/>
    <x v="1"/>
    <x v="1"/>
    <s v="FACTURA PAGA EN EL SISTEMA 13/02/2026"/>
  </r>
  <r>
    <s v="Factura electrónica"/>
    <s v="ee2fa87da0cfbbe47463160db6fa5214a85f7eb261d8bea65fff2b53872f17a4e399164ab681b9510e9f473e94971d1a"/>
    <x v="265"/>
    <n v="-1"/>
    <s v="FVE"/>
    <s v="13-01-2026"/>
    <s v="13-01-2026 08:00:10"/>
    <s v="900800595"/>
    <s v="Provexpress SAS"/>
    <s v="830073329"/>
    <x v="171"/>
    <n v="259255"/>
    <n v="0"/>
    <n v="0"/>
    <n v="1623755"/>
    <s v="Aprobado con notificación"/>
    <s v="Emitido"/>
    <x v="0"/>
    <x v="0"/>
    <x v="0"/>
    <x v="0"/>
    <x v="0"/>
    <x v="0"/>
    <m/>
  </r>
  <r>
    <s v="Factura electrónica"/>
    <s v="9f482f43933085785df93a513c515d624145f7eb2da04f71053d446a163c02f220ee985f1b65ce6c6d0e637f710a478c"/>
    <x v="266"/>
    <n v="-1"/>
    <s v="FVE"/>
    <s v="13-01-2026"/>
    <s v="13-01-2026 08:00:15"/>
    <s v="900800595"/>
    <s v="Provexpress SAS"/>
    <s v="900353873"/>
    <x v="172"/>
    <n v="988950"/>
    <n v="0"/>
    <n v="0"/>
    <n v="6764450"/>
    <s v="Aprobado con notificación"/>
    <s v="Emitido"/>
    <x v="0"/>
    <x v="0"/>
    <x v="0"/>
    <x v="0"/>
    <x v="1"/>
    <x v="1"/>
    <s v="PAGA EN SISTEMA 10/02/2026"/>
  </r>
  <r>
    <s v="Factura electrónica"/>
    <s v="61a33618793f549f05a504e80b1729a5e5791c53c01050da67e6a6b0d90d7a719c7c5d8d0c5014e1b71888e501d90535"/>
    <x v="267"/>
    <n v="-1"/>
    <s v="FVE"/>
    <s v="13-01-2026"/>
    <s v="13-01-2026 08:00:20"/>
    <s v="900800595"/>
    <s v="Provexpress SAS"/>
    <s v="900353873"/>
    <x v="172"/>
    <n v="180500"/>
    <n v="0"/>
    <n v="0"/>
    <n v="1130500"/>
    <s v="Aprobado con notificación"/>
    <s v="Emitido"/>
    <x v="0"/>
    <x v="0"/>
    <x v="0"/>
    <x v="0"/>
    <x v="1"/>
    <x v="1"/>
    <s v="PAGA EN SISTEMA 10/02/2026"/>
  </r>
  <r>
    <s v="Factura electrónica"/>
    <s v="07f352784fa02960a4c10e890c69a65548378ff28607d252cf59f44a0da495e132314b3892d0389d6b5583fd924e3caa"/>
    <x v="268"/>
    <n v="-1"/>
    <s v="FVE"/>
    <s v="13-01-2026"/>
    <s v="13-01-2026 08:15:31"/>
    <s v="900800595"/>
    <s v="Provexpress SAS"/>
    <s v="890112475"/>
    <x v="173"/>
    <n v="848093.88"/>
    <n v="0"/>
    <n v="0"/>
    <n v="5311745.88"/>
    <s v="Aprobado con notificación"/>
    <s v="Emitido"/>
    <x v="0"/>
    <x v="0"/>
    <x v="1"/>
    <x v="0"/>
    <x v="1"/>
    <x v="0"/>
    <m/>
  </r>
  <r>
    <s v="Factura electrónica"/>
    <s v="41ffec03950ebc03138eac86da239d167c196c2ac58fd4a53a9b8fbe5cc63fbc3246c6719c3f1843b66ab7f140f18fa0"/>
    <x v="269"/>
    <n v="-1"/>
    <s v="FVE"/>
    <s v="13-01-2026"/>
    <s v="13-01-2026 08:15:35"/>
    <s v="900800595"/>
    <s v="Provexpress SAS"/>
    <s v="860009107"/>
    <x v="174"/>
    <n v="7600"/>
    <n v="0"/>
    <n v="0"/>
    <n v="47600"/>
    <s v="Aprobado con notificación"/>
    <s v="Emitido"/>
    <x v="0"/>
    <x v="0"/>
    <x v="0"/>
    <x v="0"/>
    <x v="1"/>
    <x v="1"/>
    <s v="PAGA EN SISTEMA 16/02/2026"/>
  </r>
  <r>
    <s v="Factura electrónica"/>
    <s v="e88e42aa3f5b892e2b015e732499d3b582d7524e522c3b1456972c8ca89082b34fd88e5cbf5027658d1a8ccde495b4c1"/>
    <x v="270"/>
    <n v="-1"/>
    <s v="FVE"/>
    <s v="13-01-2026"/>
    <s v="13-01-2026 08:30:46"/>
    <s v="900800595"/>
    <s v="Provexpress SAS"/>
    <s v="860078828"/>
    <x v="8"/>
    <n v="117674.79"/>
    <n v="0"/>
    <n v="0"/>
    <n v="737015.79"/>
    <s v="Aprobado con notificación"/>
    <s v="Emitido"/>
    <x v="0"/>
    <x v="0"/>
    <x v="1"/>
    <x v="0"/>
    <x v="1"/>
    <x v="0"/>
    <m/>
  </r>
  <r>
    <s v="Factura electrónica"/>
    <s v="9c0c0c7d8adf092bde3a0e972768854a1da250af53f92064fb7b41310bb79537c3a45799f2974b6a683a7c7f9a9d94a2"/>
    <x v="271"/>
    <n v="-1"/>
    <s v="FVE"/>
    <s v="13-01-2026"/>
    <s v="13-01-2026 08:45:58"/>
    <s v="900800595"/>
    <s v="Provexpress SAS"/>
    <s v="860078828"/>
    <x v="8"/>
    <n v="16266.47"/>
    <n v="0"/>
    <n v="0"/>
    <n v="101879.47"/>
    <s v="Aprobado con notificación"/>
    <s v="Emitido"/>
    <x v="0"/>
    <x v="0"/>
    <x v="1"/>
    <x v="0"/>
    <x v="1"/>
    <x v="0"/>
    <m/>
  </r>
  <r>
    <s v="Factura electrónica"/>
    <s v="a64f7d6908364874092a9e6d441bba738a02649c0215b4b17998499beacbda11f13642a8e13a478eb1af495ad7b4b429"/>
    <x v="272"/>
    <n v="-1"/>
    <s v="FVE"/>
    <s v="13-01-2026"/>
    <s v="13-01-2026 08:46:04"/>
    <s v="900800595"/>
    <s v="Provexpress SAS"/>
    <s v="860078828"/>
    <x v="8"/>
    <n v="7123.67"/>
    <n v="0"/>
    <n v="0"/>
    <n v="44616.67"/>
    <s v="Aprobado con notificación"/>
    <s v="Emitido"/>
    <x v="0"/>
    <x v="0"/>
    <x v="1"/>
    <x v="0"/>
    <x v="1"/>
    <x v="0"/>
    <m/>
  </r>
  <r>
    <s v="Factura electrónica"/>
    <s v="ce790d88610c75a0061fcbe4edb921f78a9d617effa7b575a3df6b13ef99b40f7bedb25f5bb393d87cd3762b0be42002"/>
    <x v="273"/>
    <n v="-1"/>
    <s v="FVE"/>
    <s v="13-01-2026"/>
    <s v="13-01-2026 08:46:09"/>
    <s v="900800595"/>
    <s v="Provexpress SAS"/>
    <s v="860078828"/>
    <x v="8"/>
    <n v="1626776.01"/>
    <n v="0"/>
    <n v="0"/>
    <n v="10188755.01"/>
    <s v="Aprobado con notificación"/>
    <s v="Emitido"/>
    <x v="0"/>
    <x v="0"/>
    <x v="1"/>
    <x v="0"/>
    <x v="1"/>
    <x v="0"/>
    <m/>
  </r>
  <r>
    <s v="Factura electrónica"/>
    <s v="e14061f6bca97ce7410ecb08d332081b2a9201861a4d9540728d246648f6623d79d4d5d3e08c36d910ba2cc432b940d9"/>
    <x v="274"/>
    <n v="-1"/>
    <s v="FVE"/>
    <s v="13-01-2026"/>
    <s v="13-01-2026 08:46:12"/>
    <s v="900800595"/>
    <s v="Provexpress SAS"/>
    <s v="800149384"/>
    <x v="6"/>
    <n v="224437.5"/>
    <n v="0"/>
    <n v="0"/>
    <n v="1405687.5"/>
    <s v="Aprobado con notificación"/>
    <s v="Emitido"/>
    <x v="0"/>
    <x v="0"/>
    <x v="1"/>
    <x v="0"/>
    <x v="1"/>
    <x v="0"/>
    <m/>
  </r>
  <r>
    <s v="Factura electrónica"/>
    <s v="643aa041663c63c6eda15cb3db1ba1f6ed039d9b78d678f128eb8e568ff6c5c63179231644da297fd7791fbcc8bde147"/>
    <x v="275"/>
    <n v="-1"/>
    <s v="FVE"/>
    <s v="13-01-2026"/>
    <s v="13-01-2026 08:46:16"/>
    <s v="900800595"/>
    <s v="Provexpress SAS"/>
    <s v="800149384"/>
    <x v="6"/>
    <n v="9120"/>
    <n v="0"/>
    <n v="0"/>
    <n v="57120"/>
    <s v="Aprobado con notificación"/>
    <s v="Emitido"/>
    <x v="0"/>
    <x v="0"/>
    <x v="1"/>
    <x v="0"/>
    <x v="1"/>
    <x v="0"/>
    <m/>
  </r>
  <r>
    <s v="Factura electrónica"/>
    <s v="9a61ea46adc56bbc51fd8750a553cef2c59731026053cd3888a1ee7a9ba66c7394ba00b55b1ced527569f7e069cca070"/>
    <x v="276"/>
    <n v="-1"/>
    <s v="FVE"/>
    <s v="13-01-2026"/>
    <s v="13-01-2026 08:46:21"/>
    <s v="900800595"/>
    <s v="Provexpress SAS"/>
    <s v="800149384"/>
    <x v="6"/>
    <n v="117674.79"/>
    <n v="0"/>
    <n v="0"/>
    <n v="737015.79"/>
    <s v="Aprobado con notificación"/>
    <s v="Emitido"/>
    <x v="0"/>
    <x v="0"/>
    <x v="1"/>
    <x v="0"/>
    <x v="1"/>
    <x v="0"/>
    <m/>
  </r>
  <r>
    <s v="Factura electrónica"/>
    <s v="53423e5b2e4ae11ee0a556643202bc9b75a0ed96560a821033d197df14f1cb1d7c2f97a61356784ac79a509096506245"/>
    <x v="277"/>
    <n v="-1"/>
    <s v="FVE"/>
    <s v="13-01-2026"/>
    <s v="13-01-2026 08:46:26"/>
    <s v="900800595"/>
    <s v="Provexpress SAS"/>
    <s v="800149384"/>
    <x v="6"/>
    <n v="213710.1"/>
    <n v="0"/>
    <n v="0"/>
    <n v="1338500.1000000001"/>
    <s v="Aprobado con notificación"/>
    <s v="Emitido"/>
    <x v="0"/>
    <x v="0"/>
    <x v="1"/>
    <x v="0"/>
    <x v="1"/>
    <x v="0"/>
    <m/>
  </r>
  <r>
    <s v="Factura electrónica"/>
    <s v="d7ea354b2932069187b13e47cb13d96a1526b32ef77eb161345c032dc6aece7ca5da89745e8a871b8c6a635cac388345"/>
    <x v="278"/>
    <n v="-1"/>
    <s v="FVE"/>
    <s v="13-01-2026"/>
    <s v="13-01-2026 09:01:36"/>
    <s v="900800595"/>
    <s v="Provexpress SAS"/>
    <s v="830113458"/>
    <x v="175"/>
    <n v="1133582.18"/>
    <n v="0"/>
    <n v="0"/>
    <n v="7099804.1799999997"/>
    <s v="Aprobado con notificación"/>
    <s v="Emitido"/>
    <x v="0"/>
    <x v="0"/>
    <x v="1"/>
    <x v="0"/>
    <x v="1"/>
    <x v="0"/>
    <m/>
  </r>
  <r>
    <s v="Factura electrónica"/>
    <s v="efa79d789c7d5adb36c02246e822b63d89ad74bf9eec6453d2f19700db40f61e76abb4eb9e79296b104b753cc3756e3f"/>
    <x v="279"/>
    <n v="-1"/>
    <s v="FVE"/>
    <s v="13-01-2026"/>
    <s v="13-01-2026 09:01:41"/>
    <s v="900800595"/>
    <s v="Provexpress SAS"/>
    <s v="800185773"/>
    <x v="7"/>
    <n v="7936.3"/>
    <n v="0"/>
    <n v="0"/>
    <n v="49706.3"/>
    <s v="Aprobado con notificación"/>
    <s v="Emitido"/>
    <x v="0"/>
    <x v="0"/>
    <x v="1"/>
    <x v="0"/>
    <x v="1"/>
    <x v="0"/>
    <m/>
  </r>
  <r>
    <s v="Factura electrónica"/>
    <s v="0a478d70bd4fd647877dc27e3311fc3d7b4605db7adb7ec1082a9cf57e3d8949df85366997d77b536813faaecbb8c26d"/>
    <x v="280"/>
    <n v="-1"/>
    <s v="FVE"/>
    <s v="13-01-2026"/>
    <s v="13-01-2026 09:01:46"/>
    <s v="900800595"/>
    <s v="Provexpress SAS"/>
    <s v="900682841"/>
    <x v="3"/>
    <n v="247000"/>
    <n v="0"/>
    <n v="0"/>
    <n v="1547000"/>
    <s v="Aprobado con notificación"/>
    <s v="Emitido"/>
    <x v="0"/>
    <x v="0"/>
    <x v="0"/>
    <x v="0"/>
    <x v="1"/>
    <x v="1"/>
    <s v="PAGA EN SISTEMA 20/02/2026"/>
  </r>
  <r>
    <s v="Factura electrónica"/>
    <s v="d5d23e602eab870629c292fd5b926cd7c40a9d73729d674ff6dbf9758740231a72ca9aaae7f523dabc636931f962686e"/>
    <x v="281"/>
    <n v="-1"/>
    <s v="FVE"/>
    <s v="13-01-2026"/>
    <s v="13-01-2026 09:17:02"/>
    <s v="900800595"/>
    <s v="Provexpress SAS"/>
    <s v="860026123"/>
    <x v="176"/>
    <n v="11576320"/>
    <n v="0"/>
    <n v="0"/>
    <n v="72504320"/>
    <s v="Aprobado con notificación"/>
    <s v="Emitido"/>
    <x v="0"/>
    <x v="0"/>
    <x v="0"/>
    <x v="0"/>
    <x v="1"/>
    <x v="1"/>
    <s v="FACTURA PAGA EN EL SISTEMA 12/02/2026"/>
  </r>
  <r>
    <s v="Factura electrónica"/>
    <s v="d4e8a0ecf4e952cae594ce1763e4e04cb1007eb05cd67e671dcc54493d62a0fbf2097cf5ea4496ca52b2b3af805a3e67"/>
    <x v="282"/>
    <n v="-1"/>
    <s v="FVE"/>
    <s v="13-01-2026"/>
    <s v="13-01-2026 09:17:10"/>
    <s v="900800595"/>
    <s v="Provexpress SAS"/>
    <s v="805022659"/>
    <x v="177"/>
    <n v="269883.21999999997"/>
    <n v="0"/>
    <n v="0"/>
    <n v="1690321.22"/>
    <s v="Aprobado con notificación"/>
    <s v="Emitido"/>
    <x v="0"/>
    <x v="0"/>
    <x v="0"/>
    <x v="0"/>
    <x v="0"/>
    <x v="0"/>
    <m/>
  </r>
  <r>
    <s v="Factura electrónica"/>
    <s v="571e1885247d6c469431358d07c98fd886588e185c38a76cd11ba3b6dc3057d7c2cfe018ea20047cbb5a2571b04420b2"/>
    <x v="283"/>
    <n v="-1"/>
    <s v="FVE"/>
    <s v="13-01-2026"/>
    <s v="13-01-2026 09:17:11"/>
    <s v="900800595"/>
    <s v="Provexpress SAS"/>
    <s v="830129327"/>
    <x v="178"/>
    <n v="43022840"/>
    <n v="0"/>
    <n v="0"/>
    <n v="269458840"/>
    <s v="Aprobado con notificación"/>
    <s v="Emitido"/>
    <x v="0"/>
    <x v="0"/>
    <x v="0"/>
    <x v="0"/>
    <x v="1"/>
    <x v="1"/>
    <s v="PAGA EN SISTEMA 17/02/2026"/>
  </r>
  <r>
    <s v="Factura electrónica"/>
    <s v="ff4886c3c865956f6bb7a81958d5ddf4b0288b31108d6681b45c60776fdb0fc5886de63dbe0b9ce8e974d2906445d17f"/>
    <x v="284"/>
    <n v="-1"/>
    <s v="FVE"/>
    <s v="13-01-2026"/>
    <s v="13-01-2026 09:32:22"/>
    <s v="900800595"/>
    <s v="Provexpress SAS"/>
    <s v="860512249"/>
    <x v="179"/>
    <n v="242615.94"/>
    <n v="0"/>
    <n v="0"/>
    <n v="1519541.94"/>
    <s v="Aprobado con notificación"/>
    <s v="Emitido"/>
    <x v="0"/>
    <x v="0"/>
    <x v="0"/>
    <x v="0"/>
    <x v="1"/>
    <x v="1"/>
    <s v="PAGA EN EL SISTEMA 27/02/2026"/>
  </r>
  <r>
    <s v="Factura electrónica"/>
    <s v="4ffdd93ace98c5bce5e786dacca55c245c47b68444383dc1f41f09c008db4b3f4db80fb4d8eb8071af61b79ba72e3295"/>
    <x v="285"/>
    <n v="-1"/>
    <s v="FVE"/>
    <s v="13-01-2026"/>
    <s v="13-01-2026 09:32:27"/>
    <s v="900800595"/>
    <s v="Provexpress SAS"/>
    <s v="860025596"/>
    <x v="180"/>
    <n v="3321732"/>
    <n v="0"/>
    <n v="0"/>
    <n v="20804532"/>
    <s v="Aprobado con notificación"/>
    <s v="Emitido"/>
    <x v="0"/>
    <x v="0"/>
    <x v="0"/>
    <x v="0"/>
    <x v="1"/>
    <x v="1"/>
    <s v="FACTURA PAGA EN EL SISTEMA 4/02/2026"/>
  </r>
  <r>
    <s v="Factura electrónica"/>
    <s v="92d405d5b883871f706f651211d122da8c786f14b3357232b94452422451f7d85af89ca1cc0a5a85192d933ed04698a3"/>
    <x v="286"/>
    <n v="-1"/>
    <s v="FVE"/>
    <s v="13-01-2026"/>
    <s v="13-01-2026 09:32:33"/>
    <s v="900800595"/>
    <s v="Provexpress SAS"/>
    <s v="860068182"/>
    <x v="181"/>
    <n v="18753.189999999999"/>
    <n v="0"/>
    <n v="0"/>
    <n v="117454.19"/>
    <s v="Aprobado con notificación"/>
    <s v="Emitido"/>
    <x v="0"/>
    <x v="0"/>
    <x v="0"/>
    <x v="0"/>
    <x v="1"/>
    <x v="1"/>
    <s v="PAGA EN SISTEMA 06/02/2026"/>
  </r>
  <r>
    <s v="Factura electrónica"/>
    <s v="fef63561ec7dcc4b22d795a751402e63cf74058c4a1a18c84536695dddee87b7c3f0b97f65f5ac06b1f1887d7f2eee0d"/>
    <x v="287"/>
    <n v="-1"/>
    <s v="FVE"/>
    <s v="13-01-2026"/>
    <s v="13-01-2026 09:32:40"/>
    <s v="900800595"/>
    <s v="Provexpress SAS"/>
    <s v="860068182"/>
    <x v="181"/>
    <n v="46963.25"/>
    <n v="0"/>
    <n v="0"/>
    <n v="294138.25"/>
    <s v="Aprobado con notificación"/>
    <s v="Emitido"/>
    <x v="0"/>
    <x v="0"/>
    <x v="0"/>
    <x v="0"/>
    <x v="1"/>
    <x v="1"/>
    <s v="PAGA EN SISTEMA 06/02/2026"/>
  </r>
  <r>
    <s v="Factura electrónica"/>
    <s v="49fee868c233c8371baebea7fb42aef520b5304486998522a3b3e08937070cdfe3224b90109f1ab8cda3aebd83485505"/>
    <x v="288"/>
    <n v="-1"/>
    <s v="FVE"/>
    <s v="13-01-2026"/>
    <s v="13-01-2026 09:32:46"/>
    <s v="900800595"/>
    <s v="Provexpress SAS"/>
    <s v="860068182"/>
    <x v="181"/>
    <n v="75618.48"/>
    <n v="0"/>
    <n v="0"/>
    <n v="473610.48"/>
    <s v="Aprobado con notificación"/>
    <s v="Emitido"/>
    <x v="0"/>
    <x v="0"/>
    <x v="0"/>
    <x v="0"/>
    <x v="1"/>
    <x v="1"/>
    <s v="PAGA EN SISTEMA 06/02/2026"/>
  </r>
  <r>
    <s v="Factura electrónica"/>
    <s v="ce9aaa7f66b3502e6820859d96410f8371568b9a460de1b7d84c4e2731872004e4dc9ef3d4435b126d419b307f8bed21"/>
    <x v="289"/>
    <n v="-1"/>
    <s v="FVE"/>
    <s v="13-01-2026"/>
    <s v="13-01-2026 09:32:50"/>
    <s v="900800595"/>
    <s v="Provexpress SAS"/>
    <s v="900652403"/>
    <x v="182"/>
    <n v="408403.48"/>
    <n v="0"/>
    <n v="0"/>
    <n v="2557895.48"/>
    <s v="Aprobado con notificación"/>
    <s v="Emitido"/>
    <x v="0"/>
    <x v="0"/>
    <x v="0"/>
    <x v="0"/>
    <x v="1"/>
    <x v="1"/>
    <s v="PAGA EN SISTEMA 13/02/2026"/>
  </r>
  <r>
    <s v="Factura electrónica"/>
    <s v="80232316844480619857d960f10408c5d76ec816ec12d7e9b3cc50775668290f3938419b3fdf64908ce482e3e5c0f14a"/>
    <x v="290"/>
    <n v="-1"/>
    <s v="FVE"/>
    <s v="13-01-2026"/>
    <s v="13-01-2026 09:32:55"/>
    <s v="900800595"/>
    <s v="Provexpress SAS"/>
    <s v="900458786"/>
    <x v="183"/>
    <n v="714637.5"/>
    <n v="0"/>
    <n v="0"/>
    <n v="4475887.5"/>
    <s v="Aprobado con notificación"/>
    <s v="Emitido"/>
    <x v="0"/>
    <x v="0"/>
    <x v="1"/>
    <x v="0"/>
    <x v="1"/>
    <x v="0"/>
    <m/>
  </r>
  <r>
    <s v="Factura electrónica"/>
    <s v="6c125d391c33597c226aff5c6c9c7b47bafd9b5f128006d9bb91cacef5d704047bc48f5ae723eea4bb738de2ca6a3e7e"/>
    <x v="291"/>
    <n v="-1"/>
    <s v="FVE"/>
    <s v="13-01-2026"/>
    <s v="13-01-2026 09:32:59"/>
    <s v="900800595"/>
    <s v="Provexpress SAS"/>
    <s v="901847883"/>
    <x v="184"/>
    <n v="620284.64"/>
    <n v="0"/>
    <n v="0"/>
    <n v="3884940.64"/>
    <s v="Aprobado con notificación"/>
    <s v="Emitido"/>
    <x v="0"/>
    <x v="0"/>
    <x v="1"/>
    <x v="0"/>
    <x v="1"/>
    <x v="0"/>
    <m/>
  </r>
  <r>
    <s v="Factura electrónica"/>
    <s v="74617bc550df196869f0950d1d2a26544f390579103f5256043e7724a3e3e548dd902b0b826314a31e77b1b7f42a4e14"/>
    <x v="292"/>
    <n v="-1"/>
    <s v="FVE"/>
    <s v="13-01-2026"/>
    <s v="13-01-2026 09:33:04"/>
    <s v="900800595"/>
    <s v="Provexpress SAS"/>
    <s v="901847883"/>
    <x v="184"/>
    <n v="149213.26999999999"/>
    <n v="0"/>
    <n v="0"/>
    <n v="934546.27"/>
    <s v="Aprobado con notificación"/>
    <s v="Emitido"/>
    <x v="0"/>
    <x v="0"/>
    <x v="1"/>
    <x v="0"/>
    <x v="1"/>
    <x v="0"/>
    <m/>
  </r>
  <r>
    <s v="Factura electrónica"/>
    <s v="1a34e153f8867f30df1042dc7127088fdbcfe9be1b1cce3426930ee08ea8361bc4a989f6cd6285d026e5f36f031ccdd8"/>
    <x v="293"/>
    <n v="-1"/>
    <s v="FVE"/>
    <s v="13-01-2026"/>
    <s v="13-01-2026 09:33:09"/>
    <s v="900800595"/>
    <s v="Provexpress SAS"/>
    <s v="901847883"/>
    <x v="184"/>
    <n v="47120"/>
    <n v="0"/>
    <n v="0"/>
    <n v="295120"/>
    <s v="Aprobado con notificación"/>
    <s v="Emitido"/>
    <x v="0"/>
    <x v="0"/>
    <x v="1"/>
    <x v="0"/>
    <x v="1"/>
    <x v="0"/>
    <m/>
  </r>
  <r>
    <s v="Factura electrónica"/>
    <s v="9e9384b9e973f64631d9f73d25607a2eb6819287908e6bde8665b1e79bc7bf64beb10a63853fa9cbf231f595ec74b0d3"/>
    <x v="294"/>
    <n v="-1"/>
    <s v="FVE"/>
    <s v="13-01-2026"/>
    <s v="13-01-2026 09:48:21"/>
    <s v="900800595"/>
    <s v="Provexpress SAS"/>
    <s v="901847883"/>
    <x v="184"/>
    <n v="21330.92"/>
    <n v="0"/>
    <n v="0"/>
    <n v="133598.92000000001"/>
    <s v="Aprobado con notificación"/>
    <s v="Emitido"/>
    <x v="0"/>
    <x v="0"/>
    <x v="1"/>
    <x v="0"/>
    <x v="1"/>
    <x v="0"/>
    <m/>
  </r>
  <r>
    <s v="Factura electrónica"/>
    <s v="110cab5e9b4a6b1c9fe2a9d25d18e6430aeea3d83f231de2e4a6766a0bd9b3c93d13fdb8a5d7329421d67d60856ad9a4"/>
    <x v="295"/>
    <n v="-1"/>
    <s v="FVE"/>
    <s v="13-01-2026"/>
    <s v="13-01-2026 09:48:26"/>
    <s v="900800595"/>
    <s v="Provexpress SAS"/>
    <s v="901847883"/>
    <x v="184"/>
    <n v="651244.38"/>
    <n v="0"/>
    <n v="0"/>
    <n v="4078846.38"/>
    <s v="Aprobado con notificación"/>
    <s v="Emitido"/>
    <x v="1"/>
    <x v="0"/>
    <x v="0"/>
    <x v="0"/>
    <x v="1"/>
    <x v="0"/>
    <m/>
  </r>
  <r>
    <s v="Factura electrónica"/>
    <s v="a916dfc33417606fd8f3dadac424d4b621ac3a4468cb363cc3c5cbc7221f2f2066c8e7dccb19a0e93850ace2eab7991e"/>
    <x v="296"/>
    <n v="-1"/>
    <s v="FVE"/>
    <s v="13-01-2026"/>
    <s v="13-01-2026 09:48:30"/>
    <s v="900800595"/>
    <s v="Provexpress SAS"/>
    <s v="800193444"/>
    <x v="185"/>
    <n v="101129.4"/>
    <n v="0"/>
    <n v="0"/>
    <n v="633389.4"/>
    <s v="Aprobado con notificación"/>
    <s v="Emitido"/>
    <x v="0"/>
    <x v="0"/>
    <x v="1"/>
    <x v="0"/>
    <x v="1"/>
    <x v="0"/>
    <m/>
  </r>
  <r>
    <s v="Factura electrónica"/>
    <s v="06fd2113139138a9378582239a32f99e3ee0224d8da6798860d535575a5f7a031112e5cac350a0f7d95b22cb990ea4f7"/>
    <x v="297"/>
    <n v="-1"/>
    <s v="FVE"/>
    <s v="13-01-2026"/>
    <s v="13-01-2026 09:48:35"/>
    <s v="900800595"/>
    <s v="Provexpress SAS"/>
    <s v="900024398"/>
    <x v="186"/>
    <n v="53155.54"/>
    <n v="0"/>
    <n v="0"/>
    <n v="343433.54"/>
    <s v="Aprobado con notificación"/>
    <s v="Emitido"/>
    <x v="0"/>
    <x v="0"/>
    <x v="1"/>
    <x v="0"/>
    <x v="1"/>
    <x v="0"/>
    <m/>
  </r>
  <r>
    <s v="Factura electrónica"/>
    <s v="251f0262fc02558a2676a5d754f4a6712a3d93573a103c32c29fab6fc92d00c4add4fd092c1c6e61d87102ebc213670e"/>
    <x v="298"/>
    <n v="-1"/>
    <s v="FVE"/>
    <s v="13-01-2026"/>
    <s v="13-01-2026 09:48:40"/>
    <s v="900800595"/>
    <s v="Provexpress SAS"/>
    <s v="860007336"/>
    <x v="187"/>
    <n v="7774.8"/>
    <n v="0"/>
    <n v="0"/>
    <n v="48694.8"/>
    <s v="Aprobado con notificación"/>
    <s v="Emitido"/>
    <x v="0"/>
    <x v="0"/>
    <x v="0"/>
    <x v="0"/>
    <x v="1"/>
    <x v="1"/>
    <s v="PAGA EN SISTEMA 20/02/2026"/>
  </r>
  <r>
    <s v="Factura electrónica"/>
    <s v="2353ff98e891b881e569b37e83b8a38d04ff2a50dacf06c20bd66f610293b7120faa96a6bd732617f79cfcb50977cb80"/>
    <x v="299"/>
    <n v="-1"/>
    <s v="FVE"/>
    <s v="13-01-2026"/>
    <s v="13-01-2026 09:48:45"/>
    <s v="900800595"/>
    <s v="Provexpress SAS"/>
    <s v="901180401"/>
    <x v="188"/>
    <n v="569005.92000000004"/>
    <n v="0"/>
    <n v="0"/>
    <n v="3563773.92"/>
    <s v="Aprobado con notificación"/>
    <s v="Emitido"/>
    <x v="0"/>
    <x v="0"/>
    <x v="0"/>
    <x v="0"/>
    <x v="1"/>
    <x v="1"/>
    <s v="FACTURA PAGA EN EL SISTEMA 11/02/2026"/>
  </r>
  <r>
    <s v="Factura electrónica"/>
    <s v="c6707db98eefd20c7e1f87f53e14e67c7b24dd1bcab519c6462f28ae21d287cddce1e547f08fcfc2f8b8f2f94e891b27"/>
    <x v="300"/>
    <n v="-1"/>
    <s v="FVE"/>
    <s v="13-01-2026"/>
    <s v="13-01-2026 10:03:56"/>
    <s v="900800595"/>
    <s v="Provexpress SAS"/>
    <s v="830056418"/>
    <x v="189"/>
    <n v="34200"/>
    <n v="0"/>
    <n v="0"/>
    <n v="214200"/>
    <s v="Aprobado con notificación"/>
    <s v="Emitido"/>
    <x v="0"/>
    <x v="0"/>
    <x v="1"/>
    <x v="0"/>
    <x v="1"/>
    <x v="0"/>
    <m/>
  </r>
  <r>
    <s v="Factura electrónica"/>
    <s v="b026f1c2a2b193e258703e777419e27007a17ce2a85b50619c9f33d62b857c9972a33fe193a0319ae3324349568ad18f"/>
    <x v="301"/>
    <n v="-1"/>
    <s v="FVE"/>
    <s v="13-01-2026"/>
    <s v="13-01-2026 10:04:00"/>
    <s v="900800595"/>
    <s v="Provexpress SAS"/>
    <s v="830111257"/>
    <x v="190"/>
    <n v="121600"/>
    <n v="0"/>
    <n v="0"/>
    <n v="761600"/>
    <s v="Aprobado con notificación"/>
    <s v="Emitido"/>
    <x v="0"/>
    <x v="0"/>
    <x v="1"/>
    <x v="0"/>
    <x v="1"/>
    <x v="0"/>
    <m/>
  </r>
  <r>
    <s v="Factura electrónica"/>
    <s v="51180fb18be2362c71b44b6001ab1b203d22c5329d3df08301147eefe8da4f94f8c09d6870774a1c6749416288c9c715"/>
    <x v="302"/>
    <n v="-1"/>
    <s v="FVE"/>
    <s v="13-01-2026"/>
    <s v="13-01-2026 10:04:05"/>
    <s v="900800595"/>
    <s v="Provexpress SAS"/>
    <s v="900451379"/>
    <x v="191"/>
    <n v="110048"/>
    <n v="0"/>
    <n v="0"/>
    <n v="689248"/>
    <s v="Aprobado con notificación"/>
    <s v="Emitido"/>
    <x v="0"/>
    <x v="0"/>
    <x v="0"/>
    <x v="0"/>
    <x v="1"/>
    <x v="1"/>
    <s v="PAGA EN SISTEMA 20/02/2026"/>
  </r>
  <r>
    <s v="Factura electrónica"/>
    <s v="fa0b7dd3fe086eb2753b662002044667f1638f12400f80fdd72c2e03ef45777333434ce7edaf94e61d53f66b8269c30f"/>
    <x v="303"/>
    <n v="-1"/>
    <s v="FVE"/>
    <s v="13-01-2026"/>
    <s v="13-01-2026 10:04:10"/>
    <s v="900800595"/>
    <s v="Provexpress SAS"/>
    <s v="830050228"/>
    <x v="192"/>
    <n v="2474940"/>
    <n v="0"/>
    <n v="0"/>
    <n v="15500940"/>
    <s v="Aprobado con notificación"/>
    <s v="Emitido"/>
    <x v="0"/>
    <x v="0"/>
    <x v="0"/>
    <x v="0"/>
    <x v="1"/>
    <x v="1"/>
    <s v="PAGA EN SISTEMA 27/02/2026"/>
  </r>
  <r>
    <s v="Factura electrónica"/>
    <s v="5067e5766675190aee0aed5c45daae6fa950c438cd5396c102303c931b8c474a087e74ad5e9454be7cd26a10fc444904"/>
    <x v="304"/>
    <n v="-1"/>
    <s v="FVE"/>
    <s v="13-01-2026"/>
    <s v="13-01-2026 10:04:15"/>
    <s v="900800595"/>
    <s v="Provexpress SAS"/>
    <s v="830050228"/>
    <x v="192"/>
    <n v="61940"/>
    <n v="0"/>
    <n v="0"/>
    <n v="387940"/>
    <s v="Aprobado con notificación"/>
    <s v="Emitido"/>
    <x v="0"/>
    <x v="0"/>
    <x v="0"/>
    <x v="0"/>
    <x v="1"/>
    <x v="1"/>
    <s v="PAGA EN SISTEMA 27/02/2026"/>
  </r>
  <r>
    <s v="Factura electrónica"/>
    <s v="03b983ee87facec3b0a2672fb8d187475ead76f22550811798add537884b65aeb2f73e66f752d0953d98447af0cd85f6"/>
    <x v="305"/>
    <n v="-1"/>
    <s v="FVE"/>
    <s v="13-01-2026"/>
    <s v="13-01-2026 10:19:27"/>
    <s v="900800595"/>
    <s v="Provexpress SAS"/>
    <s v="830050228"/>
    <x v="192"/>
    <n v="931000"/>
    <n v="0"/>
    <n v="0"/>
    <n v="5831000"/>
    <s v="Aprobado con notificación"/>
    <s v="Emitido"/>
    <x v="0"/>
    <x v="0"/>
    <x v="0"/>
    <x v="0"/>
    <x v="1"/>
    <x v="1"/>
    <s v="PAGA EN SISTEMA 27/02/2026"/>
  </r>
  <r>
    <s v="Factura electrónica"/>
    <s v="e0d8b4671ddb8939d5b9fa7c885ece95f192f09ce261f0635877473e07fdea87eca27dcf20d0e619c2306b12eca779c1"/>
    <x v="306"/>
    <n v="-1"/>
    <s v="FVE"/>
    <s v="13-01-2026"/>
    <s v="13-01-2026 10:19:32"/>
    <s v="900800595"/>
    <s v="Provexpress SAS"/>
    <s v="830050228"/>
    <x v="192"/>
    <n v="17670"/>
    <n v="0"/>
    <n v="0"/>
    <n v="110670"/>
    <s v="Aprobado con notificación"/>
    <s v="Emitido"/>
    <x v="0"/>
    <x v="0"/>
    <x v="0"/>
    <x v="0"/>
    <x v="1"/>
    <x v="1"/>
    <s v="PAGA EN SISTEMA 27/02/2026"/>
  </r>
  <r>
    <s v="Factura electrónica"/>
    <s v="e4b58fa91e08501edd5000d219bcc91fc128755872ee03b0f282d7c88deb1274d6286718d7e37bb928b34053fd6ddd1f"/>
    <x v="307"/>
    <n v="-1"/>
    <s v="FVE"/>
    <s v="13-01-2026"/>
    <s v="13-01-2026 10:19:36"/>
    <s v="900800595"/>
    <s v="Provexpress SAS"/>
    <s v="830050228"/>
    <x v="192"/>
    <n v="7943520"/>
    <n v="0"/>
    <n v="0"/>
    <n v="49751520"/>
    <s v="Aprobado con notificación"/>
    <s v="Emitido"/>
    <x v="0"/>
    <x v="0"/>
    <x v="0"/>
    <x v="0"/>
    <x v="1"/>
    <x v="1"/>
    <s v="PAGA EN SISTEMA 27/02/2026"/>
  </r>
  <r>
    <s v="Factura electrónica"/>
    <s v="b3e21aff6d16a7d4506aeb5079bb887ce6ca3f9d3c6230aaf11d50d97cfd3da69e5a798f4b2ddf79720493e37676ee21"/>
    <x v="308"/>
    <n v="-1"/>
    <s v="FVE"/>
    <s v="13-01-2026"/>
    <s v="13-01-2026 10:19:40"/>
    <s v="900800595"/>
    <s v="Provexpress SAS"/>
    <s v="860050906"/>
    <x v="193"/>
    <n v="17670"/>
    <n v="0"/>
    <n v="0"/>
    <n v="110670"/>
    <s v="Aprobado con notificación"/>
    <s v="Emitido"/>
    <x v="0"/>
    <x v="0"/>
    <x v="0"/>
    <x v="0"/>
    <x v="1"/>
    <x v="1"/>
    <s v="PAGA EN SISTEMA 27/02/2026"/>
  </r>
  <r>
    <s v="Factura electrónica"/>
    <s v="91720e434da929b9cc28ac007807308eca94c8a6789e219be7e1b22d381ae582361f53cc4d23adea7a72db347aa0c4fe"/>
    <x v="309"/>
    <n v="-1"/>
    <s v="FVE"/>
    <s v="13-01-2026"/>
    <s v="13-01-2026 10:19:46"/>
    <s v="900800595"/>
    <s v="Provexpress SAS"/>
    <s v="860050906"/>
    <x v="193"/>
    <n v="27360"/>
    <n v="0"/>
    <n v="0"/>
    <n v="171360"/>
    <s v="Aprobado con notificación"/>
    <s v="Emitido"/>
    <x v="0"/>
    <x v="0"/>
    <x v="0"/>
    <x v="0"/>
    <x v="1"/>
    <x v="1"/>
    <s v="PAGA EN SISTEMA 27/02/2026"/>
  </r>
  <r>
    <s v="Factura electrónica"/>
    <s v="13ee3a24abe655f5737a2889cc5b2f518cbc783ca84f0cd935de97be7933f53add9b49dfb8ce2212277945e626dcccce"/>
    <x v="310"/>
    <n v="-1"/>
    <s v="FVE"/>
    <s v="13-01-2026"/>
    <s v="13-01-2026 10:19:50"/>
    <s v="900800595"/>
    <s v="Provexpress SAS"/>
    <s v="860050906"/>
    <x v="193"/>
    <n v="375820"/>
    <n v="0"/>
    <n v="0"/>
    <n v="2353820"/>
    <s v="Aprobado con notificación"/>
    <s v="Emitido"/>
    <x v="0"/>
    <x v="0"/>
    <x v="1"/>
    <x v="0"/>
    <x v="1"/>
    <x v="0"/>
    <m/>
  </r>
  <r>
    <s v="Factura electrónica"/>
    <s v="6a950cfbaefa9c0ac9d0397def6565b9278e9be1a8e6890ad16889ef2aa855576c7b89dc4f9fc0b84d75b5432644b988"/>
    <x v="311"/>
    <n v="-1"/>
    <s v="FVE"/>
    <s v="13-01-2026"/>
    <s v="13-01-2026 10:35:01"/>
    <s v="900800595"/>
    <s v="Provexpress SAS"/>
    <s v="860533413"/>
    <x v="194"/>
    <n v="829920"/>
    <n v="0"/>
    <n v="0"/>
    <n v="5197920"/>
    <s v="Aprobado con notificación"/>
    <s v="Emitido"/>
    <x v="0"/>
    <x v="0"/>
    <x v="0"/>
    <x v="0"/>
    <x v="1"/>
    <x v="1"/>
    <s v="FACTURA PAGA EN EL SISTEMA 17/02/2026"/>
  </r>
  <r>
    <s v="Factura electrónica"/>
    <s v="b6fb71e2577629fb2d3df75963cfea7b1c0b81b3ad56870acc67abacf63b0c3104ee3bbd131aece4f490407f0380dfdb"/>
    <x v="312"/>
    <n v="-1"/>
    <s v="FVE"/>
    <s v="13-01-2026"/>
    <s v="13-01-2026 10:35:07"/>
    <s v="900800595"/>
    <s v="Provexpress SAS"/>
    <s v="860533413"/>
    <x v="194"/>
    <n v="54150"/>
    <n v="0"/>
    <n v="0"/>
    <n v="339150"/>
    <s v="Aprobado con notificación"/>
    <s v="Emitido"/>
    <x v="0"/>
    <x v="0"/>
    <x v="0"/>
    <x v="0"/>
    <x v="1"/>
    <x v="1"/>
    <s v="FACTURA PAGA EN EL SISTEMA 17/02/2026"/>
  </r>
  <r>
    <s v="Factura electrónica"/>
    <s v="180e15d89133346783f112c0478c4926cc1142359d869d37967d63c727601e9567ca346dc95f6e74b65b22573b9dd476"/>
    <x v="313"/>
    <n v="-1"/>
    <s v="FVE"/>
    <s v="13-01-2026"/>
    <s v="13-01-2026 10:35:11"/>
    <s v="900800595"/>
    <s v="Provexpress SAS"/>
    <s v="830013774"/>
    <x v="195"/>
    <n v="79800"/>
    <n v="0"/>
    <n v="0"/>
    <n v="499800"/>
    <s v="Aprobado con notificación"/>
    <s v="Emitido"/>
    <x v="0"/>
    <x v="0"/>
    <x v="1"/>
    <x v="0"/>
    <x v="1"/>
    <x v="0"/>
    <m/>
  </r>
  <r>
    <s v="Factura electrónica"/>
    <s v="da91574e8c5994986f18ef798c37705f825c03eb12e7638344647c8bd24fa988d209ed2adaca12fb008e0b740c2e7f2c"/>
    <x v="314"/>
    <n v="-1"/>
    <s v="FVE"/>
    <s v="13-01-2026"/>
    <s v="13-01-2026 10:35:15"/>
    <s v="900800595"/>
    <s v="Provexpress SAS"/>
    <s v="860044349"/>
    <x v="196"/>
    <n v="147060"/>
    <n v="0"/>
    <n v="0"/>
    <n v="921060"/>
    <s v="Aprobado con notificación"/>
    <s v="Emitido"/>
    <x v="0"/>
    <x v="0"/>
    <x v="0"/>
    <x v="0"/>
    <x v="1"/>
    <x v="1"/>
    <s v="PAGA EN SISTEMA 26/02/2026"/>
  </r>
  <r>
    <s v="Factura electrónica"/>
    <s v="96c04b57289f9b4949f0e845a6fd98b20118f9e6b46472f02abbd9aef5f971d03f0406835e530b5cfd5040c0d87753c0"/>
    <x v="315"/>
    <n v="-1"/>
    <s v="FVE"/>
    <s v="13-01-2026"/>
    <s v="13-01-2026 10:35:20"/>
    <s v="900800595"/>
    <s v="Provexpress SAS"/>
    <s v="800200139"/>
    <x v="197"/>
    <n v="141607"/>
    <n v="0"/>
    <n v="0"/>
    <n v="909407"/>
    <s v="Aprobado con notificación"/>
    <s v="Emitido"/>
    <x v="0"/>
    <x v="0"/>
    <x v="0"/>
    <x v="0"/>
    <x v="1"/>
    <x v="1"/>
    <s v="FACTURA PAGA EN EL SISTEMA 19/02/2026"/>
  </r>
  <r>
    <s v="Factura electrónica"/>
    <s v="0eb14f03987395941f86dc85d2c000eeef683b1deffb84973b08ab22678b15e05138263918c2305ff5f0572df6687714"/>
    <x v="316"/>
    <n v="-1"/>
    <s v="FVE"/>
    <s v="13-01-2026"/>
    <s v="13-01-2026 10:35:25"/>
    <s v="900800595"/>
    <s v="Provexpress SAS"/>
    <s v="860007336"/>
    <x v="187"/>
    <n v="740357.99"/>
    <n v="0"/>
    <n v="0"/>
    <n v="4636978.99"/>
    <s v="Aprobado con notificación"/>
    <s v="Emitido"/>
    <x v="0"/>
    <x v="0"/>
    <x v="0"/>
    <x v="0"/>
    <x v="1"/>
    <x v="1"/>
    <s v="PAGA EN SISTEMA 20/02/2026"/>
  </r>
  <r>
    <s v="Factura electrónica"/>
    <s v="cad1576eed4705c9bf29421949d170c80533ae72410eefbae4d89a4fadf68e3093a6fb0ed9f774764586a5ddc4569b52"/>
    <x v="317"/>
    <n v="-1"/>
    <s v="FVE"/>
    <s v="13-01-2026"/>
    <s v="13-01-2026 10:35:31"/>
    <s v="900800595"/>
    <s v="Provexpress SAS"/>
    <s v="901847883"/>
    <x v="184"/>
    <n v="389435.97"/>
    <n v="0"/>
    <n v="0"/>
    <n v="2439098.9700000002"/>
    <s v="Aprobado con notificación"/>
    <s v="Emitido"/>
    <x v="0"/>
    <x v="0"/>
    <x v="1"/>
    <x v="0"/>
    <x v="1"/>
    <x v="0"/>
    <m/>
  </r>
  <r>
    <s v="Factura electrónica"/>
    <s v="b02814a9f373440bb8a24a0071e774957ed8d215a500eb4d79a70eb4f1f8fe1c0397ccbfca5d79e43234ef0bb8a58b4a"/>
    <x v="318"/>
    <n v="-1"/>
    <s v="FVE"/>
    <s v="13-01-2026"/>
    <s v="13-01-2026 10:35:34"/>
    <s v="900800595"/>
    <s v="Provexpress SAS"/>
    <s v="900797285"/>
    <x v="198"/>
    <n v="2443031.4"/>
    <n v="0"/>
    <n v="0"/>
    <n v="15301091.4"/>
    <s v="Aprobado con notificación"/>
    <s v="Emitido"/>
    <x v="0"/>
    <x v="0"/>
    <x v="0"/>
    <x v="0"/>
    <x v="1"/>
    <x v="1"/>
    <s v="FACTURA PAGA EN EL SISTEMA 19/02/2026"/>
  </r>
  <r>
    <s v="Factura electrónica"/>
    <s v="b19bdab84ca2ad0c29047bd7ffb2f8176cce5dda2ff9fb37650e24ca3f23aee7a060d133700eec63bbd161d24740c526"/>
    <x v="319"/>
    <n v="-1"/>
    <s v="FVE"/>
    <s v="13-01-2026"/>
    <s v="13-01-2026 10:35:39"/>
    <s v="900800595"/>
    <s v="Provexpress SAS"/>
    <s v="900179369"/>
    <x v="31"/>
    <n v="126730"/>
    <n v="0"/>
    <n v="0"/>
    <n v="793730"/>
    <s v="Aprobado con notificación"/>
    <s v="Emitido"/>
    <x v="0"/>
    <x v="0"/>
    <x v="1"/>
    <x v="0"/>
    <x v="1"/>
    <x v="0"/>
    <m/>
  </r>
  <r>
    <s v="Factura electrónica"/>
    <s v="aef90a763e156220ee59c2dadf38b9b93579ee3b46b7a9179c3946d3e94a8b42a76573df0b9a2d839528f223906d9b2f"/>
    <x v="320"/>
    <n v="-1"/>
    <s v="FVE"/>
    <s v="13-01-2026"/>
    <s v="13-01-2026 10:50:51"/>
    <s v="900800595"/>
    <s v="Provexpress SAS"/>
    <s v="900725066"/>
    <x v="199"/>
    <n v="214015.81"/>
    <n v="0"/>
    <n v="0"/>
    <n v="1340414.81"/>
    <s v="Aprobado con notificación"/>
    <s v="Emitido"/>
    <x v="0"/>
    <x v="0"/>
    <x v="0"/>
    <x v="0"/>
    <x v="1"/>
    <x v="1"/>
    <s v="FACTURA PAGA EN EL SISTEMA 10/02/2026"/>
  </r>
  <r>
    <s v="Factura electrónica"/>
    <s v="ea20083cf3e779c4207f136bcf60df53f8f65ef701b8db0e0764131031d4efbf2ce8205ece3ce7bb876e62df01621c9d"/>
    <x v="321"/>
    <n v="-1"/>
    <s v="FVE"/>
    <s v="13-01-2026"/>
    <s v="13-01-2026 10:50:58"/>
    <s v="900800595"/>
    <s v="Provexpress SAS"/>
    <s v="830113916"/>
    <x v="200"/>
    <n v="37962"/>
    <n v="0"/>
    <n v="0"/>
    <n v="237762"/>
    <s v="Aprobado con notificación"/>
    <s v="Emitido"/>
    <x v="0"/>
    <x v="0"/>
    <x v="0"/>
    <x v="0"/>
    <x v="0"/>
    <x v="0"/>
    <m/>
  </r>
  <r>
    <s v="Factura electrónica"/>
    <s v="908f7cff0dbf0cf19d581b7900578238639fa232d1985309052d512c5f5eca1863022d766275455489cdb25ff17dbe31"/>
    <x v="322"/>
    <n v="-1"/>
    <s v="FVE"/>
    <s v="13-01-2026"/>
    <s v="13-01-2026 10:51:03"/>
    <s v="900800595"/>
    <s v="Provexpress SAS"/>
    <s v="900171388"/>
    <x v="201"/>
    <n v="57000"/>
    <n v="0"/>
    <n v="0"/>
    <n v="357000"/>
    <s v="Aprobado con notificación"/>
    <s v="Emitido"/>
    <x v="0"/>
    <x v="0"/>
    <x v="0"/>
    <x v="0"/>
    <x v="1"/>
    <x v="1"/>
    <s v="FACTURA PAGA EN EL SISTEMA 6/02/2026"/>
  </r>
  <r>
    <s v="Factura electrónica"/>
    <s v="7a713604c96c0c2dd40224b563d2ef2cad22961f1d7189e0e6895f37273e8a8e9fe5ca1a9d6fba05e4d7aa9ee56f7dc2"/>
    <x v="323"/>
    <n v="-1"/>
    <s v="FVE"/>
    <s v="13-01-2026"/>
    <s v="13-01-2026 10:51:07"/>
    <s v="900800595"/>
    <s v="Provexpress SAS"/>
    <s v="901108023"/>
    <x v="202"/>
    <n v="361950"/>
    <n v="0"/>
    <n v="0"/>
    <n v="2266950"/>
    <s v="Aprobado con notificación"/>
    <s v="Emitido"/>
    <x v="0"/>
    <x v="0"/>
    <x v="0"/>
    <x v="0"/>
    <x v="1"/>
    <x v="1"/>
    <s v="FACTURA PAGA EN EL SISTEMA 13/02/2026"/>
  </r>
  <r>
    <s v="Factura electrónica"/>
    <s v="7c34dd99a16194078fed3abffeabaa503a7d49c0266838b6a5e3ba2d31a1d90af5f68bddb3ff68206ad05c7121aa8b15"/>
    <x v="324"/>
    <n v="-1"/>
    <s v="FVE"/>
    <s v="13-01-2026"/>
    <s v="13-01-2026 10:51:12"/>
    <s v="900800595"/>
    <s v="Provexpress SAS"/>
    <s v="890400246"/>
    <x v="203"/>
    <n v="1290812.8799999999"/>
    <n v="0"/>
    <n v="0"/>
    <n v="8084564.8799999999"/>
    <s v="Aprobado con notificación"/>
    <s v="Emitido"/>
    <x v="0"/>
    <x v="0"/>
    <x v="0"/>
    <x v="0"/>
    <x v="1"/>
    <x v="1"/>
    <s v="FACTURA PAGA EN EL SISTEMA 26/02/2026"/>
  </r>
  <r>
    <s v="Factura electrónica"/>
    <s v="42ec81564853e6c40f70ec645bc1c83ce7fd606d3414b9be3b2956a480e4f241e19f04c9ff58122e543c3939b703623b"/>
    <x v="325"/>
    <n v="-1"/>
    <s v="FVE"/>
    <s v="13-01-2026"/>
    <s v="13-01-2026 11:06:23"/>
    <s v="900800595"/>
    <s v="Provexpress SAS"/>
    <s v="900208029"/>
    <x v="204"/>
    <n v="1228540"/>
    <n v="0"/>
    <n v="0"/>
    <n v="7694540"/>
    <s v="Aprobado con notificación"/>
    <s v="Emitido"/>
    <x v="1"/>
    <x v="0"/>
    <x v="0"/>
    <x v="0"/>
    <x v="1"/>
    <x v="0"/>
    <m/>
  </r>
  <r>
    <s v="Factura electrónica"/>
    <s v="dd69da5f84c7ea17bd35b5a659c5c8afb67d3d14e3d4a97926081977a83de10ae2040059066c9ee8a884159d9153a36f"/>
    <x v="326"/>
    <n v="-1"/>
    <s v="FVE"/>
    <s v="13-01-2026"/>
    <s v="13-01-2026 11:06:28"/>
    <s v="900800595"/>
    <s v="Provexpress SAS"/>
    <s v="830076652"/>
    <x v="205"/>
    <n v="56240"/>
    <n v="0"/>
    <n v="0"/>
    <n v="352240"/>
    <s v="Aprobado con notificación"/>
    <s v="Emitido"/>
    <x v="0"/>
    <x v="0"/>
    <x v="0"/>
    <x v="0"/>
    <x v="0"/>
    <x v="0"/>
    <m/>
  </r>
  <r>
    <s v="Factura electrónica"/>
    <s v="a6c2ef4d266a617d13b7c4096bfdcb27420a923b096e632f7780db648a5f37aee1798790a10390630a1899bb624924ad"/>
    <x v="327"/>
    <n v="-1"/>
    <s v="FVE"/>
    <s v="13-01-2026"/>
    <s v="13-01-2026 11:06:32"/>
    <s v="900800595"/>
    <s v="Provexpress SAS"/>
    <s v="900682841"/>
    <x v="3"/>
    <n v="5248239.8499999996"/>
    <n v="0"/>
    <n v="0"/>
    <n v="60818712.850000001"/>
    <s v="Aprobado con notificación"/>
    <s v="Emitido"/>
    <x v="1"/>
    <x v="0"/>
    <x v="0"/>
    <x v="0"/>
    <x v="1"/>
    <x v="0"/>
    <m/>
  </r>
  <r>
    <s v="Factura electrónica"/>
    <s v="94fc8598dececfbb72e3f536508f7debb4b7002d17ee8625a230ba89baa6118893ac42124997d8c6836f2b242cfdf334"/>
    <x v="328"/>
    <n v="-1"/>
    <s v="FVE"/>
    <s v="13-01-2026"/>
    <s v="13-01-2026 12:07:02"/>
    <s v="900800595"/>
    <s v="Provexpress SAS"/>
    <s v="900396965"/>
    <x v="206"/>
    <n v="108300"/>
    <n v="0"/>
    <n v="0"/>
    <n v="678300"/>
    <s v="Aprobado con notificación"/>
    <s v="Emitido"/>
    <x v="0"/>
    <x v="0"/>
    <x v="0"/>
    <x v="0"/>
    <x v="1"/>
    <x v="1"/>
    <s v="FACTURA PAGA EN EL SISTEMA 6/02/2026"/>
  </r>
  <r>
    <s v="Factura electrónica"/>
    <s v="19736a43b35a0733ee77890c4fc2f77708d55d9ffc0c9d944faa9dd34dbe297cfd7d88c0989ea1f926cd5b71018224ce"/>
    <x v="329"/>
    <n v="-1"/>
    <s v="FVE"/>
    <s v="13-01-2026"/>
    <s v="13-01-2026 12:07:07"/>
    <s v="900800595"/>
    <s v="Provexpress SAS"/>
    <s v="830077655"/>
    <x v="168"/>
    <n v="99378.36"/>
    <n v="0"/>
    <n v="0"/>
    <n v="622422.36"/>
    <s v="Aprobado con notificación"/>
    <s v="Emitido"/>
    <x v="0"/>
    <x v="0"/>
    <x v="0"/>
    <x v="0"/>
    <x v="1"/>
    <x v="1"/>
    <s v="FACTURA PAGA EN EL SISTEMA 17/02/2026"/>
  </r>
  <r>
    <s v="Factura electrónica"/>
    <s v="8256a685c47ca2fad4a6676494e1561dc8373aac2155cc8eaad5ae35d20ce8b35811561164c3ecda6d6337ee98869357"/>
    <x v="330"/>
    <n v="-1"/>
    <s v="FVE"/>
    <s v="13-01-2026"/>
    <s v="13-01-2026 12:07:12"/>
    <s v="900800595"/>
    <s v="Provexpress SAS"/>
    <s v="800241469"/>
    <x v="89"/>
    <n v="1523800"/>
    <n v="0"/>
    <n v="0"/>
    <n v="9543800"/>
    <s v="Aprobado con notificación"/>
    <s v="Emitido"/>
    <x v="0"/>
    <x v="0"/>
    <x v="0"/>
    <x v="0"/>
    <x v="1"/>
    <x v="1"/>
    <s v="PAGA EN SISTEMA 22/02/2026"/>
  </r>
  <r>
    <s v="Factura electrónica"/>
    <s v="3a803f4a80a40e9ea809a20b0b5c47611b3cfb25bf35929e38bac63ba7ff806cb4f18c1c8d7a9c14b0ddb12a0461576f"/>
    <x v="331"/>
    <n v="-1"/>
    <s v="FVE"/>
    <s v="13-01-2026"/>
    <s v="13-01-2026 12:07:17"/>
    <s v="900800595"/>
    <s v="Provexpress SAS"/>
    <s v="860010799"/>
    <x v="207"/>
    <n v="508440"/>
    <n v="0"/>
    <n v="0"/>
    <n v="3184440"/>
    <s v="Aprobado con notificación"/>
    <s v="Emitido"/>
    <x v="0"/>
    <x v="0"/>
    <x v="0"/>
    <x v="0"/>
    <x v="1"/>
    <x v="1"/>
    <s v="FACTURA PAGA EN EL SISTEMA 9/02/2026"/>
  </r>
  <r>
    <s v="Factura electrónica"/>
    <s v="f92890832100af5845f17623c6265d1ecb77dcf78384db4245b9ce7f12d6659042f6258e9969d6b874461fa20da2e337"/>
    <x v="332"/>
    <n v="-1"/>
    <s v="FVE"/>
    <s v="13-01-2026"/>
    <s v="13-01-2026 12:07:21"/>
    <s v="900800595"/>
    <s v="Provexpress SAS"/>
    <s v="890106278"/>
    <x v="208"/>
    <n v="529285.66"/>
    <n v="0"/>
    <n v="0"/>
    <n v="3314999.66"/>
    <s v="Aprobado con notificación"/>
    <s v="Emitido"/>
    <x v="0"/>
    <x v="0"/>
    <x v="1"/>
    <x v="0"/>
    <x v="1"/>
    <x v="0"/>
    <m/>
  </r>
  <r>
    <s v="Factura electrónica"/>
    <s v="94d8e37151bdb6e7648d587dd331290730d2eb65da73733eca32d3c0b8ae66dffc0264d85016f69969ef71ec631742fc"/>
    <x v="333"/>
    <n v="-1"/>
    <s v="FVE"/>
    <s v="13-01-2026"/>
    <s v="13-01-2026 12:07:26"/>
    <s v="900800595"/>
    <s v="Provexpress SAS"/>
    <s v="900057522"/>
    <x v="209"/>
    <n v="12695.6"/>
    <n v="0"/>
    <n v="0"/>
    <n v="94463.6"/>
    <s v="Aprobado con notificación"/>
    <s v="Emitido"/>
    <x v="0"/>
    <x v="0"/>
    <x v="0"/>
    <x v="0"/>
    <x v="1"/>
    <x v="1"/>
    <s v="PAGA EN SISTEMA 17/02/2026"/>
  </r>
  <r>
    <s v="Factura electrónica"/>
    <s v="35cea5fdb4f8806e196a5351510ea6f6d95aa6aa9111b6e07c432975959b86463c12bb564000c0c87c7fa06638d551ea"/>
    <x v="334"/>
    <n v="-1"/>
    <s v="FVE"/>
    <s v="13-01-2026"/>
    <s v="13-01-2026 12:07:30"/>
    <s v="900800595"/>
    <s v="Provexpress SAS"/>
    <s v="900284732"/>
    <x v="210"/>
    <n v="19144.099999999999"/>
    <n v="0"/>
    <n v="0"/>
    <n v="142326.1"/>
    <s v="Aprobado con notificación"/>
    <s v="Emitido"/>
    <x v="0"/>
    <x v="0"/>
    <x v="0"/>
    <x v="0"/>
    <x v="1"/>
    <x v="1"/>
    <s v="PAGA EN SISTEMA 17/02/2026"/>
  </r>
  <r>
    <s v="Factura electrónica"/>
    <s v="6f8858ab2a9bb8f39535182a63c4a1d9d916690341208254daffcd5e054d7eb51626eb64f583de576feabe679fb62461"/>
    <x v="335"/>
    <n v="-1"/>
    <s v="FVE"/>
    <s v="13-01-2026"/>
    <s v="13-01-2026 12:07:36"/>
    <s v="900800595"/>
    <s v="Provexpress SAS"/>
    <s v="830058056"/>
    <x v="211"/>
    <n v="36908.9"/>
    <n v="0"/>
    <n v="0"/>
    <n v="268538.90000000002"/>
    <s v="Aprobado con notificación"/>
    <s v="Emitido"/>
    <x v="0"/>
    <x v="0"/>
    <x v="0"/>
    <x v="0"/>
    <x v="1"/>
    <x v="0"/>
    <m/>
  </r>
  <r>
    <s v="Factura electrónica"/>
    <s v="b57bd5c67ca7e50bb4fa243784769c0c32df6ef601e0e8d15326bdccfd46acbe0e9af56fefac5a9abf92b626cfce8c13"/>
    <x v="336"/>
    <n v="-1"/>
    <s v="FVE"/>
    <s v="13-01-2026"/>
    <s v="13-01-2026 12:22:47"/>
    <s v="900800595"/>
    <s v="Provexpress SAS"/>
    <s v="900407987"/>
    <x v="212"/>
    <n v="287395.14"/>
    <n v="0"/>
    <n v="0"/>
    <n v="1800001.14"/>
    <s v="Aprobado con notificación"/>
    <s v="Emitido"/>
    <x v="0"/>
    <x v="0"/>
    <x v="0"/>
    <x v="0"/>
    <x v="1"/>
    <x v="1"/>
    <s v="FACTURA PAGA EN EL SISTEMA 19/01/2026"/>
  </r>
  <r>
    <s v="Factura electrónica"/>
    <s v="695a4dc00137b985e3461790e83496f3aa93e5d8f901111802cb9b0bd00b42012da595312ead58647fdee4bad3e60783"/>
    <x v="337"/>
    <n v="-1"/>
    <s v="FVE"/>
    <s v="13-01-2026"/>
    <s v="13-01-2026 12:22:51"/>
    <s v="900800595"/>
    <s v="Provexpress SAS"/>
    <s v="830040378"/>
    <x v="134"/>
    <n v="262485"/>
    <n v="0"/>
    <n v="0"/>
    <n v="1643985"/>
    <s v="Aprobado con notificación"/>
    <s v="Emitido"/>
    <x v="0"/>
    <x v="0"/>
    <x v="0"/>
    <x v="0"/>
    <x v="0"/>
    <x v="0"/>
    <m/>
  </r>
  <r>
    <s v="Factura electrónica"/>
    <s v="9a0d7a401f2daecc4b0006a5a8193b7f77bca014c63876c81c039e1755d4bce9a31bfb8db218b4fb806d85b8052f4e8e"/>
    <x v="338"/>
    <n v="-1"/>
    <s v="FVE"/>
    <s v="13-01-2026"/>
    <s v="13-01-2026 12:22:56"/>
    <s v="900800595"/>
    <s v="Provexpress SAS"/>
    <s v="800159527"/>
    <x v="213"/>
    <n v="216600"/>
    <n v="0"/>
    <n v="0"/>
    <n v="1356600"/>
    <s v="Aprobado con notificación"/>
    <s v="Emitido"/>
    <x v="0"/>
    <x v="0"/>
    <x v="0"/>
    <x v="0"/>
    <x v="1"/>
    <x v="1"/>
    <s v="FACTURA PAGA EN EL SISTEMA 26/02/2026"/>
  </r>
  <r>
    <s v="Factura electrónica"/>
    <s v="90742ca5077259b8dd5a181755f7010eeff8d7256adba185122c270c9c04cf64e1cb406c68942a716ccac1eb939b1be6"/>
    <x v="339"/>
    <n v="-1"/>
    <s v="FVE"/>
    <s v="13-01-2026"/>
    <s v="13-01-2026 12:38:07"/>
    <s v="900800595"/>
    <s v="Provexpress SAS"/>
    <s v="890404383"/>
    <x v="214"/>
    <n v="5244"/>
    <n v="0"/>
    <n v="0"/>
    <n v="32844"/>
    <s v="Aprobado con notificación"/>
    <s v="Emitido"/>
    <x v="0"/>
    <x v="0"/>
    <x v="0"/>
    <x v="0"/>
    <x v="1"/>
    <x v="1"/>
    <s v="FACTURA PAGA EN EL SISTEMA 14/01/2026"/>
  </r>
  <r>
    <s v="Factura electrónica"/>
    <s v="4f435be04233f654168e4e8544d4e8373c8f7491f07053430361019f958ff9da4f150c9f71b5b59e48107156221557f7"/>
    <x v="340"/>
    <n v="-1"/>
    <s v="FVE"/>
    <s v="13-01-2026"/>
    <s v="13-01-2026 12:53:21"/>
    <s v="900800595"/>
    <s v="Provexpress SAS"/>
    <s v="860055182"/>
    <x v="215"/>
    <n v="665000"/>
    <n v="0"/>
    <n v="0"/>
    <n v="4165000"/>
    <s v="Aprobado con notificación"/>
    <s v="Emitido"/>
    <x v="0"/>
    <x v="0"/>
    <x v="0"/>
    <x v="0"/>
    <x v="1"/>
    <x v="1"/>
    <s v="FACTURA PAGA EN EL SISTEMA 18/02/2026"/>
  </r>
  <r>
    <s v="Factura electrónica"/>
    <s v="22c5c6c815057077360fd559a6c6f171df46c473f0e9012b98bd6939058f5391efe1fb0845d9d1b4baf4a9cdd04a9411"/>
    <x v="341"/>
    <n v="-1"/>
    <s v="FVE"/>
    <s v="13-01-2026"/>
    <s v="13-01-2026 13:08:32"/>
    <s v="900800595"/>
    <s v="Provexpress SAS"/>
    <s v="830092963"/>
    <x v="216"/>
    <n v="2387160"/>
    <n v="0"/>
    <n v="0"/>
    <n v="14951160"/>
    <s v="Aprobado con notificación"/>
    <s v="Emitido"/>
    <x v="0"/>
    <x v="0"/>
    <x v="0"/>
    <x v="0"/>
    <x v="1"/>
    <x v="1"/>
    <s v="PAGA EN SISTEMA 24/02/2026"/>
  </r>
  <r>
    <s v="Factura electrónica"/>
    <s v="5c7c7dcde2460a52635869ecc0d7625f98afcab89e72666e94e2ed9c5148a5f84d75542e3e9f24f401f1555b2f4563a0"/>
    <x v="342"/>
    <n v="-1"/>
    <s v="FVE"/>
    <s v="13-01-2026"/>
    <s v="13-01-2026 14:24:08"/>
    <s v="900800595"/>
    <s v="Provexpress SAS"/>
    <s v="900238800"/>
    <x v="217"/>
    <n v="0"/>
    <n v="0"/>
    <n v="0"/>
    <n v="175000"/>
    <s v="Aprobado con notificación"/>
    <s v="Emitido"/>
    <x v="0"/>
    <x v="0"/>
    <x v="0"/>
    <x v="0"/>
    <x v="1"/>
    <x v="1"/>
    <s v="FACTURA PAGA EN EL SISTEMA 19/02/2026"/>
  </r>
  <r>
    <s v="Factura electrónica"/>
    <s v="a6e236e3a1dcc688a9c62363ae7d332d6fcefac922508b5deb999760b94bd8365c8dd04d08439567517db960ef2a602a"/>
    <x v="343"/>
    <n v="-1"/>
    <s v="FVE"/>
    <s v="13-01-2026"/>
    <s v="13-01-2026 14:24:12"/>
    <s v="900800595"/>
    <s v="Provexpress SAS"/>
    <s v="901689684"/>
    <x v="218"/>
    <n v="60515"/>
    <n v="0"/>
    <n v="0"/>
    <n v="379015"/>
    <s v="Aprobado con notificación"/>
    <s v="Emitido"/>
    <x v="1"/>
    <x v="0"/>
    <x v="0"/>
    <x v="0"/>
    <x v="1"/>
    <x v="0"/>
    <m/>
  </r>
  <r>
    <s v="Factura electrónica"/>
    <s v="c344b2f8a65ce3bb5cf07d735864406914e6d434096adb8901d7ae52ca494a56006bbfe3cc44752cad610f3c0c78ea35"/>
    <x v="344"/>
    <n v="-1"/>
    <s v="FVE"/>
    <s v="13-01-2026"/>
    <s v="13-01-2026 14:54:35"/>
    <s v="900800595"/>
    <s v="Provexpress SAS"/>
    <s v="800085796"/>
    <x v="219"/>
    <n v="242747.8"/>
    <n v="0"/>
    <n v="0"/>
    <n v="1540117.8"/>
    <s v="Aprobado con notificación"/>
    <s v="Emitido"/>
    <x v="0"/>
    <x v="0"/>
    <x v="0"/>
    <x v="0"/>
    <x v="1"/>
    <x v="1"/>
    <s v="PAGA EN SISTEMA 16/02/2026"/>
  </r>
  <r>
    <s v="Factura electrónica"/>
    <s v="a37d05e5761c5cc878e67a4b938645f70435e5510fdb2145061644be8297c4a735141463791e2f35196253c668e11e7b"/>
    <x v="345"/>
    <n v="-1"/>
    <s v="FVE"/>
    <s v="13-01-2026"/>
    <s v="13-01-2026 15:09:45"/>
    <s v="900800595"/>
    <s v="Provexpress SAS"/>
    <s v="830040378"/>
    <x v="134"/>
    <n v="126825"/>
    <n v="0"/>
    <n v="0"/>
    <n v="794325"/>
    <s v="Aprobado con notificación"/>
    <s v="Emitido"/>
    <x v="0"/>
    <x v="0"/>
    <x v="0"/>
    <x v="0"/>
    <x v="0"/>
    <x v="0"/>
    <m/>
  </r>
  <r>
    <s v="Factura electrónica"/>
    <s v="765f6fc430e28ca932984f80bc71dd5e13f7901fe3172714c98827b754312fa658b5ddfdfe6bfaff945d23a5064868dc"/>
    <x v="346"/>
    <n v="-1"/>
    <s v="FVE"/>
    <s v="13-01-2026"/>
    <s v="13-01-2026 15:09:50"/>
    <s v="900800595"/>
    <s v="Provexpress SAS"/>
    <s v="830040378"/>
    <x v="134"/>
    <n v="81008.399999999994"/>
    <n v="0"/>
    <n v="0"/>
    <n v="518738.4"/>
    <s v="Aprobado con notificación"/>
    <s v="Emitido"/>
    <x v="0"/>
    <x v="0"/>
    <x v="0"/>
    <x v="0"/>
    <x v="0"/>
    <x v="0"/>
    <m/>
  </r>
  <r>
    <s v="Factura electrónica"/>
    <s v="73b40585b8d93a6db369faa71e5f884dcf493bbab0db598952dd86a182da4495686fffda05ccf2255c081deca9cb2c74"/>
    <x v="347"/>
    <n v="-1"/>
    <s v="FVE"/>
    <s v="13-01-2026"/>
    <s v="13-01-2026 15:09:55"/>
    <s v="900800595"/>
    <s v="Provexpress SAS"/>
    <s v="860512249"/>
    <x v="179"/>
    <n v="19786.98"/>
    <n v="0"/>
    <n v="0"/>
    <n v="123928.98"/>
    <s v="Aprobado con notificación"/>
    <s v="Emitido"/>
    <x v="0"/>
    <x v="0"/>
    <x v="0"/>
    <x v="0"/>
    <x v="1"/>
    <x v="1"/>
    <s v="PAGA EN SISTEMA 27/02/2026"/>
  </r>
  <r>
    <s v="Factura electrónica"/>
    <s v="fab6a0fbd55e6016990b7f54cd19f63528df598f4d2169d0235745e0f61810ab9a4b7b2bc8d6f0bae49c2c25e5b47396"/>
    <x v="348"/>
    <n v="-1"/>
    <s v="FVE"/>
    <s v="13-01-2026"/>
    <s v="13-01-2026 15:25:11"/>
    <s v="900800595"/>
    <s v="Provexpress SAS"/>
    <s v="800149496"/>
    <x v="220"/>
    <n v="143640"/>
    <n v="0"/>
    <n v="0"/>
    <n v="899640"/>
    <s v="Aprobado con notificación"/>
    <s v="Emitido"/>
    <x v="0"/>
    <x v="0"/>
    <x v="1"/>
    <x v="0"/>
    <x v="1"/>
    <x v="0"/>
    <m/>
  </r>
  <r>
    <s v="Factura electrónica"/>
    <s v="e91dec4ce72e3af9fe3a943bf0a41c62a16dabadaac35dca3d6436a8245d4361a861b4d3f4c76413df36a74e77328345"/>
    <x v="349"/>
    <n v="-1"/>
    <s v="FVE"/>
    <s v="13-01-2026"/>
    <s v="13-01-2026 15:25:17"/>
    <s v="900800595"/>
    <s v="Provexpress SAS"/>
    <s v="800120681"/>
    <x v="221"/>
    <n v="1507764"/>
    <n v="0"/>
    <n v="0"/>
    <n v="9443364"/>
    <s v="Aprobado con notificación"/>
    <s v="Emitido"/>
    <x v="0"/>
    <x v="0"/>
    <x v="0"/>
    <x v="0"/>
    <x v="1"/>
    <x v="1"/>
    <s v="PAGA EN SISTEMA 9/02/2026"/>
  </r>
  <r>
    <s v="Factura electrónica"/>
    <s v="220f73eb49aa953a7bc3943510e7713cb19cd898c2cd06535cadd9f6f21bd894cb33f1b5ad6a75851803d661b5faf4d7"/>
    <x v="350"/>
    <n v="-1"/>
    <s v="FVE"/>
    <s v="13-01-2026"/>
    <s v="13-01-2026 15:25:21"/>
    <s v="900800595"/>
    <s v="Provexpress SAS"/>
    <s v="900148177"/>
    <x v="124"/>
    <n v="191900"/>
    <n v="0"/>
    <n v="0"/>
    <n v="1201900"/>
    <s v="Aprobado con notificación"/>
    <s v="Emitido"/>
    <x v="0"/>
    <x v="0"/>
    <x v="0"/>
    <x v="0"/>
    <x v="0"/>
    <x v="0"/>
    <m/>
  </r>
  <r>
    <s v="Factura electrónica"/>
    <s v="7d0cfad170ac37469ba945971fb919330093df6e112974fe0012356c1050223079e94f80aa8fd81156ad89483c31bc9f"/>
    <x v="351"/>
    <n v="-1"/>
    <s v="FVE"/>
    <s v="13-01-2026"/>
    <s v="13-01-2026 15:40:32"/>
    <s v="900800595"/>
    <s v="Provexpress SAS"/>
    <s v="800170725"/>
    <x v="222"/>
    <n v="102820.4"/>
    <n v="0"/>
    <n v="0"/>
    <n v="679980.4"/>
    <s v="Aprobado con notificación"/>
    <s v="Emitido"/>
    <x v="0"/>
    <x v="0"/>
    <x v="0"/>
    <x v="0"/>
    <x v="1"/>
    <x v="1"/>
    <s v="PAGA EN SISTEMA 19/02/2026"/>
  </r>
  <r>
    <s v="Factura electrónica"/>
    <s v="f62c424ea5bce9f78ad7e9d4e70fe26ec8867b163f0644730af5266209ee302c2acd7074d052b38b65a19b606e2a7398"/>
    <x v="352"/>
    <n v="-1"/>
    <s v="FVE"/>
    <s v="13-01-2026"/>
    <s v="13-01-2026 15:55:51"/>
    <s v="900800595"/>
    <s v="Provexpress SAS"/>
    <s v="800200139"/>
    <x v="197"/>
    <n v="61556.2"/>
    <n v="0"/>
    <n v="0"/>
    <n v="385536.2"/>
    <s v="Aprobado con notificación"/>
    <s v="Emitido"/>
    <x v="0"/>
    <x v="0"/>
    <x v="0"/>
    <x v="0"/>
    <x v="1"/>
    <x v="1"/>
    <s v="FACTURA PAGA EN EL SISTEMA 19/02/2026"/>
  </r>
  <r>
    <s v="Factura electrónica"/>
    <s v="7a0c15cdd682510c8f0a175d970b55745c842539ab03c1e229e3dedd86bca31e9ed0530e51f1127640b56433a7963ac8"/>
    <x v="353"/>
    <n v="-1"/>
    <s v="FVE"/>
    <s v="13-01-2026"/>
    <s v="13-01-2026 15:55:57"/>
    <s v="900800595"/>
    <s v="Provexpress SAS"/>
    <s v="901054874"/>
    <x v="107"/>
    <n v="45429"/>
    <n v="0"/>
    <n v="0"/>
    <n v="284529"/>
    <s v="Aprobado con notificación"/>
    <s v="Emitido"/>
    <x v="0"/>
    <x v="0"/>
    <x v="0"/>
    <x v="0"/>
    <x v="0"/>
    <x v="0"/>
    <m/>
  </r>
  <r>
    <s v="Factura electrónica"/>
    <s v="b2477f4f0a7776e3601587f632d6d4909e6b2141549a40ad119ccfa12dadc7a333a3b5ccc9c0503678f7ff727c4e68bd"/>
    <x v="354"/>
    <n v="-1"/>
    <s v="FVE"/>
    <s v="13-01-2026"/>
    <s v="13-01-2026 16:11:09"/>
    <s v="900800595"/>
    <s v="Provexpress SAS"/>
    <s v="900671249"/>
    <x v="166"/>
    <n v="80001.429999999993"/>
    <n v="0"/>
    <n v="0"/>
    <n v="501061.59"/>
    <s v="Aprobado con notificación"/>
    <s v="Emitido"/>
    <x v="0"/>
    <x v="0"/>
    <x v="0"/>
    <x v="0"/>
    <x v="0"/>
    <x v="0"/>
    <m/>
  </r>
  <r>
    <s v="Factura electrónica"/>
    <s v="095775a366447c04c5f867058fc3b2e1e9d13224cda5d536b3cec06f537e5a54f12fcb4fad58d13dabe8edb1681b8b7b"/>
    <x v="355"/>
    <n v="-1"/>
    <s v="FVE"/>
    <s v="14-01-2026"/>
    <s v="14-01-2026 07:47:46"/>
    <s v="900800595"/>
    <s v="Provexpress SAS"/>
    <s v="901235816"/>
    <x v="223"/>
    <n v="693509.5"/>
    <n v="0"/>
    <n v="0"/>
    <n v="4343559.5"/>
    <s v="Aprobado con notificación"/>
    <s v="Emitido"/>
    <x v="0"/>
    <x v="0"/>
    <x v="0"/>
    <x v="0"/>
    <x v="0"/>
    <x v="0"/>
    <m/>
  </r>
  <r>
    <s v="Factura electrónica"/>
    <s v="3dc8ddbf047fd0bc5733d8cd906b1090efaedc2357d9b5ea3e1a90b14dde92cb24cb2dbd6493c38534f442499f42f934"/>
    <x v="356"/>
    <n v="-1"/>
    <s v="FVE"/>
    <s v="14-01-2026"/>
    <s v="14-01-2026 07:47:50"/>
    <s v="900800595"/>
    <s v="Provexpress SAS"/>
    <s v="900132714"/>
    <x v="224"/>
    <n v="0"/>
    <n v="0"/>
    <n v="0"/>
    <n v="4966918"/>
    <s v="Aprobado con notificación"/>
    <s v="Emitido"/>
    <x v="0"/>
    <x v="0"/>
    <x v="0"/>
    <x v="0"/>
    <x v="1"/>
    <x v="1"/>
    <s v="FACTURA PAGA EN EL SISTEMA 16/02/2026"/>
  </r>
  <r>
    <s v="Factura electrónica"/>
    <s v="c4d36519cccdee9c78b666a0122ad9772893a80d802fd45a144caf4431f01eecab8173dac0d04892e7d358c16dd5a426"/>
    <x v="357"/>
    <n v="-1"/>
    <s v="FVE"/>
    <s v="14-01-2026"/>
    <s v="14-01-2026 07:47:55"/>
    <s v="900800595"/>
    <s v="Provexpress SAS"/>
    <s v="900132714"/>
    <x v="224"/>
    <n v="142262.5"/>
    <n v="0"/>
    <n v="0"/>
    <n v="891012.5"/>
    <s v="Aprobado con notificación"/>
    <s v="Emitido"/>
    <x v="0"/>
    <x v="0"/>
    <x v="0"/>
    <x v="0"/>
    <x v="1"/>
    <x v="1"/>
    <s v="FACTURA PAGA EN EL SISTEMA 16/02/2026"/>
  </r>
  <r>
    <s v="Factura electrónica"/>
    <s v="3b3847d616a5c7c8c04d17fe7696021c707fa932409ed541d7f5b363dad4eb07559c7fecf8ad06cc6972af646668739e"/>
    <x v="358"/>
    <n v="-1"/>
    <s v="FVE"/>
    <s v="14-01-2026"/>
    <s v="14-01-2026 07:47:59"/>
    <s v="900800595"/>
    <s v="Provexpress SAS"/>
    <s v="860504410"/>
    <x v="225"/>
    <n v="16899.36"/>
    <n v="0"/>
    <n v="0"/>
    <n v="105843.36"/>
    <s v="Aprobado con notificación"/>
    <s v="Emitido"/>
    <x v="0"/>
    <x v="0"/>
    <x v="0"/>
    <x v="0"/>
    <x v="1"/>
    <x v="1"/>
    <s v="FACTURA PAGA EN EL SISTEMA 17/02/2026"/>
  </r>
  <r>
    <s v="Factura electrónica"/>
    <s v="dfa055453c20547c264c6dd7cfac161d552fa8d73b8dd502c486dfaaff5369b979570546b37382253eac93665c9090eb"/>
    <x v="359"/>
    <n v="-1"/>
    <s v="FVE"/>
    <s v="14-01-2026"/>
    <s v="14-01-2026 07:48:04"/>
    <s v="900800595"/>
    <s v="Provexpress SAS"/>
    <s v="900582598"/>
    <x v="226"/>
    <n v="45759.6"/>
    <n v="0"/>
    <n v="0"/>
    <n v="286599.59999999998"/>
    <s v="Aprobado con notificación"/>
    <s v="Emitido"/>
    <x v="0"/>
    <x v="1"/>
    <x v="0"/>
    <x v="0"/>
    <x v="1"/>
    <x v="0"/>
    <m/>
  </r>
  <r>
    <s v="Factura electrónica"/>
    <s v="87cf171cbd9fefbc3a78423ea0c0196fe381f403ca75449d9e854f20062b7ccd635a01ce9ab0e90e1d7a64faa5ee4512"/>
    <x v="360"/>
    <n v="-1"/>
    <s v="FVE"/>
    <s v="14-01-2026"/>
    <s v="14-01-2026 07:48:09"/>
    <s v="900800595"/>
    <s v="Provexpress SAS"/>
    <s v="860501145"/>
    <x v="227"/>
    <n v="51300"/>
    <n v="0"/>
    <n v="0"/>
    <n v="321300"/>
    <s v="Aprobado con notificación"/>
    <s v="Emitido"/>
    <x v="0"/>
    <x v="0"/>
    <x v="0"/>
    <x v="0"/>
    <x v="1"/>
    <x v="1"/>
    <s v="PAGA EN SISTEMA 26/02/2026"/>
  </r>
  <r>
    <s v="Factura electrónica"/>
    <s v="24cd2ba5f68bac5ab224d07dddf52a3d4994ea57acb45b0e49e96a56a66cd0dc8d1127f8480875b1ece8750c50429935"/>
    <x v="361"/>
    <n v="-1"/>
    <s v="FVE"/>
    <s v="14-01-2026"/>
    <s v="14-01-2026 08:03:19"/>
    <s v="900800595"/>
    <s v="Provexpress SAS"/>
    <s v="830033494"/>
    <x v="130"/>
    <n v="12540"/>
    <n v="0"/>
    <n v="0"/>
    <n v="78540"/>
    <s v="Aprobado con notificación"/>
    <s v="Emitido"/>
    <x v="0"/>
    <x v="0"/>
    <x v="1"/>
    <x v="0"/>
    <x v="1"/>
    <x v="0"/>
    <m/>
  </r>
  <r>
    <s v="Factura electrónica"/>
    <s v="ece488cbeaf450958ff786db6117b049bc9762c92a4585c5489763b3268a0b8f8b7b7ad878319ca8e46de38912ffabab"/>
    <x v="362"/>
    <n v="-1"/>
    <s v="FVE"/>
    <s v="14-01-2026"/>
    <s v="14-01-2026 08:03:24"/>
    <s v="900800595"/>
    <s v="Provexpress SAS"/>
    <s v="860024746"/>
    <x v="228"/>
    <n v="1094400"/>
    <n v="0"/>
    <n v="0"/>
    <n v="6854400"/>
    <s v="Aprobado con notificación"/>
    <s v="Emitido"/>
    <x v="0"/>
    <x v="0"/>
    <x v="0"/>
    <x v="0"/>
    <x v="1"/>
    <x v="1"/>
    <s v="PAGA EN SISTEMA 24/02/2026"/>
  </r>
  <r>
    <s v="Factura electrónica"/>
    <s v="91454e957b1755dde27bbc3536c519691e7f7c6effe4244e5bbcb3872b3e2cce6e8505b5f5a7fedc247336108957d1f5"/>
    <x v="363"/>
    <n v="-1"/>
    <s v="FVE"/>
    <s v="14-01-2026"/>
    <s v="14-01-2026 08:03:29"/>
    <s v="900800595"/>
    <s v="Provexpress SAS"/>
    <s v="830120157"/>
    <x v="229"/>
    <n v="489277.56"/>
    <n v="0"/>
    <n v="0"/>
    <n v="3353801.56"/>
    <s v="Aprobado con notificación"/>
    <s v="Emitido"/>
    <x v="0"/>
    <x v="0"/>
    <x v="0"/>
    <x v="0"/>
    <x v="0"/>
    <x v="0"/>
    <m/>
  </r>
  <r>
    <s v="Factura electrónica"/>
    <s v="6ebc16b2a572fc58a4f6d18dd68f45aa85d479fe92411da36464875d5242fdcb3afb3828226bdaf1813a4ff560230909"/>
    <x v="364"/>
    <n v="-1"/>
    <s v="FVE"/>
    <s v="14-01-2026"/>
    <s v="14-01-2026 08:03:34"/>
    <s v="900800595"/>
    <s v="Provexpress SAS"/>
    <s v="901749669"/>
    <x v="230"/>
    <n v="32471"/>
    <n v="0"/>
    <n v="0"/>
    <n v="203371"/>
    <s v="Aprobado con notificación"/>
    <s v="Emitido"/>
    <x v="0"/>
    <x v="0"/>
    <x v="0"/>
    <x v="0"/>
    <x v="1"/>
    <x v="1"/>
    <s v="PAGA EN SISTEMA 27/02/2026"/>
  </r>
  <r>
    <s v="Factura electrónica"/>
    <s v="e4316840c2a8703d18cb444eb7dec3e66fdf8505b1506238854030b609c9a08acad8304c3441eb8b1a8cbe207a9559ad"/>
    <x v="365"/>
    <n v="-1"/>
    <s v="FVE"/>
    <s v="14-01-2026"/>
    <s v="14-01-2026 08:03:38"/>
    <s v="900800595"/>
    <s v="Provexpress SAS"/>
    <s v="830092675"/>
    <x v="231"/>
    <n v="1102940.8799999999"/>
    <n v="0"/>
    <n v="0"/>
    <n v="6907892.8799999999"/>
    <s v="Aprobado con notificación"/>
    <s v="Emitido"/>
    <x v="0"/>
    <x v="0"/>
    <x v="1"/>
    <x v="0"/>
    <x v="1"/>
    <x v="0"/>
    <m/>
  </r>
  <r>
    <s v="Factura electrónica"/>
    <s v="f7f74c69e33a60f6572da9c4e970c20ef566bad101baa6ff9a3c4034990e17bfec2d063308dcf23e6463a809903f9d73"/>
    <x v="366"/>
    <n v="-1"/>
    <s v="FVE"/>
    <s v="14-01-2026"/>
    <s v="14-01-2026 08:33:55"/>
    <s v="900800595"/>
    <s v="Provexpress SAS"/>
    <s v="830120157"/>
    <x v="229"/>
    <n v="122398"/>
    <n v="0"/>
    <n v="0"/>
    <n v="766598"/>
    <s v="Aprobado con notificación"/>
    <s v="Emitido"/>
    <x v="0"/>
    <x v="0"/>
    <x v="0"/>
    <x v="0"/>
    <x v="0"/>
    <x v="0"/>
    <m/>
  </r>
  <r>
    <s v="Factura electrónica"/>
    <s v="d955cc3cdb46bc0e4c229107df8c7f2335df26193ae921927b66e77c0fa0eee528f5cecd9cac2551c5fda42763f7ba28"/>
    <x v="367"/>
    <n v="-1"/>
    <s v="FVE"/>
    <s v="14-01-2026"/>
    <s v="14-01-2026 08:49:06"/>
    <s v="900800595"/>
    <s v="Provexpress SAS"/>
    <s v="900037743"/>
    <x v="232"/>
    <n v="1397222"/>
    <n v="0"/>
    <n v="0"/>
    <n v="8751022"/>
    <s v="Aprobado con notificación"/>
    <s v="Emitido"/>
    <x v="0"/>
    <x v="0"/>
    <x v="1"/>
    <x v="0"/>
    <x v="1"/>
    <x v="0"/>
    <m/>
  </r>
  <r>
    <s v="Factura electrónica"/>
    <s v="27d2d902c76b844461453a12943be9f3c16c04faf47d5d8c7ce845af6afac729f927d0f75c37efd8efbf20327c996a8f"/>
    <x v="368"/>
    <n v="-1"/>
    <s v="FVE"/>
    <s v="14-01-2026"/>
    <s v="14-01-2026 08:49:11"/>
    <s v="900800595"/>
    <s v="Provexpress SAS"/>
    <s v="900037743"/>
    <x v="232"/>
    <n v="264461"/>
    <n v="0"/>
    <n v="0"/>
    <n v="1656361"/>
    <s v="Aprobado con notificación"/>
    <s v="Emitido"/>
    <x v="0"/>
    <x v="0"/>
    <x v="0"/>
    <x v="0"/>
    <x v="1"/>
    <x v="1"/>
    <s v="PAGA EN SISTEMA 31/01/2026"/>
  </r>
  <r>
    <s v="Factura electrónica"/>
    <s v="1e1cec3d8a258edec888935a4a9a1098e49f9b18bdbf6df19cfb3f8f3f67bd4064a58e22ce841c0e890a9fae4143f72b"/>
    <x v="369"/>
    <n v="-1"/>
    <s v="FVE"/>
    <s v="14-01-2026"/>
    <s v="14-01-2026 09:19:29"/>
    <s v="900800595"/>
    <s v="Provexpress SAS"/>
    <s v="830106265"/>
    <x v="233"/>
    <n v="242219.6"/>
    <n v="0"/>
    <n v="0"/>
    <n v="1517059.6"/>
    <s v="Aprobado con notificación"/>
    <s v="Emitido"/>
    <x v="0"/>
    <x v="0"/>
    <x v="0"/>
    <x v="0"/>
    <x v="1"/>
    <x v="1"/>
    <s v="FACTURA PAGA EN EL SISTEMA 23/02/2026"/>
  </r>
  <r>
    <s v="Factura electrónica"/>
    <s v="1cf5fb380140ce8fcf7eb8a8489ee1339cf0fb02b9f0333c35de49e124a0c1c8ebd88da2ff51c7d0db9697ea5a823b4b"/>
    <x v="370"/>
    <n v="-1"/>
    <s v="FVE"/>
    <s v="14-01-2026"/>
    <s v="14-01-2026 09:19:34"/>
    <s v="900800595"/>
    <s v="Provexpress SAS"/>
    <s v="860513970"/>
    <x v="36"/>
    <n v="842744.9"/>
    <n v="0"/>
    <n v="0"/>
    <n v="5407714.9000000004"/>
    <s v="Aprobado con notificación"/>
    <s v="Emitido"/>
    <x v="0"/>
    <x v="0"/>
    <x v="0"/>
    <x v="0"/>
    <x v="1"/>
    <x v="1"/>
    <s v="PAGA EN EL SISTEMA 27/02/2026"/>
  </r>
  <r>
    <s v="Factura electrónica"/>
    <s v="9f8c10990b8956e1c4fd044b0ef3144185d719746b08926daf9cdc90a6339a1cf7d615879667cd34ba14f97664365397"/>
    <x v="371"/>
    <n v="-1"/>
    <s v="FVE"/>
    <s v="14-01-2026"/>
    <s v="14-01-2026 09:49:53"/>
    <s v="900800595"/>
    <s v="Provexpress SAS"/>
    <s v="830513773"/>
    <x v="234"/>
    <n v="9975"/>
    <n v="0"/>
    <n v="0"/>
    <n v="293820"/>
    <s v="Aprobado con notificación"/>
    <s v="Emitido"/>
    <x v="0"/>
    <x v="0"/>
    <x v="1"/>
    <x v="0"/>
    <x v="1"/>
    <x v="0"/>
    <m/>
  </r>
  <r>
    <s v="Factura electrónica"/>
    <s v="58b435b6884255ace6d069b949733a48b11f3ecf40264b209cca018c41a98b095550ee23b53d87d54299fce6d3b22c4d"/>
    <x v="372"/>
    <n v="-1"/>
    <s v="FVE"/>
    <s v="14-01-2026"/>
    <s v="14-01-2026 09:49:57"/>
    <s v="900800595"/>
    <s v="Provexpress SAS"/>
    <s v="800149384"/>
    <x v="6"/>
    <n v="373204.65"/>
    <n v="0"/>
    <n v="0"/>
    <n v="2337439.65"/>
    <s v="Aprobado con notificación"/>
    <s v="Emitido"/>
    <x v="0"/>
    <x v="0"/>
    <x v="1"/>
    <x v="0"/>
    <x v="1"/>
    <x v="0"/>
    <m/>
  </r>
  <r>
    <s v="Factura electrónica"/>
    <s v="27d6d5718db714b4e1d5953cf0cb16c29a2ca0072cd06eeab31ca0572b45c49594448dcf987bca0069e5d882219c94d1"/>
    <x v="373"/>
    <n v="-1"/>
    <s v="FVE"/>
    <s v="14-01-2026"/>
    <s v="14-01-2026 10:05:09"/>
    <s v="900800595"/>
    <s v="Provexpress SAS"/>
    <s v="860078828"/>
    <x v="8"/>
    <n v="373204.65"/>
    <n v="0"/>
    <n v="0"/>
    <n v="2337439.65"/>
    <s v="Aprobado con notificación"/>
    <s v="Emitido"/>
    <x v="0"/>
    <x v="0"/>
    <x v="1"/>
    <x v="0"/>
    <x v="1"/>
    <x v="0"/>
    <m/>
  </r>
  <r>
    <s v="Factura electrónica"/>
    <s v="beb0674c654115ecd6565faa10d1e61e8ed14dc6d805824ee6b68f3057db4ebaf014fb17df77709534fa6d0beecb64fb"/>
    <x v="374"/>
    <n v="-1"/>
    <s v="FVE"/>
    <s v="14-01-2026"/>
    <s v="14-01-2026 10:05:12"/>
    <s v="900800595"/>
    <s v="Provexpress SAS"/>
    <s v="901041691"/>
    <x v="14"/>
    <n v="373204.65"/>
    <n v="0"/>
    <n v="0"/>
    <n v="2337439.65"/>
    <s v="Aprobado con notificación"/>
    <s v="Emitido"/>
    <x v="0"/>
    <x v="0"/>
    <x v="1"/>
    <x v="0"/>
    <x v="1"/>
    <x v="0"/>
    <m/>
  </r>
  <r>
    <s v="Factura electrónica"/>
    <s v="1804ee10c55f2fe382a9681a89d7858c967231870dbc908dd7f3cd73906277a92c1758287976eef4cb75e525cfad20f6"/>
    <x v="375"/>
    <n v="-1"/>
    <s v="FVE"/>
    <s v="14-01-2026"/>
    <s v="14-01-2026 10:05:17"/>
    <s v="900800595"/>
    <s v="Provexpress SAS"/>
    <s v="901041691"/>
    <x v="14"/>
    <n v="508978.08"/>
    <n v="0"/>
    <n v="0"/>
    <n v="3187810.08"/>
    <s v="Aprobado con notificación"/>
    <s v="Emitido"/>
    <x v="0"/>
    <x v="0"/>
    <x v="1"/>
    <x v="0"/>
    <x v="1"/>
    <x v="0"/>
    <m/>
  </r>
  <r>
    <s v="Factura electrónica"/>
    <s v="19f7dc87efccfdff5c0ee7a4ef77a1d494767d7f1eadb178fb552cf6391330449442b8017f855a55608951b690549db9"/>
    <x v="376"/>
    <n v="-1"/>
    <s v="FVE"/>
    <s v="14-01-2026"/>
    <s v="14-01-2026 10:05:22"/>
    <s v="900800595"/>
    <s v="Provexpress SAS"/>
    <s v="860078828"/>
    <x v="8"/>
    <n v="373204.65"/>
    <n v="0"/>
    <n v="0"/>
    <n v="2337439.65"/>
    <s v="Aprobado con notificación"/>
    <s v="Emitido"/>
    <x v="0"/>
    <x v="0"/>
    <x v="1"/>
    <x v="0"/>
    <x v="1"/>
    <x v="0"/>
    <m/>
  </r>
  <r>
    <s v="Factura electrónica"/>
    <s v="38f4baee86831b0f3ec30ef8bd4406eb83be9d11e3c9a5c5b393682fd82d73643ed25203b9e8e6e6e3004b78e47a8d30"/>
    <x v="377"/>
    <n v="-1"/>
    <s v="FVE"/>
    <s v="14-01-2026"/>
    <s v="14-01-2026 10:05:26"/>
    <s v="900800595"/>
    <s v="Provexpress SAS"/>
    <s v="901469580"/>
    <x v="117"/>
    <n v="373204.65"/>
    <n v="0"/>
    <n v="0"/>
    <n v="2337439.65"/>
    <s v="Aprobado con notificación"/>
    <s v="Emitido"/>
    <x v="0"/>
    <x v="0"/>
    <x v="1"/>
    <x v="0"/>
    <x v="1"/>
    <x v="0"/>
    <m/>
  </r>
  <r>
    <s v="Factura electrónica"/>
    <s v="a68e18e6396f35ec38d26701208fb95d2afd1bfc094e86643491aba8c8485cf03a16c1df101679632c8bd32be240fd5f"/>
    <x v="378"/>
    <n v="-1"/>
    <s v="FVE"/>
    <s v="14-01-2026"/>
    <s v="14-01-2026 10:05:31"/>
    <s v="900800595"/>
    <s v="Provexpress SAS"/>
    <s v="901469580"/>
    <x v="117"/>
    <n v="373204.65"/>
    <n v="0"/>
    <n v="0"/>
    <n v="2337439.65"/>
    <s v="Aprobado con notificación"/>
    <s v="Emitido"/>
    <x v="0"/>
    <x v="0"/>
    <x v="1"/>
    <x v="0"/>
    <x v="1"/>
    <x v="0"/>
    <m/>
  </r>
  <r>
    <s v="Factura electrónica"/>
    <s v="b753dcdce3b965bc65d958b0b602c9293ef44bbfc4e7af16dea655f3fa9e98c5da621c7897fa36500fd52179eeaf5860"/>
    <x v="379"/>
    <n v="-1"/>
    <s v="FVE"/>
    <s v="14-01-2026"/>
    <s v="14-01-2026 10:05:35"/>
    <s v="900800595"/>
    <s v="Provexpress SAS"/>
    <s v="800251440"/>
    <x v="13"/>
    <n v="373204.65"/>
    <n v="0"/>
    <n v="0"/>
    <n v="2337439.65"/>
    <s v="Aprobado con notificación"/>
    <s v="Emitido"/>
    <x v="0"/>
    <x v="0"/>
    <x v="0"/>
    <x v="0"/>
    <x v="1"/>
    <x v="1"/>
    <s v="PAGA EN SISTEMA 27/02/2026"/>
  </r>
  <r>
    <s v="Factura electrónica"/>
    <s v="adb6c008a195f56240a29d1b9035fb32e06a03fce074c9caa2daf9893d936262ba3b6d422a310854568366f3d4f78441"/>
    <x v="380"/>
    <n v="-1"/>
    <s v="FVE"/>
    <s v="14-01-2026"/>
    <s v="14-01-2026 10:20:47"/>
    <s v="900800595"/>
    <s v="Provexpress SAS"/>
    <s v="901469580"/>
    <x v="117"/>
    <n v="746409.3"/>
    <n v="0"/>
    <n v="0"/>
    <n v="4674879.3"/>
    <s v="Aprobado con notificación"/>
    <s v="Emitido"/>
    <x v="0"/>
    <x v="0"/>
    <x v="1"/>
    <x v="0"/>
    <x v="1"/>
    <x v="0"/>
    <m/>
  </r>
  <r>
    <s v="Factura electrónica"/>
    <s v="fb8b32bd261ed2502a01806f9665ac4b7838b6678f879fec2425937374cfe107054c75406476ed72b94d7fb4bd47b826"/>
    <x v="381"/>
    <n v="-1"/>
    <s v="FVE"/>
    <s v="14-01-2026"/>
    <s v="14-01-2026 10:20:52"/>
    <s v="900800595"/>
    <s v="Provexpress SAS"/>
    <s v="900123408"/>
    <x v="15"/>
    <n v="28500"/>
    <n v="0"/>
    <n v="0"/>
    <n v="178500"/>
    <s v="Aprobado con notificación"/>
    <s v="Emitido"/>
    <x v="0"/>
    <x v="0"/>
    <x v="0"/>
    <x v="0"/>
    <x v="1"/>
    <x v="1"/>
    <s v="PAGA EN EL SISTEMA2/03/2026"/>
  </r>
  <r>
    <s v="Factura electrónica"/>
    <s v="255b73bdc40ac2344da83854b9d548965a62d89d025b6e97b0d922994c357266f6585e12fe5a3e17b1928ae28f8aca9d"/>
    <x v="382"/>
    <n v="-1"/>
    <s v="FVE"/>
    <s v="14-01-2026"/>
    <s v="14-01-2026 10:20:57"/>
    <s v="900800595"/>
    <s v="Provexpress SAS"/>
    <s v="860517423"/>
    <x v="235"/>
    <n v="179550"/>
    <n v="0"/>
    <n v="0"/>
    <n v="1124550"/>
    <s v="Aprobado con notificación"/>
    <s v="Emitido"/>
    <x v="0"/>
    <x v="0"/>
    <x v="0"/>
    <x v="0"/>
    <x v="1"/>
    <x v="1"/>
    <s v="FACTURA PAGA EN EL SISTEMA 16/02/2026"/>
  </r>
  <r>
    <s v="Factura electrónica"/>
    <s v="de79fbaa3a5d9a76d1cd57437814c2452c0ef5e92c54d2a50c9115115d173409fe8143754126c850b20f6bc696aa894a"/>
    <x v="383"/>
    <n v="-1"/>
    <s v="FVE"/>
    <s v="14-01-2026"/>
    <s v="14-01-2026 10:21:01"/>
    <s v="900800595"/>
    <s v="Provexpress SAS"/>
    <s v="830040378"/>
    <x v="134"/>
    <n v="58821.599999999999"/>
    <n v="0"/>
    <n v="0"/>
    <n v="545781.6"/>
    <s v="Aprobado con notificación"/>
    <s v="Emitido"/>
    <x v="0"/>
    <x v="0"/>
    <x v="0"/>
    <x v="0"/>
    <x v="0"/>
    <x v="0"/>
    <m/>
  </r>
  <r>
    <s v="Factura electrónica"/>
    <s v="440de58e17e138a28548cc1aa82e556e50629da265fbc9818aa2b0a763ed02059278999a9071f14eaa8add6e59c00916"/>
    <x v="384"/>
    <n v="-1"/>
    <s v="FVE"/>
    <s v="14-01-2026"/>
    <s v="14-01-2026 10:37:00"/>
    <s v="900800595"/>
    <s v="Provexpress SAS"/>
    <s v="901804480"/>
    <x v="236"/>
    <n v="332500"/>
    <n v="0"/>
    <n v="0"/>
    <n v="2082500"/>
    <s v="Aprobado con notificación"/>
    <s v="Emitido"/>
    <x v="0"/>
    <x v="0"/>
    <x v="0"/>
    <x v="0"/>
    <x v="1"/>
    <x v="1"/>
    <s v="FACTURA PAGA EN EL SISTEMA 18/02/2026"/>
  </r>
  <r>
    <s v="Factura electrónica"/>
    <s v="15f454d4340d1c5b29cf55db3e090c80cfce7235567a38d51e3fe776b866567c3daed0c8219c1c4ed5dc96428d7e8f95"/>
    <x v="385"/>
    <n v="-1"/>
    <s v="FVE"/>
    <s v="14-01-2026"/>
    <s v="14-01-2026 10:37:02"/>
    <s v="900800595"/>
    <s v="Provexpress SAS"/>
    <s v="830017184"/>
    <x v="237"/>
    <n v="2147000"/>
    <n v="0"/>
    <n v="0"/>
    <n v="13447000"/>
    <s v="Aprobado con notificación"/>
    <s v="Emitido"/>
    <x v="0"/>
    <x v="0"/>
    <x v="0"/>
    <x v="0"/>
    <x v="0"/>
    <x v="0"/>
    <m/>
  </r>
  <r>
    <s v="Factura electrónica"/>
    <s v="bbd2ffaf55c66b69ca6dc41f9d3f85658bd83d7e4cb96d592941abb3d19cf343f50e4a18213d3e8f6f258386eb427875"/>
    <x v="386"/>
    <n v="-1"/>
    <s v="FVE"/>
    <s v="14-01-2026"/>
    <s v="14-01-2026 11:06:45"/>
    <s v="900800595"/>
    <s v="Provexpress SAS"/>
    <s v="901038027"/>
    <x v="238"/>
    <n v="2964000"/>
    <n v="0"/>
    <n v="0"/>
    <n v="18564000"/>
    <s v="Aprobado con notificación"/>
    <s v="Emitido"/>
    <x v="0"/>
    <x v="0"/>
    <x v="0"/>
    <x v="0"/>
    <x v="1"/>
    <x v="1"/>
    <s v="FACTURA PAGA EN EL SISTEMA 17/02/2026"/>
  </r>
  <r>
    <s v="Factura electrónica"/>
    <s v="6fe76be24c50fc2cb855a0a3276029b3242384cf59170ff28889cea883b3067d562765e96a68d2d1cbe3fafa1762422c"/>
    <x v="387"/>
    <n v="-1"/>
    <s v="FVE"/>
    <s v="14-01-2026"/>
    <s v="14-01-2026 11:07:15"/>
    <s v="900800595"/>
    <s v="Provexpress SAS"/>
    <s v="1007703447"/>
    <x v="239"/>
    <n v="144400"/>
    <n v="0"/>
    <n v="0"/>
    <n v="904400"/>
    <s v="Aprobado con notificación"/>
    <s v="Emitido"/>
    <x v="0"/>
    <x v="0"/>
    <x v="0"/>
    <x v="0"/>
    <x v="1"/>
    <x v="1"/>
    <s v="FACTURA PAGA EN EL SISTEMA 23/01/2026"/>
  </r>
  <r>
    <s v="Factura electrónica"/>
    <s v="887481df7e9a36b2cb5abdc7828308bf31cb1745f95b94501e1d670dd333405bbd9f4dffeb0b78702d09ba4827f0c580"/>
    <x v="388"/>
    <n v="-1"/>
    <s v="FVE"/>
    <s v="14-01-2026"/>
    <s v="14-01-2026 11:21:52"/>
    <s v="900800595"/>
    <s v="Provexpress SAS"/>
    <s v="860026123"/>
    <x v="176"/>
    <n v="24806400"/>
    <n v="0"/>
    <n v="0"/>
    <n v="155366400"/>
    <s v="Aprobado con notificación"/>
    <s v="Emitido"/>
    <x v="0"/>
    <x v="0"/>
    <x v="0"/>
    <x v="0"/>
    <x v="1"/>
    <x v="1"/>
    <s v="FACTURA PAGA EN EL SISTEMA 16/01/2026"/>
  </r>
  <r>
    <s v="Factura electrónica"/>
    <s v="161eaccbc7531b8f9e14e4026aa0d5940e08d7f22a3d38e036fb9c40900a0f3e74bc44c44837af2c000d63918f1b7876"/>
    <x v="389"/>
    <n v="-1"/>
    <s v="FVE"/>
    <s v="14-01-2026"/>
    <s v="14-01-2026 11:52:15"/>
    <s v="900800595"/>
    <s v="Provexpress SAS"/>
    <s v="860050750"/>
    <x v="240"/>
    <n v="253650"/>
    <n v="0"/>
    <n v="0"/>
    <n v="1588650"/>
    <s v="Aprobado con notificación"/>
    <s v="Emitido"/>
    <x v="0"/>
    <x v="0"/>
    <x v="0"/>
    <x v="0"/>
    <x v="1"/>
    <x v="1"/>
    <s v="FACTURA PAGA EN EL SISTEMA 11/02/2026"/>
  </r>
  <r>
    <s v="Factura electrónica"/>
    <s v="6baed98ce86bb2cc173c8d6d5d31672b0f4a41cc74930b68a236eef708f4a385c92e8c9c36ff53355bc7c10918da2055"/>
    <x v="390"/>
    <n v="-1"/>
    <s v="FVE"/>
    <s v="14-01-2026"/>
    <s v="14-01-2026 11:52:20"/>
    <s v="900800595"/>
    <s v="Provexpress SAS"/>
    <s v="860050750"/>
    <x v="240"/>
    <n v="253650"/>
    <n v="0"/>
    <n v="0"/>
    <n v="1588650"/>
    <s v="Aprobado con notificación"/>
    <s v="Emitido"/>
    <x v="0"/>
    <x v="0"/>
    <x v="0"/>
    <x v="0"/>
    <x v="1"/>
    <x v="1"/>
    <s v="FACTURA PAGA EN EL SISTEMA 11/02/2026"/>
  </r>
  <r>
    <s v="Factura electrónica"/>
    <s v="2dad9a0cd3efd521f50b0d2d57aec0e0ef86541e43cfeb66f39636e94ae7280fb3a9bf4ac7b2e89985b6f19aaf12086e"/>
    <x v="391"/>
    <n v="-1"/>
    <s v="FVE"/>
    <s v="14-01-2026"/>
    <s v="14-01-2026 11:52:24"/>
    <s v="900800595"/>
    <s v="Provexpress SAS"/>
    <s v="900682841"/>
    <x v="3"/>
    <n v="479432.7"/>
    <n v="0"/>
    <n v="0"/>
    <n v="3002762.7"/>
    <s v="Aprobado con notificación"/>
    <s v="Emitido"/>
    <x v="1"/>
    <x v="0"/>
    <x v="0"/>
    <x v="0"/>
    <x v="1"/>
    <x v="0"/>
    <m/>
  </r>
  <r>
    <s v="Factura electrónica"/>
    <s v="32ba9cc493b380a8a8e05d8e683e786990f2215f4d0ea1abb63cfea5603467b10709b1ac2996296f5a7b6552692080e6"/>
    <x v="392"/>
    <n v="-1"/>
    <s v="FVE"/>
    <s v="14-01-2026"/>
    <s v="14-01-2026 11:52:29"/>
    <s v="900800595"/>
    <s v="Provexpress SAS"/>
    <s v="800130907"/>
    <x v="116"/>
    <n v="131774.5"/>
    <n v="0"/>
    <n v="0"/>
    <n v="825324.5"/>
    <s v="Aprobado con notificación"/>
    <s v="Emitido"/>
    <x v="0"/>
    <x v="0"/>
    <x v="0"/>
    <x v="1"/>
    <x v="1"/>
    <x v="0"/>
    <m/>
  </r>
  <r>
    <s v="Factura electrónica"/>
    <s v="c3814ce9720e7f47737d3ba3e9f4bc1e6ef2346d79778f5fbda0b8a00b8403989562527da2a93b90e2d5d6f49134eba6"/>
    <x v="393"/>
    <n v="-1"/>
    <s v="FVE"/>
    <s v="14-01-2026"/>
    <s v="14-01-2026 11:52:38"/>
    <s v="900800595"/>
    <s v="Provexpress SAS"/>
    <s v="899999123"/>
    <x v="241"/>
    <n v="224853.6"/>
    <n v="0"/>
    <n v="0"/>
    <n v="1408293.6"/>
    <s v="Aprobado con notificación"/>
    <s v="Emitido"/>
    <x v="0"/>
    <x v="0"/>
    <x v="0"/>
    <x v="0"/>
    <x v="1"/>
    <x v="1"/>
    <s v="PAGA EN SISTEMA 16/02/2026"/>
  </r>
  <r>
    <s v="Factura electrónica"/>
    <s v="63e0a85e4f1313b74300c0a6c24732c36028930947819eca4dd3b8f6a97c6e68860efb5381960763ecc4afc886418700"/>
    <x v="394"/>
    <n v="-1"/>
    <s v="FVE"/>
    <s v="14-01-2026"/>
    <s v="14-01-2026 11:52:43"/>
    <s v="900800595"/>
    <s v="Provexpress SAS"/>
    <s v="830047411"/>
    <x v="242"/>
    <n v="11887.35"/>
    <n v="0"/>
    <n v="0"/>
    <n v="74452.350000000006"/>
    <s v="Aprobado con notificación"/>
    <s v="Emitido"/>
    <x v="0"/>
    <x v="0"/>
    <x v="0"/>
    <x v="0"/>
    <x v="1"/>
    <x v="1"/>
    <s v="PAGA EN EL SISTEMA 17/02/2026"/>
  </r>
  <r>
    <s v="Factura electrónica"/>
    <s v="9f5f9156984343361374306b3bb39e97eefb124f1968ee9f515d30834de9b07c9fd14b66697fee40a5cb24e7a104dbe4"/>
    <x v="395"/>
    <n v="-1"/>
    <s v="FVE"/>
    <s v="14-01-2026"/>
    <s v="14-01-2026 11:52:47"/>
    <s v="900800595"/>
    <s v="Provexpress SAS"/>
    <s v="860510863"/>
    <x v="243"/>
    <n v="21622.080000000002"/>
    <n v="0"/>
    <n v="0"/>
    <n v="135422.16"/>
    <s v="Aprobado con notificación"/>
    <s v="Emitido"/>
    <x v="0"/>
    <x v="0"/>
    <x v="0"/>
    <x v="0"/>
    <x v="1"/>
    <x v="1"/>
    <s v="PAGA EN EL SISTEMA 17/02/2026"/>
  </r>
  <r>
    <s v="Factura electrónica"/>
    <s v="a9844f0d5779d6a2b9b08e63a52204dbdfee57b87fa5cfdd54b96caef3a68e9608f11f0fcb1b61be6958a59d406c4544"/>
    <x v="396"/>
    <n v="-1"/>
    <s v="FVE"/>
    <s v="14-01-2026"/>
    <s v="14-01-2026 12:08:00"/>
    <s v="900800595"/>
    <s v="Provexpress SAS"/>
    <s v="800245067"/>
    <x v="244"/>
    <n v="373204.65"/>
    <n v="0"/>
    <n v="0"/>
    <n v="2337439.65"/>
    <s v="Aprobado con notificación"/>
    <s v="Emitido"/>
    <x v="0"/>
    <x v="0"/>
    <x v="1"/>
    <x v="0"/>
    <x v="1"/>
    <x v="0"/>
    <m/>
  </r>
  <r>
    <s v="Factura electrónica"/>
    <s v="e298371b17313762e382899ed673fe7a246edb50e58e87431f83a2365000e4405daf22dce1643bfb8766c36d0e7775f9"/>
    <x v="397"/>
    <n v="-1"/>
    <s v="FVE"/>
    <s v="14-01-2026"/>
    <s v="14-01-2026 12:08:04"/>
    <s v="900800595"/>
    <s v="Provexpress SAS"/>
    <s v="900060799"/>
    <x v="245"/>
    <n v="478907.73"/>
    <n v="0"/>
    <n v="0"/>
    <n v="3120890.73"/>
    <s v="Aprobado con notificación"/>
    <s v="Emitido"/>
    <x v="0"/>
    <x v="0"/>
    <x v="0"/>
    <x v="0"/>
    <x v="0"/>
    <x v="0"/>
    <m/>
  </r>
  <r>
    <s v="Factura electrónica"/>
    <s v="0c26db48ea70629954a890ae7e21b3ae3c27ca94b25a110715f22b99ea4f88a6d7833711dd0712a2ba9b07bffa1dc4f2"/>
    <x v="398"/>
    <n v="-1"/>
    <s v="FVE"/>
    <s v="14-01-2026"/>
    <s v="14-01-2026 12:08:09"/>
    <s v="900800595"/>
    <s v="Provexpress SAS"/>
    <s v="860503634"/>
    <x v="246"/>
    <n v="1055555.6399999999"/>
    <n v="0"/>
    <n v="0"/>
    <n v="6611111.6399999997"/>
    <s v="Aprobado con notificación"/>
    <s v="Emitido"/>
    <x v="0"/>
    <x v="0"/>
    <x v="0"/>
    <x v="0"/>
    <x v="1"/>
    <x v="1"/>
    <s v="FACTURA PAGA EN EL SISTEMA 30/01/2026"/>
  </r>
  <r>
    <s v="Factura electrónica"/>
    <s v="75c728eb8937d3276b74b9701eb48190019f239ffb4e354b2e538bcdc8656a53491337a85ba8f45f11f54ac356c2a596"/>
    <x v="399"/>
    <n v="-1"/>
    <s v="FVE"/>
    <s v="14-01-2026"/>
    <s v="14-01-2026 12:08:13"/>
    <s v="900800595"/>
    <s v="Provexpress SAS"/>
    <s v="860503634"/>
    <x v="246"/>
    <n v="1055555.6399999999"/>
    <n v="0"/>
    <n v="0"/>
    <n v="6611111.6399999997"/>
    <s v="Aprobado con notificación"/>
    <s v="Emitido"/>
    <x v="0"/>
    <x v="0"/>
    <x v="0"/>
    <x v="0"/>
    <x v="1"/>
    <x v="1"/>
    <s v="FACTURA PAGA EN EL SISTEMA 30/01/2026"/>
  </r>
  <r>
    <s v="Factura electrónica"/>
    <s v="e1025845269881c142e895e435fd698bc75420ca025ed0531f90a4466330e2b8c9c87c05077d7f6083d9766278a62cf2"/>
    <x v="400"/>
    <n v="-1"/>
    <s v="FVE"/>
    <s v="14-01-2026"/>
    <s v="14-01-2026 12:23:24"/>
    <s v="900800595"/>
    <s v="Provexpress SAS"/>
    <s v="900132714"/>
    <x v="224"/>
    <n v="64615.95"/>
    <n v="0"/>
    <n v="0"/>
    <n v="404699.97"/>
    <s v="Aprobado con notificación"/>
    <s v="Emitido"/>
    <x v="0"/>
    <x v="0"/>
    <x v="0"/>
    <x v="0"/>
    <x v="0"/>
    <x v="0"/>
    <m/>
  </r>
  <r>
    <s v="Factura electrónica"/>
    <s v="2745ab75c5aa880d3b2eea2e5b76604269bf2d7016aa25c28a9723546f17566a6970c950eebdfd581e0780a43867742d"/>
    <x v="401"/>
    <n v="-1"/>
    <s v="FVE"/>
    <s v="14-01-2026"/>
    <s v="14-01-2026 12:38:35"/>
    <s v="900800595"/>
    <s v="Provexpress SAS"/>
    <s v="900396967"/>
    <x v="87"/>
    <n v="583300"/>
    <n v="0"/>
    <n v="0"/>
    <n v="3653300"/>
    <s v="Aprobado con notificación"/>
    <s v="Emitido"/>
    <x v="0"/>
    <x v="0"/>
    <x v="0"/>
    <x v="1"/>
    <x v="1"/>
    <x v="0"/>
    <m/>
  </r>
  <r>
    <s v="Factura electrónica"/>
    <s v="77e5b4d77a2830330692bb1f1c7590a98d0d9de97fc7412226c362922101aa3f25f133c4e9a9d0a5332e39f89d5af51b"/>
    <x v="402"/>
    <n v="-1"/>
    <s v="FVE"/>
    <s v="14-01-2026"/>
    <s v="14-01-2026 12:38:39"/>
    <s v="900800595"/>
    <s v="Provexpress SAS"/>
    <s v="800077635"/>
    <x v="247"/>
    <n v="0"/>
    <n v="0"/>
    <n v="0"/>
    <n v="9672000"/>
    <s v="Aprobado con notificación"/>
    <s v="Emitido"/>
    <x v="0"/>
    <x v="0"/>
    <x v="1"/>
    <x v="0"/>
    <x v="1"/>
    <x v="0"/>
    <m/>
  </r>
  <r>
    <s v="Factura electrónica"/>
    <s v="06c32674a933aecd152a86e0cc0c27173e32a71735cd8bc4731ff0fa052731129f616ee499eba4c1b72ba472011f92ce"/>
    <x v="403"/>
    <n v="-1"/>
    <s v="FVE"/>
    <s v="14-01-2026"/>
    <s v="14-01-2026 12:38:44"/>
    <s v="900800595"/>
    <s v="Provexpress SAS"/>
    <s v="890903938"/>
    <x v="248"/>
    <n v="4604460"/>
    <n v="0"/>
    <n v="0"/>
    <n v="28838460"/>
    <s v="Aprobado con notificación"/>
    <s v="Emitido"/>
    <x v="0"/>
    <x v="0"/>
    <x v="0"/>
    <x v="0"/>
    <x v="1"/>
    <x v="1"/>
    <s v="FACTURA PAGA EN EL SISTEMA 23/02/2026"/>
  </r>
  <r>
    <s v="Factura electrónica"/>
    <s v="0bc431259c5165a598bf560976786eabac3e194c43cebe141a65bbdbcd365c320af191d69cb426dd74ac331ffef6c00e"/>
    <x v="404"/>
    <n v="-1"/>
    <s v="FVE"/>
    <s v="14-01-2026"/>
    <s v="14-01-2026 12:38:48"/>
    <s v="900800595"/>
    <s v="Provexpress SAS"/>
    <s v="860037707"/>
    <x v="249"/>
    <n v="388751.02"/>
    <n v="0"/>
    <n v="0"/>
    <n v="2434809.02"/>
    <s v="Aprobado con notificación"/>
    <s v="Emitido"/>
    <x v="0"/>
    <x v="0"/>
    <x v="0"/>
    <x v="0"/>
    <x v="1"/>
    <x v="1"/>
    <s v="FACTURA PAGA EN EL SISTEMA 12/02/2026"/>
  </r>
  <r>
    <s v="Factura electrónica"/>
    <s v="074505f8a2bf2e77aca9cf7b37c5d5dbb34d0c238f0d7d0953070f7dab5f8fef3134659412d17c3572095a53272a0003"/>
    <x v="405"/>
    <n v="-1"/>
    <s v="FVE"/>
    <s v="14-01-2026"/>
    <s v="14-01-2026 12:38:55"/>
    <s v="900800595"/>
    <s v="Provexpress SAS"/>
    <s v="860503634"/>
    <x v="246"/>
    <n v="954357.46"/>
    <n v="0"/>
    <n v="0"/>
    <n v="5977291.46"/>
    <s v="Aprobado con notificación"/>
    <s v="Emitido"/>
    <x v="0"/>
    <x v="0"/>
    <x v="0"/>
    <x v="0"/>
    <x v="1"/>
    <x v="1"/>
    <s v="FACTURA PAGA EN EL SISTEMA 30/01/2026"/>
  </r>
  <r>
    <s v="Factura electrónica"/>
    <s v="68822b0041e3002d123bb152e1dbf62051ac1b558b1638336e1729168f63e82dd3f8c2590f864e9edb2ebac910108e5d"/>
    <x v="406"/>
    <n v="-1"/>
    <s v="FVE"/>
    <s v="14-01-2026"/>
    <s v="14-01-2026 12:54:06"/>
    <s v="900800595"/>
    <s v="Provexpress SAS"/>
    <s v="800005255"/>
    <x v="250"/>
    <n v="58140"/>
    <n v="0"/>
    <n v="0"/>
    <n v="364140"/>
    <s v="Aprobado con notificación"/>
    <s v="Emitido"/>
    <x v="0"/>
    <x v="0"/>
    <x v="0"/>
    <x v="0"/>
    <x v="1"/>
    <x v="1"/>
    <s v="PAGA EN SISTEMA 16/02/2026"/>
  </r>
  <r>
    <s v="Factura electrónica"/>
    <s v="2de9121a6b951b55eb2c1a1c0ef82004f48ad7df994cfa748085993b35ab203a37f36722465dfc8ea74d4da44f05b779"/>
    <x v="407"/>
    <n v="-1"/>
    <s v="FVE"/>
    <s v="14-01-2026"/>
    <s v="14-01-2026 12:54:10"/>
    <s v="900800595"/>
    <s v="Provexpress SAS"/>
    <s v="860013570"/>
    <x v="24"/>
    <n v="3745407.11"/>
    <n v="0"/>
    <n v="0"/>
    <n v="23458076.109999999"/>
    <s v="Aprobado con notificación"/>
    <s v="Emitido"/>
    <x v="0"/>
    <x v="0"/>
    <x v="1"/>
    <x v="0"/>
    <x v="1"/>
    <x v="0"/>
    <m/>
  </r>
  <r>
    <s v="Factura electrónica"/>
    <s v="9c15d29a06fd89389ee7f729af2ae3d6e40365b8a4ab021eb36d49255e2a4ec6e7921044cf7598997e2b447584affe48"/>
    <x v="408"/>
    <n v="-1"/>
    <s v="FVE"/>
    <s v="14-01-2026"/>
    <s v="14-01-2026 12:54:16"/>
    <s v="900800595"/>
    <s v="Provexpress SAS"/>
    <s v="860039333"/>
    <x v="251"/>
    <n v="173375"/>
    <n v="0"/>
    <n v="0"/>
    <n v="1085875"/>
    <s v="Aprobado con notificación"/>
    <s v="Emitido"/>
    <x v="0"/>
    <x v="0"/>
    <x v="0"/>
    <x v="0"/>
    <x v="1"/>
    <x v="1"/>
    <s v="PAGA EN SISTEMA 23/02/2026"/>
  </r>
  <r>
    <s v="Factura electrónica"/>
    <s v="121f23ea8e293cb6b2904ca4beb016cac733a4ebf54680ec89913aea366a2bed3924415bcdd88ac7005f83f5467f7855"/>
    <x v="409"/>
    <n v="-1"/>
    <s v="FVE"/>
    <s v="14-01-2026"/>
    <s v="14-01-2026 14:40:06"/>
    <s v="900800595"/>
    <s v="Provexpress SAS"/>
    <s v="860522056"/>
    <x v="74"/>
    <n v="17153.2"/>
    <n v="0"/>
    <n v="0"/>
    <n v="107433.2"/>
    <s v="Aprobado con notificación"/>
    <s v="Emitido"/>
    <x v="0"/>
    <x v="0"/>
    <x v="1"/>
    <x v="0"/>
    <x v="1"/>
    <x v="0"/>
    <m/>
  </r>
  <r>
    <s v="Factura electrónica"/>
    <s v="c483f0f36ec98af2255972df90e8f50b67b62f74772b0f208dfe8915a96d433476ad04da6f782040b2a788777e7f7ee3"/>
    <x v="410"/>
    <n v="-1"/>
    <s v="FVE"/>
    <s v="14-01-2026"/>
    <s v="14-01-2026 14:55:17"/>
    <s v="900800595"/>
    <s v="Provexpress SAS"/>
    <s v="900270701"/>
    <x v="252"/>
    <n v="263251.78000000003"/>
    <n v="0"/>
    <n v="0"/>
    <n v="2015793.78"/>
    <s v="Aprobado con notificación"/>
    <s v="Emitido"/>
    <x v="0"/>
    <x v="0"/>
    <x v="1"/>
    <x v="0"/>
    <x v="1"/>
    <x v="0"/>
    <m/>
  </r>
  <r>
    <s v="Factura electrónica"/>
    <s v="b5aa72ade11732251bcfb26211b236fb45c25a6c010ecaa7b46158ad913d2d98b2a345ea7aa2a901a709e5a6a1293fd8"/>
    <x v="411"/>
    <n v="-1"/>
    <s v="FVE"/>
    <s v="14-01-2026"/>
    <s v="14-01-2026 15:11:12"/>
    <s v="900800595"/>
    <s v="Provexpress SAS"/>
    <s v="900216225"/>
    <x v="253"/>
    <n v="3523170"/>
    <n v="0"/>
    <n v="0"/>
    <n v="22066170"/>
    <s v="Aprobado con notificación"/>
    <s v="Emitido"/>
    <x v="0"/>
    <x v="0"/>
    <x v="0"/>
    <x v="0"/>
    <x v="1"/>
    <x v="1"/>
    <s v="PAGA EN EL SISTEMA2/03/2026"/>
  </r>
  <r>
    <s v="Factura electrónica"/>
    <s v="8cb3d2071c8fe73177b7e66b92cc19fbdfef371e2f04d3f60fd2cbb592a16ace5d8866517ea1c4429845097468be144e"/>
    <x v="412"/>
    <n v="-1"/>
    <s v="FVE"/>
    <s v="14-01-2026"/>
    <s v="14-01-2026 15:25:39"/>
    <s v="900800595"/>
    <s v="Provexpress SAS"/>
    <s v="860006754"/>
    <x v="254"/>
    <n v="231496"/>
    <n v="0"/>
    <n v="0"/>
    <n v="1449896"/>
    <s v="Aprobado con notificación"/>
    <s v="Emitido"/>
    <x v="0"/>
    <x v="0"/>
    <x v="0"/>
    <x v="0"/>
    <x v="1"/>
    <x v="1"/>
    <s v="FACTURA PAGA EN EL SISTEMA 9/02/2026"/>
  </r>
  <r>
    <s v="Factura electrónica"/>
    <s v="11055f2a06e82f1334f53e79c326656aecaac57f69fc222c7e23f7b89d03b8ded40eb60e5a111428e38b75ebdfc3d31d"/>
    <x v="413"/>
    <n v="-1"/>
    <s v="FVE"/>
    <s v="14-01-2026"/>
    <s v="14-01-2026 15:57:14"/>
    <s v="900800595"/>
    <s v="Provexpress SAS"/>
    <s v="860015905"/>
    <x v="255"/>
    <n v="2119738.7999999998"/>
    <n v="0"/>
    <n v="0"/>
    <n v="13276258.800000001"/>
    <s v="Aprobado con notificación"/>
    <s v="Emitido"/>
    <x v="0"/>
    <x v="0"/>
    <x v="0"/>
    <x v="0"/>
    <x v="0"/>
    <x v="0"/>
    <m/>
  </r>
  <r>
    <s v="Factura electrónica"/>
    <s v="ecae7326189656fad910c12951fdd2e505f196a5d1a656b60066ef46fad2a464371868fa6052be50e874798d4f31c845"/>
    <x v="414"/>
    <n v="-1"/>
    <s v="FVE"/>
    <s v="14-01-2026"/>
    <s v="14-01-2026 15:57:12"/>
    <s v="900800595"/>
    <s v="Provexpress SAS"/>
    <s v="890300918"/>
    <x v="37"/>
    <n v="8797190"/>
    <n v="0"/>
    <n v="0"/>
    <n v="55098190"/>
    <s v="Aprobado con notificación"/>
    <s v="Emitido"/>
    <x v="0"/>
    <x v="0"/>
    <x v="1"/>
    <x v="0"/>
    <x v="1"/>
    <x v="0"/>
    <m/>
  </r>
  <r>
    <s v="Factura electrónica"/>
    <s v="cf191135331243d1ba314a9c02a2428716f7962c5b03599c240a88f4030fc2ac334adc21f6a4cfe164378484be13df32"/>
    <x v="415"/>
    <n v="-1"/>
    <s v="FVE"/>
    <s v="15-01-2026"/>
    <s v="15-01-2026 07:32:47"/>
    <s v="900800595"/>
    <s v="Provexpress SAS"/>
    <s v="830128434"/>
    <x v="256"/>
    <n v="2717000"/>
    <n v="0"/>
    <n v="0"/>
    <n v="17017000"/>
    <s v="Aprobado con notificación"/>
    <s v="Emitido"/>
    <x v="0"/>
    <x v="0"/>
    <x v="0"/>
    <x v="0"/>
    <x v="1"/>
    <x v="1"/>
    <s v="FACTURA PAGA EN EL SISTEMA 13/02/2026"/>
  </r>
  <r>
    <s v="Factura electrónica"/>
    <s v="57358facde294e2cdc6ecf4a9f5195d576909e0c850ea59391636d51a3355edcc7d37c248b686886af9b6e4b80211445"/>
    <x v="416"/>
    <n v="-1"/>
    <s v="FVE"/>
    <s v="15-01-2026"/>
    <s v="15-01-2026 07:32:52"/>
    <s v="900800595"/>
    <s v="Provexpress SAS"/>
    <s v="830013774"/>
    <x v="195"/>
    <n v="205200"/>
    <n v="0"/>
    <n v="0"/>
    <n v="1285200"/>
    <s v="Aprobado con notificación"/>
    <s v="Emitido"/>
    <x v="0"/>
    <x v="0"/>
    <x v="1"/>
    <x v="0"/>
    <x v="1"/>
    <x v="0"/>
    <m/>
  </r>
  <r>
    <s v="Factura electrónica"/>
    <s v="71cbfeebecb2a3b94e9bdf72c7d094241e4586d1b4498e0ce7bc7315ceaaa4930a513362e09be9bc8e81cc8e7f2dbb84"/>
    <x v="417"/>
    <n v="-1"/>
    <s v="FVE"/>
    <s v="15-01-2026"/>
    <s v="15-01-2026 07:32:56"/>
    <s v="900800595"/>
    <s v="Provexpress SAS"/>
    <s v="900937674"/>
    <x v="257"/>
    <n v="759234.87"/>
    <n v="0"/>
    <n v="0"/>
    <n v="6527047.8700000001"/>
    <s v="Aprobado con notificación"/>
    <s v="Emitido"/>
    <x v="0"/>
    <x v="0"/>
    <x v="0"/>
    <x v="0"/>
    <x v="1"/>
    <x v="1"/>
    <s v="PAGA EN SISTEMA 20/02/2026"/>
  </r>
  <r>
    <s v="Factura electrónica"/>
    <s v="b3ab7b955ba97372a7e86722a7458b20213aeb4dc9ea9dec573aedcebcf6687e41633da121d1ce7b39d4a5c328a6e148"/>
    <x v="418"/>
    <n v="-1"/>
    <s v="FVE"/>
    <s v="15-01-2026"/>
    <s v="15-01-2026 07:33:03"/>
    <s v="900800595"/>
    <s v="Provexpress SAS"/>
    <s v="900937674"/>
    <x v="257"/>
    <n v="873584.66"/>
    <n v="0"/>
    <n v="0"/>
    <n v="5471398.6600000001"/>
    <s v="Aprobado con notificación"/>
    <s v="Emitido"/>
    <x v="0"/>
    <x v="0"/>
    <x v="0"/>
    <x v="0"/>
    <x v="1"/>
    <x v="1"/>
    <s v="PAGA EN SISTEMA 20/02/2026"/>
  </r>
  <r>
    <s v="Factura electrónica"/>
    <s v="a5655fc90c081e3170aa6ba7b1591be0f22924b13e165ad0186ecf0490921da8eba9684ce96a1db96dcc9b5f2995b5db"/>
    <x v="419"/>
    <n v="-1"/>
    <s v="FVE"/>
    <s v="15-01-2026"/>
    <s v="15-01-2026 07:33:06"/>
    <s v="900800595"/>
    <s v="Provexpress SAS"/>
    <s v="900937674"/>
    <x v="257"/>
    <n v="3266210.58"/>
    <n v="0"/>
    <n v="0"/>
    <n v="20495312.579999998"/>
    <s v="Aprobado con notificación"/>
    <s v="Emitido"/>
    <x v="0"/>
    <x v="0"/>
    <x v="0"/>
    <x v="0"/>
    <x v="1"/>
    <x v="0"/>
    <m/>
  </r>
  <r>
    <s v="Factura electrónica"/>
    <s v="75cfd8f3444ddf6ef6bd562c0ba16129431cf74f7ad18d1c0dc4f5eedc1486537f6a405d9c26e5a7caa08e7d861a05e6"/>
    <x v="420"/>
    <n v="-1"/>
    <s v="FVE"/>
    <s v="15-01-2026"/>
    <s v="15-01-2026 07:48:18"/>
    <s v="900800595"/>
    <s v="Provexpress SAS"/>
    <s v="900200435"/>
    <x v="258"/>
    <n v="1209722.5900000001"/>
    <n v="0"/>
    <n v="0"/>
    <n v="7585803.5899999999"/>
    <s v="Aprobado con notificación"/>
    <s v="Emitido"/>
    <x v="0"/>
    <x v="0"/>
    <x v="0"/>
    <x v="0"/>
    <x v="1"/>
    <x v="1"/>
    <s v="PAGA EN SISTEMA 9/02/2026"/>
  </r>
  <r>
    <s v="Factura electrónica"/>
    <s v="f8df762f65598b2cc4fb16822754fcc3c3b094bfba1aa22a090ba37e7e211409c55a8237e3689d27660806c6c58be187"/>
    <x v="421"/>
    <n v="-1"/>
    <s v="FVE"/>
    <s v="15-01-2026"/>
    <s v="15-01-2026 07:48:23"/>
    <s v="900800595"/>
    <s v="Provexpress SAS"/>
    <s v="860002503"/>
    <x v="259"/>
    <n v="815765.95"/>
    <n v="0"/>
    <n v="0"/>
    <n v="5109270.95"/>
    <s v="Aprobado con notificación"/>
    <s v="Emitido"/>
    <x v="1"/>
    <x v="0"/>
    <x v="0"/>
    <x v="0"/>
    <x v="1"/>
    <x v="0"/>
    <m/>
  </r>
  <r>
    <s v="Factura electrónica"/>
    <s v="7689c4bd69b9394bb9b8659db3f5e9c1b4d75dc3f4467cbfc5db630de4dce941ddfd60cf6107a2e59bc9cbb0a9fa3de5"/>
    <x v="422"/>
    <n v="-1"/>
    <s v="FVE"/>
    <s v="15-01-2026"/>
    <s v="15-01-2026 07:48:27"/>
    <s v="900800595"/>
    <s v="Provexpress SAS"/>
    <s v="860030839"/>
    <x v="260"/>
    <n v="66393.600000000006"/>
    <n v="0"/>
    <n v="0"/>
    <n v="415833.59999999998"/>
    <s v="Aprobado con notificación"/>
    <s v="Emitido"/>
    <x v="0"/>
    <x v="0"/>
    <x v="0"/>
    <x v="0"/>
    <x v="1"/>
    <x v="1"/>
    <s v="FACTURA PAGA EN EL SISTEMA 18/02/2026"/>
  </r>
  <r>
    <s v="Factura electrónica"/>
    <s v="32cb66fbfdb3beaefcae08d5425684e51616ebac3d27b00fef653c4f3fd7bf1bf7eb9efbb9aedfe2aa9f13ed62f55574"/>
    <x v="423"/>
    <n v="-1"/>
    <s v="FVE"/>
    <s v="15-01-2026"/>
    <s v="15-01-2026 08:03:38"/>
    <s v="900800595"/>
    <s v="Provexpress SAS"/>
    <s v="860030839"/>
    <x v="260"/>
    <n v="98898.8"/>
    <n v="0"/>
    <n v="0"/>
    <n v="619418.80000000005"/>
    <s v="Aprobado con notificación"/>
    <s v="Emitido"/>
    <x v="0"/>
    <x v="0"/>
    <x v="0"/>
    <x v="0"/>
    <x v="1"/>
    <x v="1"/>
    <s v="FACTURA PAGA EN EL SISTEMA 18/02/2026"/>
  </r>
  <r>
    <s v="Factura electrónica"/>
    <s v="976acae892ec319fc943f683cf69b2b0384af987b05edc6502f1af0f8043280347757f99e641f9b93e99270ffc9a7cb5"/>
    <x v="424"/>
    <n v="-1"/>
    <s v="FVE"/>
    <s v="15-01-2026"/>
    <s v="15-01-2026 08:03:43"/>
    <s v="900800595"/>
    <s v="Provexpress SAS"/>
    <s v="860403251"/>
    <x v="261"/>
    <n v="182134"/>
    <n v="0"/>
    <n v="0"/>
    <n v="1140734"/>
    <s v="Aprobado con notificación"/>
    <s v="Emitido"/>
    <x v="0"/>
    <x v="0"/>
    <x v="0"/>
    <x v="0"/>
    <x v="1"/>
    <x v="1"/>
    <s v="FACTURA PAGA EN EL SISTEMA 16/02/2026"/>
  </r>
  <r>
    <s v="Factura electrónica"/>
    <s v="cf4e3ad1960f49fdfd16a5f146f5d12cef32a93815ac5d0008427d62048191abad657095d9a5883bdf7c6fa9543f2007"/>
    <x v="425"/>
    <n v="-1"/>
    <s v="FVE"/>
    <s v="15-01-2026"/>
    <s v="15-01-2026 08:04:46"/>
    <s v="900800595"/>
    <s v="Provexpress SAS"/>
    <s v="860403251"/>
    <x v="261"/>
    <n v="8128.2"/>
    <n v="0"/>
    <n v="0"/>
    <n v="50908.2"/>
    <s v="Aprobado con notificación"/>
    <s v="Emitido"/>
    <x v="0"/>
    <x v="0"/>
    <x v="0"/>
    <x v="0"/>
    <x v="1"/>
    <x v="1"/>
    <s v="FACTURA PAGA EN EL SISTEMA 16/02/2026"/>
  </r>
  <r>
    <s v="Factura electrónica"/>
    <s v="b392f37ca9d8680c8ff4c655c09e77e45048e1123e3461e14ccb7ce114233c7f5951c49d5ccf3871c3add1184d2bcfc5"/>
    <x v="426"/>
    <n v="-1"/>
    <s v="FVE"/>
    <s v="15-01-2026"/>
    <s v="15-01-2026 08:04:52"/>
    <s v="900800595"/>
    <s v="Provexpress SAS"/>
    <s v="860403251"/>
    <x v="261"/>
    <n v="40049.56"/>
    <n v="0"/>
    <n v="0"/>
    <n v="257187.56"/>
    <s v="Aprobado con notificación"/>
    <s v="Emitido"/>
    <x v="0"/>
    <x v="0"/>
    <x v="0"/>
    <x v="0"/>
    <x v="1"/>
    <x v="1"/>
    <s v="FACTURA PAGA EN EL SISTEMA 16/02/2026"/>
  </r>
  <r>
    <s v="Factura electrónica"/>
    <s v="cf57c32a11cde8ccd52179d45d101b1a424444e288ce7d1365fc91634ccda627cb12fe94322425e1ae5b80a53b721608"/>
    <x v="427"/>
    <n v="-1"/>
    <s v="FVE"/>
    <s v="15-01-2026"/>
    <s v="15-01-2026 08:04:52"/>
    <s v="900800595"/>
    <s v="Provexpress SAS"/>
    <s v="860403251"/>
    <x v="261"/>
    <n v="92396.56"/>
    <n v="0"/>
    <n v="0"/>
    <n v="956710.56"/>
    <s v="Aprobado con notificación"/>
    <s v="Emitido"/>
    <x v="0"/>
    <x v="0"/>
    <x v="0"/>
    <x v="0"/>
    <x v="1"/>
    <x v="1"/>
    <s v="FACTURA PAGA EN EL SISTEMA 16/02/2026"/>
  </r>
  <r>
    <s v="Factura electrónica"/>
    <s v="8b7297627d0c97e54ebbc7213b657be4d1f6f26f905909f1e7f5d34c0d7cb969baea9cb61eef93d8e15c2a0914b9700f"/>
    <x v="428"/>
    <n v="-1"/>
    <s v="FVE"/>
    <s v="15-01-2026"/>
    <s v="15-01-2026 08:04:52"/>
    <s v="900800595"/>
    <s v="Provexpress SAS"/>
    <s v="900518732"/>
    <x v="262"/>
    <n v="564307.6"/>
    <n v="0"/>
    <n v="0"/>
    <n v="3534347.6"/>
    <s v="Aprobado con notificación"/>
    <s v="Emitido"/>
    <x v="0"/>
    <x v="0"/>
    <x v="0"/>
    <x v="0"/>
    <x v="0"/>
    <x v="0"/>
    <m/>
  </r>
  <r>
    <s v="Factura electrónica"/>
    <s v="d767245130f1f84d7162ba9de2fce99692379f36896d88464c474954fb854c5b6bdb2a1f44efd0b753d830a7424e8798"/>
    <x v="429"/>
    <n v="-1"/>
    <s v="FVE"/>
    <s v="15-01-2026"/>
    <s v="15-01-2026 08:04:48"/>
    <s v="900800595"/>
    <s v="Provexpress SAS"/>
    <s v="860002180"/>
    <x v="263"/>
    <n v="538211.48"/>
    <n v="0"/>
    <n v="0"/>
    <n v="3370903.48"/>
    <s v="Aprobado con notificación"/>
    <s v="Emitido"/>
    <x v="0"/>
    <x v="0"/>
    <x v="0"/>
    <x v="0"/>
    <x v="1"/>
    <x v="1"/>
    <s v="FACTURA PAGA EN EL SISTEMA 16/02/2026"/>
  </r>
  <r>
    <s v="Factura electrónica"/>
    <s v="437ef74c290a93305ebf8a8a5d9c7fc4a2b448c14a53760f0d4e3f6cbf10c646d66b421145db3dceaf74de8b81ec857a"/>
    <x v="430"/>
    <n v="-1"/>
    <s v="FVE"/>
    <s v="15-01-2026"/>
    <s v="15-01-2026 08:20:10"/>
    <s v="900800595"/>
    <s v="Provexpress SAS"/>
    <s v="860513247"/>
    <x v="264"/>
    <n v="295752.48"/>
    <n v="0"/>
    <n v="0"/>
    <n v="1852344.48"/>
    <s v="Aprobado con notificación"/>
    <s v="Emitido"/>
    <x v="1"/>
    <x v="0"/>
    <x v="0"/>
    <x v="0"/>
    <x v="1"/>
    <x v="0"/>
    <m/>
  </r>
  <r>
    <s v="Factura electrónica"/>
    <s v="28d0cbde9d4c6ce5c79425a935f6ddeb6eeb56480693bc10259708dcf30151f8c3c1dbcdc3c06ae62769173f4e9d13b6"/>
    <x v="431"/>
    <n v="-1"/>
    <s v="FVE"/>
    <s v="15-01-2026"/>
    <s v="15-01-2026 08:20:12"/>
    <s v="900800595"/>
    <s v="Provexpress SAS"/>
    <s v="8102386"/>
    <x v="265"/>
    <n v="13965"/>
    <n v="0"/>
    <n v="0"/>
    <n v="87465"/>
    <s v="Aprobado con notificación"/>
    <s v="Emitido"/>
    <x v="0"/>
    <x v="0"/>
    <x v="0"/>
    <x v="0"/>
    <x v="1"/>
    <x v="1"/>
    <s v="FACTURA PAGA EN EL SISTEMA 30/01/2026"/>
  </r>
  <r>
    <s v="Factura electrónica"/>
    <s v="dc913f9d142067a18517ed2b3b8efffb7037a118d8bfa687dcf83ec92c393b0985c712222ccee9c73a5f7f0f935d6a75"/>
    <x v="432"/>
    <n v="-1"/>
    <s v="FVE"/>
    <s v="15-01-2026"/>
    <s v="15-01-2026 08:20:15"/>
    <s v="900800595"/>
    <s v="Provexpress SAS"/>
    <s v="900185315"/>
    <x v="266"/>
    <n v="114494"/>
    <n v="0"/>
    <n v="0"/>
    <n v="717094"/>
    <s v="Aprobado con notificación"/>
    <s v="Emitido"/>
    <x v="0"/>
    <x v="0"/>
    <x v="1"/>
    <x v="0"/>
    <x v="1"/>
    <x v="0"/>
    <m/>
  </r>
  <r>
    <s v="Factura electrónica"/>
    <s v="f40d7c77c53fa0804f20564c828240cc473528a35d680e53c771eb18dc4cf7ff67724e826c0dcbdea23035e074533150"/>
    <x v="433"/>
    <n v="-1"/>
    <s v="FVE"/>
    <s v="15-01-2026"/>
    <s v="15-01-2026 08:21:33"/>
    <s v="900800595"/>
    <s v="Provexpress SAS"/>
    <s v="800013536"/>
    <x v="267"/>
    <n v="48450"/>
    <n v="0"/>
    <n v="0"/>
    <n v="303450"/>
    <s v="Aprobado con notificación"/>
    <s v="Emitido"/>
    <x v="0"/>
    <x v="0"/>
    <x v="0"/>
    <x v="0"/>
    <x v="1"/>
    <x v="1"/>
    <s v="FACTURA PAGA EN EL SISTEMA 23/01/2026"/>
  </r>
  <r>
    <s v="Factura electrónica"/>
    <s v="30aadb9d1605f8d4fa067430560257879050eb58892822fcb1c30f0de95030c408c812964b3e1ae744f0aa38b320a6a4"/>
    <x v="434"/>
    <n v="-1"/>
    <s v="FVE"/>
    <s v="15-01-2026"/>
    <s v="15-01-2026 08:20:15"/>
    <s v="900800595"/>
    <s v="Provexpress SAS"/>
    <s v="860524513"/>
    <x v="268"/>
    <n v="67065"/>
    <n v="0"/>
    <n v="0"/>
    <n v="1408365"/>
    <s v="Aprobado con notificación"/>
    <s v="Emitido"/>
    <x v="0"/>
    <x v="0"/>
    <x v="0"/>
    <x v="0"/>
    <x v="1"/>
    <x v="1"/>
    <s v="PAGA EN SISTEMA 16/02/2026"/>
  </r>
  <r>
    <s v="Factura electrónica"/>
    <s v="bae031eedcdbc073fd661469971014f5ca8bc0e283f7bd02b292aaa2ea65c48e832f36fe21c9da09cb071cddad24d474"/>
    <x v="435"/>
    <n v="-1"/>
    <s v="FVE"/>
    <s v="15-01-2026"/>
    <s v="15-01-2026 08:21:33"/>
    <s v="900800595"/>
    <s v="Provexpress SAS"/>
    <s v="860524513"/>
    <x v="268"/>
    <n v="93043"/>
    <n v="0"/>
    <n v="0"/>
    <n v="582743"/>
    <s v="Aprobado con notificación"/>
    <s v="Emitido"/>
    <x v="0"/>
    <x v="0"/>
    <x v="0"/>
    <x v="0"/>
    <x v="1"/>
    <x v="1"/>
    <s v="PAGA EN SISTEMA 16/02/2026"/>
  </r>
  <r>
    <s v="Factura electrónica"/>
    <s v="cae74af8693f39a69366f79c84cf8baf078994333851d06d4a01be0cdcd6b6a6d56bf50df6a565e857b32a5bd3f8a790"/>
    <x v="436"/>
    <n v="-1"/>
    <s v="FVE"/>
    <s v="15-01-2026"/>
    <s v="15-01-2026 08:20:18"/>
    <s v="900800595"/>
    <s v="Provexpress SAS"/>
    <s v="860524513"/>
    <x v="268"/>
    <n v="51870"/>
    <n v="0"/>
    <n v="0"/>
    <n v="324870"/>
    <s v="Aprobado con notificación"/>
    <s v="Emitido"/>
    <x v="0"/>
    <x v="0"/>
    <x v="0"/>
    <x v="0"/>
    <x v="1"/>
    <x v="1"/>
    <s v="PAGA EN SISTEMA 16/02/2026"/>
  </r>
  <r>
    <s v="Factura electrónica"/>
    <s v="e55b727b1fa8a3736fa8f6d62fb4136f550a8186eef8e1437aced5d6ff7fc71731e2b89e13b1017e2fe72cabad354e77"/>
    <x v="437"/>
    <n v="-1"/>
    <s v="FVE"/>
    <s v="15-01-2026"/>
    <s v="15-01-2026 08:20:19"/>
    <s v="900800595"/>
    <s v="Provexpress SAS"/>
    <s v="860524513"/>
    <x v="268"/>
    <n v="408482.9"/>
    <n v="0"/>
    <n v="0"/>
    <n v="2558392.9"/>
    <s v="Aprobado con notificación"/>
    <s v="Emitido"/>
    <x v="0"/>
    <x v="0"/>
    <x v="0"/>
    <x v="0"/>
    <x v="1"/>
    <x v="1"/>
    <s v="PAGA EN SISTEMA 16/02/2026"/>
  </r>
  <r>
    <s v="Factura electrónica"/>
    <s v="80561694dd739ed0606d03c2594ebe9f26fb49a194535ba6aebbf9431103c383fa4ae5014d3cba29011201f513578f5e"/>
    <x v="438"/>
    <n v="-1"/>
    <s v="FVE"/>
    <s v="15-01-2026"/>
    <s v="15-01-2026 08:36:34"/>
    <s v="900800595"/>
    <s v="Provexpress SAS"/>
    <s v="830027574"/>
    <x v="269"/>
    <n v="456000"/>
    <n v="0"/>
    <n v="0"/>
    <n v="2856000"/>
    <s v="Aprobado con notificación"/>
    <s v="Emitido"/>
    <x v="0"/>
    <x v="0"/>
    <x v="0"/>
    <x v="0"/>
    <x v="1"/>
    <x v="1"/>
    <s v="PAGA EN SISTEMA 24/02/2026"/>
  </r>
  <r>
    <s v="Factura electrónica"/>
    <s v="d1424ca000936ec8e4198315a082aad258819e0c637b02723fd6693b366cfb5076e74a7ccb71586f7dd92faa81fa5d18"/>
    <x v="439"/>
    <n v="-1"/>
    <s v="FVE"/>
    <s v="15-01-2026"/>
    <s v="15-01-2026 08:36:34"/>
    <s v="900800595"/>
    <s v="Provexpress SAS"/>
    <s v="830040378"/>
    <x v="134"/>
    <n v="33209.699999999997"/>
    <n v="0"/>
    <n v="0"/>
    <n v="365379.7"/>
    <s v="Aprobado con notificación"/>
    <s v="Emitido"/>
    <x v="0"/>
    <x v="0"/>
    <x v="0"/>
    <x v="0"/>
    <x v="0"/>
    <x v="0"/>
    <m/>
  </r>
  <r>
    <s v="Factura electrónica"/>
    <s v="b684e440f77262cbb96b122b5028fcffaf3b3e557e9b962672e4fcf4fca3ebe3b9aa72efcc60b19dd756c925f78c98d3"/>
    <x v="440"/>
    <n v="-1"/>
    <s v="FVE"/>
    <s v="15-01-2026"/>
    <s v="15-01-2026 08:36:33"/>
    <s v="900800595"/>
    <s v="Provexpress SAS"/>
    <s v="901122559"/>
    <x v="157"/>
    <n v="435479.24"/>
    <n v="0"/>
    <n v="0"/>
    <n v="2727475.24"/>
    <s v="Aprobado con notificación"/>
    <s v="Emitido"/>
    <x v="0"/>
    <x v="1"/>
    <x v="0"/>
    <x v="0"/>
    <x v="1"/>
    <x v="0"/>
    <m/>
  </r>
  <r>
    <s v="Factura electrónica"/>
    <s v="a36d50c7b92c1a769c04108eea775499c4b720ca1369499a747a5a50c58562582a7d52b0415422fd73e53d3d72a6d094"/>
    <x v="441"/>
    <n v="-1"/>
    <s v="FVE"/>
    <s v="15-01-2026"/>
    <s v="15-01-2026 08:36:32"/>
    <s v="900800595"/>
    <s v="Provexpress SAS"/>
    <s v="901122559"/>
    <x v="157"/>
    <n v="435479.24"/>
    <n v="0"/>
    <n v="0"/>
    <n v="2727475.24"/>
    <s v="Aprobado con notificación"/>
    <s v="Emitido"/>
    <x v="0"/>
    <x v="1"/>
    <x v="0"/>
    <x v="0"/>
    <x v="1"/>
    <x v="0"/>
    <m/>
  </r>
  <r>
    <s v="Factura electrónica"/>
    <s v="0c42ecba6f6e15e3120bd14e289b2ed18694cfd89b4d2894efab699a4ec005251233ac711a877d53d42939108cc4940e"/>
    <x v="442"/>
    <n v="-1"/>
    <s v="FVE"/>
    <s v="15-01-2026"/>
    <s v="15-01-2026 08:50:27"/>
    <s v="900800595"/>
    <s v="Provexpress SAS"/>
    <s v="901122559"/>
    <x v="157"/>
    <n v="653218.86"/>
    <n v="0"/>
    <n v="0"/>
    <n v="4091212.86"/>
    <s v="Aprobado con notificación"/>
    <s v="Emitido"/>
    <x v="0"/>
    <x v="1"/>
    <x v="0"/>
    <x v="0"/>
    <x v="1"/>
    <x v="0"/>
    <m/>
  </r>
  <r>
    <s v="Factura electrónica"/>
    <s v="36615fce5e647884b6708e00691b9e261fbacb3f83230e4bc721a912e5b31352b4383a1b93205975cc1988db9cd7fe7e"/>
    <x v="443"/>
    <n v="-1"/>
    <s v="FVE"/>
    <s v="15-01-2026"/>
    <s v="15-01-2026 09:05:38"/>
    <s v="900800595"/>
    <s v="Provexpress SAS"/>
    <s v="860059851"/>
    <x v="270"/>
    <n v="62498.6"/>
    <n v="0"/>
    <n v="0"/>
    <n v="391438.6"/>
    <s v="Aprobado con notificación"/>
    <s v="Emitido"/>
    <x v="0"/>
    <x v="0"/>
    <x v="0"/>
    <x v="0"/>
    <x v="0"/>
    <x v="0"/>
    <m/>
  </r>
  <r>
    <s v="Factura electrónica"/>
    <s v="7baec53c2601eeb7a85ba56ace1f65853873c13d322edfe336020dee226cf19c2ab710e2edaa5612b9446c734bc6d33a"/>
    <x v="444"/>
    <n v="-1"/>
    <s v="FVE"/>
    <s v="15-01-2026"/>
    <s v="15-01-2026 09:05:43"/>
    <s v="900800595"/>
    <s v="Provexpress SAS"/>
    <s v="830014825"/>
    <x v="271"/>
    <n v="226100"/>
    <n v="0"/>
    <n v="0"/>
    <n v="1416100"/>
    <s v="Aprobado con notificación"/>
    <s v="Emitido"/>
    <x v="0"/>
    <x v="0"/>
    <x v="0"/>
    <x v="0"/>
    <x v="0"/>
    <x v="0"/>
    <m/>
  </r>
  <r>
    <s v="Factura electrónica"/>
    <s v="5e61a9c2255401736a8d1a30ada68f813dfd20d89985fc5373946d9a7cc8aa237957f2c30bcca25ee505471c723a3740"/>
    <x v="445"/>
    <n v="-1"/>
    <s v="FVE"/>
    <s v="15-01-2026"/>
    <s v="15-01-2026 09:05:48"/>
    <s v="900800595"/>
    <s v="Provexpress SAS"/>
    <s v="900226975"/>
    <x v="272"/>
    <n v="6114960"/>
    <n v="0"/>
    <n v="0"/>
    <n v="38298960"/>
    <s v="Aprobado con notificación"/>
    <s v="Emitido"/>
    <x v="0"/>
    <x v="0"/>
    <x v="0"/>
    <x v="0"/>
    <x v="1"/>
    <x v="1"/>
    <s v="FACTURA PAGA EN EL SISTEMA 16/02/2026"/>
  </r>
  <r>
    <s v="Factura electrónica"/>
    <s v="e8e6d2b67167a9f122acfbed4147fcb9efcae390f9c3008ededa2e97880f83734efc9148b480cbb41d870655885145e3"/>
    <x v="446"/>
    <n v="-1"/>
    <s v="FVE"/>
    <s v="15-01-2026"/>
    <s v="15-01-2026 09:21:00"/>
    <s v="900800595"/>
    <s v="Provexpress SAS"/>
    <s v="901804480"/>
    <x v="236"/>
    <n v="594331.02"/>
    <n v="0"/>
    <n v="0"/>
    <n v="3722389.02"/>
    <s v="Aprobado con notificación"/>
    <s v="Emitido"/>
    <x v="0"/>
    <x v="0"/>
    <x v="1"/>
    <x v="0"/>
    <x v="1"/>
    <x v="0"/>
    <m/>
  </r>
  <r>
    <s v="Factura electrónica"/>
    <s v="61833ae65d2973b5fc516ef60e355a735692589551b8abf7e97366a96ec16cbdc9114c9a85a5199993eedebb767277dd"/>
    <x v="447"/>
    <n v="-1"/>
    <s v="FVE"/>
    <s v="15-01-2026"/>
    <s v="15-01-2026 09:51:31"/>
    <s v="900800595"/>
    <s v="Provexpress SAS"/>
    <s v="860008018"/>
    <x v="273"/>
    <n v="0"/>
    <n v="0"/>
    <n v="0"/>
    <n v="9418160.4600000009"/>
    <s v="Aprobado con notificación"/>
    <s v="Emitido"/>
    <x v="0"/>
    <x v="1"/>
    <x v="0"/>
    <x v="0"/>
    <x v="1"/>
    <x v="0"/>
    <m/>
  </r>
  <r>
    <s v="Factura electrónica"/>
    <s v="9d27c797ddf0cfd62c204db9f739ea78f6b4ca36c356d165ad407369d930ef5be652084e8c810c538bd5bb623782f905"/>
    <x v="448"/>
    <n v="-1"/>
    <s v="FVE"/>
    <s v="15-01-2026"/>
    <s v="15-01-2026 09:51:37"/>
    <s v="900800595"/>
    <s v="Provexpress SAS"/>
    <s v="860030839"/>
    <x v="260"/>
    <n v="119903.29"/>
    <n v="0"/>
    <n v="0"/>
    <n v="781084.29"/>
    <s v="Aprobado con notificación"/>
    <s v="Emitido"/>
    <x v="0"/>
    <x v="0"/>
    <x v="0"/>
    <x v="0"/>
    <x v="1"/>
    <x v="1"/>
    <s v="FACTURA PAGA EN EL SISTEMA 18/02/2026"/>
  </r>
  <r>
    <s v="Factura electrónica"/>
    <s v="3a0ae6725cca8cb6d772692a0aa5028735c5b5094b31d0f2a725a8d3c620d4f7921f8c3a4e1964d263bbe86d14442095"/>
    <x v="449"/>
    <n v="-1"/>
    <s v="FVE"/>
    <s v="15-01-2026"/>
    <s v="15-01-2026 09:51:45"/>
    <s v="900800595"/>
    <s v="Provexpress SAS"/>
    <s v="900937674"/>
    <x v="257"/>
    <n v="315162.88"/>
    <n v="0"/>
    <n v="0"/>
    <n v="2014311.88"/>
    <s v="Aprobado con notificación"/>
    <s v="Emitido"/>
    <x v="0"/>
    <x v="0"/>
    <x v="0"/>
    <x v="0"/>
    <x v="1"/>
    <x v="1"/>
    <s v="PAGA EN SISTEMA 20/02/2026"/>
  </r>
  <r>
    <s v="Factura electrónica"/>
    <s v="65f8f709d27c404026bb5798ee75ec9cc3ad359b649b8b292ccca54f5fb20e28beb401cc91961f2feea793b4847de559"/>
    <x v="450"/>
    <n v="-1"/>
    <s v="FVE"/>
    <s v="15-01-2026"/>
    <s v="15-01-2026 10:09:31"/>
    <s v="900800595"/>
    <s v="Provexpress SAS"/>
    <s v="900937674"/>
    <x v="257"/>
    <n v="1290919.47"/>
    <n v="0"/>
    <n v="0"/>
    <n v="8166647.4699999997"/>
    <s v="Aprobado con notificación"/>
    <s v="Emitido"/>
    <x v="0"/>
    <x v="0"/>
    <x v="0"/>
    <x v="0"/>
    <x v="1"/>
    <x v="1"/>
    <s v="PAGA EN SISTEMA 20/02/2026"/>
  </r>
  <r>
    <s v="Factura electrónica"/>
    <s v="2c86d255f47f2072be045384f95769ab179fb097eb038e0ae87b1e6568752875c72a1ea68d3854c17aaf003cf502e61b"/>
    <x v="451"/>
    <n v="-1"/>
    <s v="FVE"/>
    <s v="15-01-2026"/>
    <s v="15-01-2026 10:32:24"/>
    <s v="900800595"/>
    <s v="Provexpress SAS"/>
    <s v="830077655"/>
    <x v="168"/>
    <n v="71250"/>
    <n v="0"/>
    <n v="0"/>
    <n v="446250"/>
    <s v="Aprobado con notificación"/>
    <s v="Emitido"/>
    <x v="0"/>
    <x v="0"/>
    <x v="0"/>
    <x v="0"/>
    <x v="1"/>
    <x v="1"/>
    <s v="FACTURA PAGA EN EL SISTEMA 24/02/2026"/>
  </r>
  <r>
    <s v="Factura electrónica"/>
    <s v="7f9826880b1c20e6f52b9d658c017ae42e2f7ee97c3b4fdaba2c844792d38c273e9e68944214564d5f0cf71b9359bd20"/>
    <x v="452"/>
    <n v="-1"/>
    <s v="FVE"/>
    <s v="15-01-2026"/>
    <s v="15-01-2026 10:31:25"/>
    <s v="900800595"/>
    <s v="Provexpress SAS"/>
    <s v="860010799"/>
    <x v="207"/>
    <n v="14440"/>
    <n v="0"/>
    <n v="0"/>
    <n v="90440"/>
    <s v="Aprobado con notificación"/>
    <s v="Emitido"/>
    <x v="0"/>
    <x v="0"/>
    <x v="0"/>
    <x v="0"/>
    <x v="1"/>
    <x v="1"/>
    <s v="PAGA EN SISTEMA 16/02/2026"/>
  </r>
  <r>
    <s v="Factura electrónica"/>
    <s v="e6696448fb04005c107fcab7a995da9b4e579cb0901543b65f8aaa451478f4e39d2caa98a9f9771ab402ee06961c74fe"/>
    <x v="453"/>
    <n v="-1"/>
    <s v="FVE"/>
    <s v="15-01-2026"/>
    <s v="15-01-2026 10:31:28"/>
    <s v="900800595"/>
    <s v="Provexpress SAS"/>
    <s v="860007972"/>
    <x v="150"/>
    <n v="1326200"/>
    <n v="0"/>
    <n v="0"/>
    <n v="8306200"/>
    <s v="Aprobado con notificación"/>
    <s v="Emitido"/>
    <x v="0"/>
    <x v="0"/>
    <x v="0"/>
    <x v="0"/>
    <x v="1"/>
    <x v="1"/>
    <s v="PAGA EN SISTEMA 24/02/2026"/>
  </r>
  <r>
    <s v="Factura electrónica"/>
    <s v="191b135cc86269c4f1568c021c6ddafe7656a065871005b58e2a2217902ac277f973aaaade6e112475f4d102b6209c27"/>
    <x v="454"/>
    <n v="-1"/>
    <s v="FVE"/>
    <s v="15-01-2026"/>
    <s v="15-01-2026 10:43:59"/>
    <s v="900800595"/>
    <s v="Provexpress SAS"/>
    <s v="830109997"/>
    <x v="119"/>
    <n v="28975"/>
    <n v="0"/>
    <n v="0"/>
    <n v="181475"/>
    <s v="Aprobado con notificación"/>
    <s v="Emitido"/>
    <x v="0"/>
    <x v="0"/>
    <x v="0"/>
    <x v="0"/>
    <x v="1"/>
    <x v="1"/>
    <s v="FACTURA PAGA EN EL SISTEMA 13/02/2026"/>
  </r>
  <r>
    <s v="Factura electrónica"/>
    <s v="23317fc35bc43fbc037c5f1076f50929e0978162ddc84fda9deed2281c2639a96ffba0ede0b4834ca866b04bec606c7f"/>
    <x v="455"/>
    <n v="-1"/>
    <s v="FVE"/>
    <s v="15-01-2026"/>
    <s v="15-01-2026 10:44:00"/>
    <s v="900800595"/>
    <s v="Provexpress SAS"/>
    <s v="860512249"/>
    <x v="179"/>
    <n v="13242.43"/>
    <n v="0"/>
    <n v="0"/>
    <n v="82939.429999999993"/>
    <s v="Aprobado con notificación"/>
    <s v="Emitido"/>
    <x v="0"/>
    <x v="0"/>
    <x v="0"/>
    <x v="0"/>
    <x v="1"/>
    <x v="1"/>
    <s v="PAGA EN SISTEMA 2/02/2026"/>
  </r>
  <r>
    <s v="Factura electrónica"/>
    <s v="2f3828ab5597a09b620d19f29ede9b81ce3de50b302be32d0cda8daddd259a77ccdfd8ae97128985d5c2e99128b30f83"/>
    <x v="456"/>
    <n v="-1"/>
    <s v="FVE"/>
    <s v="15-01-2026"/>
    <s v="15-01-2026 10:55:31"/>
    <s v="900800595"/>
    <s v="Provexpress SAS"/>
    <s v="860028415"/>
    <x v="274"/>
    <n v="91437.5"/>
    <n v="0"/>
    <n v="0"/>
    <n v="572687.5"/>
    <s v="Aprobado con notificación"/>
    <s v="Emitido"/>
    <x v="0"/>
    <x v="0"/>
    <x v="0"/>
    <x v="0"/>
    <x v="1"/>
    <x v="1"/>
    <s v="PAGA EN SISTEMA 23/01/2026"/>
  </r>
  <r>
    <s v="Factura electrónica"/>
    <s v="53b094ed53b305d5f75c973c6a403c613a563c0b9df9565f61645c75aadd80071e47a6b32599201feae2cd53306be3b2"/>
    <x v="457"/>
    <n v="-1"/>
    <s v="FVE"/>
    <s v="15-01-2026"/>
    <s v="15-01-2026 10:55:34"/>
    <s v="900800595"/>
    <s v="Provexpress SAS"/>
    <s v="860053966"/>
    <x v="275"/>
    <n v="1138033.5"/>
    <n v="0"/>
    <n v="0"/>
    <n v="7127683.5"/>
    <s v="Aprobado con notificación"/>
    <s v="Emitido"/>
    <x v="0"/>
    <x v="0"/>
    <x v="0"/>
    <x v="1"/>
    <x v="1"/>
    <x v="0"/>
    <m/>
  </r>
  <r>
    <s v="Factura electrónica"/>
    <s v="27511a28e267d3582b3d3b6bb734a37082f1b6d2f2e2652d871cd34c9a62ea9a5f01e3a4d24fb355348a8e003a8a9220"/>
    <x v="458"/>
    <n v="-1"/>
    <s v="FVE"/>
    <s v="15-01-2026"/>
    <s v="15-01-2026 11:08:06"/>
    <s v="900800595"/>
    <s v="Provexpress SAS"/>
    <s v="900206480"/>
    <x v="85"/>
    <n v="547967.6"/>
    <n v="0"/>
    <n v="0"/>
    <n v="3432007.6"/>
    <s v="Aprobado con notificación"/>
    <s v="Emitido"/>
    <x v="0"/>
    <x v="0"/>
    <x v="0"/>
    <x v="0"/>
    <x v="1"/>
    <x v="1"/>
    <s v="PAGA EN SISTEMA 23/02/2026"/>
  </r>
  <r>
    <s v="Factura electrónica"/>
    <s v="cc3772f2339e175dea493850fab354ce45f91b05e8934a00ca2d8e5b7da8bebe22cbe9069ade207ac410033ab8056290"/>
    <x v="459"/>
    <n v="-1"/>
    <s v="FVE"/>
    <s v="15-01-2026"/>
    <s v="15-01-2026 11:08:25"/>
    <s v="900800595"/>
    <s v="Provexpress SAS"/>
    <s v="830092963"/>
    <x v="216"/>
    <n v="305662.5"/>
    <n v="0"/>
    <n v="0"/>
    <n v="1914412.5"/>
    <s v="Aprobado con notificación"/>
    <s v="Emitido"/>
    <x v="0"/>
    <x v="0"/>
    <x v="0"/>
    <x v="0"/>
    <x v="1"/>
    <x v="1"/>
    <s v="PAGA EN SISTEMA 24/02/2026"/>
  </r>
  <r>
    <s v="Factura electrónica"/>
    <s v="17f0208cef826143dd02a710cafdc4c6c7bd53ea43d90ddfbe16bf8ca4eadf173f95d784938f20283b7faba47afffa34"/>
    <x v="460"/>
    <n v="-1"/>
    <s v="FVE"/>
    <s v="15-01-2026"/>
    <s v="15-01-2026 11:08:16"/>
    <s v="900800595"/>
    <s v="Provexpress SAS"/>
    <s v="860031462"/>
    <x v="276"/>
    <n v="110374.8"/>
    <n v="0"/>
    <n v="0"/>
    <n v="691294.8"/>
    <s v="Aprobado con notificación"/>
    <s v="Emitido"/>
    <x v="0"/>
    <x v="0"/>
    <x v="0"/>
    <x v="0"/>
    <x v="1"/>
    <x v="1"/>
    <s v="PAGA EN EL SISTEMA 27/02/2026"/>
  </r>
  <r>
    <s v="Factura electrónica"/>
    <s v="4b4c0d98969069c82f0513999f7190a0d3e44168545916d6efa82bce440b0174177daccc512837c92ba070dcc1000f3d"/>
    <x v="461"/>
    <n v="-1"/>
    <s v="FVE"/>
    <s v="15-01-2026"/>
    <s v="15-01-2026 11:23:26"/>
    <s v="900800595"/>
    <s v="Provexpress SAS"/>
    <s v="860031462"/>
    <x v="276"/>
    <n v="45636.800000000003"/>
    <n v="0"/>
    <n v="0"/>
    <n v="436956.8"/>
    <s v="Aprobado con notificación"/>
    <s v="Emitido"/>
    <x v="0"/>
    <x v="0"/>
    <x v="0"/>
    <x v="0"/>
    <x v="1"/>
    <x v="1"/>
    <s v="PAGA EN EL SISTEMA 27/02/2026"/>
  </r>
  <r>
    <s v="Factura electrónica"/>
    <s v="f6dc78dc3df8dd17cbfd8e6e3ed832dde96a7d4b070c989cd34740e015cc43c1e1f501a4b215ac49825ada0e9e89a6cd"/>
    <x v="462"/>
    <n v="-1"/>
    <s v="FVE"/>
    <s v="15-01-2026"/>
    <s v="15-01-2026 11:23:31"/>
    <s v="900800595"/>
    <s v="Provexpress SAS"/>
    <s v="830013819"/>
    <x v="277"/>
    <n v="34526.800000000003"/>
    <n v="0"/>
    <n v="0"/>
    <n v="216246.8"/>
    <s v="Aprobado con notificación"/>
    <s v="Emitido"/>
    <x v="0"/>
    <x v="0"/>
    <x v="0"/>
    <x v="0"/>
    <x v="1"/>
    <x v="1"/>
    <s v="FACTURA PAGA EN EL SISTEMA 18/02/2026"/>
  </r>
  <r>
    <s v="Factura electrónica"/>
    <s v="d05bd60473def5b868441bc0427a0ccb42e8700abf968e8c62a3c32baaf048fb7539137ff4d06f613769bf3c96794564"/>
    <x v="463"/>
    <n v="-1"/>
    <s v="FVE"/>
    <s v="15-01-2026"/>
    <s v="15-01-2026 11:23:35"/>
    <s v="900800595"/>
    <s v="Provexpress SAS"/>
    <s v="901230120"/>
    <x v="70"/>
    <n v="60800"/>
    <n v="0"/>
    <n v="0"/>
    <n v="380800"/>
    <s v="Aprobado con notificación"/>
    <s v="Emitido"/>
    <x v="0"/>
    <x v="0"/>
    <x v="0"/>
    <x v="0"/>
    <x v="1"/>
    <x v="1"/>
    <s v="PAGA EN EL SISTEMA 13/02/2026"/>
  </r>
  <r>
    <s v="Factura electrónica"/>
    <s v="79e59c09b48dd5903cf1a8bfb9c2dbab19fdbfe23d5f15ba7f9f379934a0f97b06203672f3e7c1e96a22abd08629f98f"/>
    <x v="464"/>
    <n v="-1"/>
    <s v="FVE"/>
    <s v="15-01-2026"/>
    <s v="15-01-2026 11:23:40"/>
    <s v="900800595"/>
    <s v="Provexpress SAS"/>
    <s v="900396967"/>
    <x v="87"/>
    <n v="0"/>
    <n v="0"/>
    <n v="0"/>
    <n v="1700000"/>
    <s v="Aprobado con notificación"/>
    <s v="Emitido"/>
    <x v="0"/>
    <x v="0"/>
    <x v="0"/>
    <x v="0"/>
    <x v="1"/>
    <x v="1"/>
    <s v="FACTURA PAGA EN EL SISTEMA 13/02/2026"/>
  </r>
  <r>
    <s v="Factura electrónica"/>
    <s v="84e73ed83984dd8d38c51f834b5a91d8f04d11b820402439e12e5160f0587b55368032c4f91e3f24eb5e506e024ff5bc"/>
    <x v="465"/>
    <n v="-1"/>
    <s v="FVE"/>
    <s v="15-01-2026"/>
    <s v="15-01-2026 11:23:45"/>
    <s v="900800595"/>
    <s v="Provexpress SAS"/>
    <s v="860020058"/>
    <x v="278"/>
    <n v="276450"/>
    <n v="0"/>
    <n v="0"/>
    <n v="1731450"/>
    <s v="Aprobado con notificación"/>
    <s v="Emitido"/>
    <x v="1"/>
    <x v="0"/>
    <x v="0"/>
    <x v="0"/>
    <x v="1"/>
    <x v="0"/>
    <m/>
  </r>
  <r>
    <s v="Factura electrónica"/>
    <s v="e2783cc95ddd0fe47460b322969fe1e1bd7767ced9dbb4b0723d0a7a867f19966550a2f92bc6a82eb1b2d40145f48781"/>
    <x v="466"/>
    <n v="-1"/>
    <s v="FVE"/>
    <s v="15-01-2026"/>
    <s v="15-01-2026 11:38:56"/>
    <s v="900800595"/>
    <s v="Provexpress SAS"/>
    <s v="860078622"/>
    <x v="279"/>
    <n v="132720.51"/>
    <n v="0"/>
    <n v="0"/>
    <n v="831249.51"/>
    <s v="Aprobado con notificación"/>
    <s v="Emitido"/>
    <x v="1"/>
    <x v="0"/>
    <x v="0"/>
    <x v="0"/>
    <x v="1"/>
    <x v="0"/>
    <m/>
  </r>
  <r>
    <s v="Factura electrónica"/>
    <s v="73923949d9766813ebceced93183a6d1f0d9cea824c86dd02764a7b5990d154d263e1b37f6492a4515f7811df7f77ecf"/>
    <x v="467"/>
    <n v="-1"/>
    <s v="FVE"/>
    <s v="15-01-2026"/>
    <s v="15-01-2026 11:39:00"/>
    <s v="900800595"/>
    <s v="Provexpress SAS"/>
    <s v="901601542"/>
    <x v="113"/>
    <n v="839800"/>
    <n v="0"/>
    <n v="0"/>
    <n v="5259800"/>
    <s v="Aprobado con notificación"/>
    <s v="Emitido"/>
    <x v="0"/>
    <x v="0"/>
    <x v="0"/>
    <x v="0"/>
    <x v="1"/>
    <x v="1"/>
    <s v="FACTURA PAGA EN EL SISTEMA 13/02/2026"/>
  </r>
  <r>
    <s v="Factura electrónica"/>
    <s v="e5f47d940bb89ab7ea7b7d27201a2c70392605ad8f778d5c5794e143dbc9e0fca881e995faa2275a880cf3f1201dc1fd"/>
    <x v="468"/>
    <n v="-1"/>
    <s v="FVE"/>
    <s v="15-01-2026"/>
    <s v="15-01-2026 12:39:35"/>
    <s v="900800595"/>
    <s v="Provexpress SAS"/>
    <s v="830514755"/>
    <x v="280"/>
    <n v="1216950"/>
    <n v="0"/>
    <n v="0"/>
    <n v="7621950"/>
    <s v="Aprobado con notificación"/>
    <s v="Emitido"/>
    <x v="0"/>
    <x v="0"/>
    <x v="0"/>
    <x v="0"/>
    <x v="1"/>
    <x v="1"/>
    <s v="PAGA EN SISTEMA 26/01/2026"/>
  </r>
  <r>
    <s v="Factura electrónica"/>
    <s v="a69c6b3defc53c9b4a7dc4743cc05e35af2df741060150bb0417eb6c04ad5d3f60180dc72a6eecccf497ac37504bd05a"/>
    <x v="469"/>
    <n v="-1"/>
    <s v="FVE"/>
    <s v="15-01-2026"/>
    <s v="15-01-2026 12:39:40"/>
    <s v="900800595"/>
    <s v="Provexpress SAS"/>
    <s v="860512249"/>
    <x v="179"/>
    <n v="120705.48"/>
    <n v="0"/>
    <n v="0"/>
    <n v="755997.48"/>
    <s v="Aprobado con notificación"/>
    <s v="Emitido"/>
    <x v="0"/>
    <x v="0"/>
    <x v="0"/>
    <x v="0"/>
    <x v="1"/>
    <x v="1"/>
    <s v="PAGA EN SISTEMA 27/02/2026"/>
  </r>
  <r>
    <s v="Factura electrónica"/>
    <s v="78c470bd13caf33c0185e400b4adcc2442739000d246ff2c5c1c34883c1fed6c34e454f640ef12b4cac65765946c80ad"/>
    <x v="470"/>
    <n v="-1"/>
    <s v="FVE"/>
    <s v="15-01-2026"/>
    <s v="15-01-2026 12:39:44"/>
    <s v="900800595"/>
    <s v="Provexpress SAS"/>
    <s v="830131869"/>
    <x v="281"/>
    <n v="62738"/>
    <n v="0"/>
    <n v="0"/>
    <n v="392938"/>
    <s v="Aprobado con notificación"/>
    <s v="Emitido"/>
    <x v="0"/>
    <x v="0"/>
    <x v="0"/>
    <x v="0"/>
    <x v="0"/>
    <x v="0"/>
    <m/>
  </r>
  <r>
    <s v="Factura electrónica"/>
    <s v="c50ee332b95cf3e1d44e5138617f74c7ad9723459ad948ac291a7166acaf2cc98694ae24ec4b44384c1710b841f1c755"/>
    <x v="471"/>
    <n v="-1"/>
    <s v="FVE"/>
    <s v="15-01-2026"/>
    <s v="15-01-2026 12:39:49"/>
    <s v="900800595"/>
    <s v="Provexpress SAS"/>
    <s v="830501685"/>
    <x v="282"/>
    <n v="508297.5"/>
    <n v="0"/>
    <n v="0"/>
    <n v="3183547.5"/>
    <s v="Aprobado con notificación"/>
    <s v="Emitido"/>
    <x v="0"/>
    <x v="0"/>
    <x v="0"/>
    <x v="0"/>
    <x v="1"/>
    <x v="1"/>
    <s v="FACTURA PAGA EN EL SISTEMA 21/01/2026"/>
  </r>
  <r>
    <s v="Factura electrónica"/>
    <s v="921239c978ee63fbc5621c5f924c93333bc8668105e51f05112f6692efe6196774fbceeb411433c957b5ba080cc834d7"/>
    <x v="472"/>
    <n v="-1"/>
    <s v="FVE"/>
    <s v="15-01-2026"/>
    <s v="15-01-2026 12:55:01"/>
    <s v="900800595"/>
    <s v="Provexpress SAS"/>
    <s v="901190665"/>
    <x v="283"/>
    <n v="53301.85"/>
    <n v="0"/>
    <n v="0"/>
    <n v="353356.85"/>
    <s v="Aprobado con notificación"/>
    <s v="Emitido"/>
    <x v="0"/>
    <x v="0"/>
    <x v="0"/>
    <x v="0"/>
    <x v="1"/>
    <x v="1"/>
    <s v="FACTURA PAGA EN EL SISTEMA 19/01/2026"/>
  </r>
  <r>
    <s v="Factura electrónica"/>
    <s v="3c229bb1b69087ccb9ee93c4f4a007d8cc816dd46cae8f99bf9fa9edbe11aebec26958ba9d243003ede466d1d9411c33"/>
    <x v="473"/>
    <n v="-1"/>
    <s v="FVE"/>
    <s v="15-01-2026"/>
    <s v="15-01-2026 12:55:05"/>
    <s v="900800595"/>
    <s v="Provexpress SAS"/>
    <s v="800114672"/>
    <x v="154"/>
    <n v="84299.39"/>
    <n v="0"/>
    <n v="0"/>
    <n v="527980.39"/>
    <s v="Aprobado con notificación"/>
    <s v="Emitido"/>
    <x v="0"/>
    <x v="0"/>
    <x v="1"/>
    <x v="0"/>
    <x v="1"/>
    <x v="0"/>
    <m/>
  </r>
  <r>
    <s v="Factura electrónica"/>
    <s v="d04107c43882afb274cd0ef4eb09e1d34135b770312e06d4f0bbfdb8de559f32233cfcae7c137096a2dfbe8ac5ae1e7f"/>
    <x v="474"/>
    <n v="-1"/>
    <s v="FVE"/>
    <s v="15-01-2026"/>
    <s v="15-01-2026 12:55:10"/>
    <s v="900800595"/>
    <s v="Provexpress SAS"/>
    <s v="900943048"/>
    <x v="29"/>
    <n v="25015.4"/>
    <n v="0"/>
    <n v="0"/>
    <n v="156675.4"/>
    <s v="Aprobado con notificación"/>
    <s v="Emitido"/>
    <x v="1"/>
    <x v="0"/>
    <x v="0"/>
    <x v="0"/>
    <x v="1"/>
    <x v="0"/>
    <m/>
  </r>
  <r>
    <s v="Factura electrónica"/>
    <s v="2d09bc9fd642031b50e66510732fc3498a3aad6eb833dbd6f51166442f13197b205325737a1af721ad42164a745a948e"/>
    <x v="475"/>
    <n v="-1"/>
    <s v="FVE"/>
    <s v="15-01-2026"/>
    <s v="15-01-2026 12:55:15"/>
    <s v="900800595"/>
    <s v="Provexpress SAS"/>
    <s v="900148720"/>
    <x v="284"/>
    <n v="51490"/>
    <n v="0"/>
    <n v="0"/>
    <n v="322490"/>
    <s v="Aprobado con notificación"/>
    <s v="Emitido"/>
    <x v="0"/>
    <x v="0"/>
    <x v="0"/>
    <x v="0"/>
    <x v="0"/>
    <x v="0"/>
    <m/>
  </r>
  <r>
    <s v="Factura electrónica"/>
    <s v="78e921dd90653cc005e7d18cac54ab2d716064147d0decd778d25bf6c3515529ffc8b6aa7488f875e2b237d84f4a77e1"/>
    <x v="476"/>
    <n v="-1"/>
    <s v="FVE"/>
    <s v="15-01-2026"/>
    <s v="15-01-2026 13:10:26"/>
    <s v="900800595"/>
    <s v="Provexpress SAS"/>
    <s v="900483711"/>
    <x v="285"/>
    <n v="385728.5"/>
    <n v="0"/>
    <n v="0"/>
    <n v="2415878.5"/>
    <s v="Aprobado con notificación"/>
    <s v="Emitido"/>
    <x v="0"/>
    <x v="0"/>
    <x v="0"/>
    <x v="0"/>
    <x v="1"/>
    <x v="1"/>
    <s v="PAGA EN EL SISTEMA 27/02/2026"/>
  </r>
  <r>
    <s v="Factura electrónica"/>
    <s v="9c0467aaf503f2110a6a2beb87c09ed9c762e50961fc222ec571945c0fe4fc522545b411c70bb94f854023d836d6c49c"/>
    <x v="477"/>
    <n v="-1"/>
    <s v="FVE"/>
    <s v="15-01-2026"/>
    <s v="15-01-2026 13:10:31"/>
    <s v="900800595"/>
    <s v="Provexpress SAS"/>
    <s v="830014567"/>
    <x v="286"/>
    <n v="798000"/>
    <n v="0"/>
    <n v="0"/>
    <n v="4998000"/>
    <s v="Aprobado con notificación"/>
    <s v="Emitido"/>
    <x v="0"/>
    <x v="0"/>
    <x v="0"/>
    <x v="0"/>
    <x v="0"/>
    <x v="0"/>
    <m/>
  </r>
  <r>
    <s v="Factura electrónica"/>
    <s v="83037c370ab288dff4fe6a982d5424211987676fb29821b6b51928fe830d0e5020dad49edf86a298488d821e9319ae8b"/>
    <x v="478"/>
    <n v="-1"/>
    <s v="FVE"/>
    <s v="15-01-2026"/>
    <s v="15-01-2026 13:10:35"/>
    <s v="900800595"/>
    <s v="Provexpress SAS"/>
    <s v="830101651"/>
    <x v="287"/>
    <n v="159258.57"/>
    <n v="0"/>
    <n v="0"/>
    <n v="997461.57"/>
    <s v="Aprobado con notificación"/>
    <s v="Emitido"/>
    <x v="0"/>
    <x v="0"/>
    <x v="0"/>
    <x v="0"/>
    <x v="0"/>
    <x v="0"/>
    <m/>
  </r>
  <r>
    <s v="Factura electrónica"/>
    <s v="c13f26bb9e2d5028de2dc28beaad41b839cc831b7120f78d94fe02243ed4c7625d208ff6a2420c50415f671723b883ed"/>
    <x v="479"/>
    <n v="-1"/>
    <s v="FVE"/>
    <s v="15-01-2026"/>
    <s v="15-01-2026 13:10:40"/>
    <s v="900800595"/>
    <s v="Provexpress SAS"/>
    <s v="830101651"/>
    <x v="287"/>
    <n v="161330.9"/>
    <n v="0"/>
    <n v="0"/>
    <n v="1010440.9"/>
    <s v="Aprobado con notificación"/>
    <s v="Emitido"/>
    <x v="0"/>
    <x v="0"/>
    <x v="0"/>
    <x v="0"/>
    <x v="0"/>
    <x v="0"/>
    <m/>
  </r>
  <r>
    <s v="Factura electrónica"/>
    <s v="f52dfd1836d52782eeb8188c1dac0cf7bfc70e2450b24c37f6c3bca414f6f2ce1c8ac443f288c726cd4c64a0c36ed3da"/>
    <x v="480"/>
    <n v="-1"/>
    <s v="FVE"/>
    <s v="15-01-2026"/>
    <s v="15-01-2026 14:26:17"/>
    <s v="900800595"/>
    <s v="Provexpress SAS"/>
    <s v="900822643"/>
    <x v="288"/>
    <n v="2034979.04"/>
    <n v="0"/>
    <n v="0"/>
    <n v="12745395.039999999"/>
    <s v="Aprobado con notificación"/>
    <s v="Emitido"/>
    <x v="0"/>
    <x v="0"/>
    <x v="0"/>
    <x v="0"/>
    <x v="1"/>
    <x v="1"/>
    <s v="FACTURA PAGA EN EL SISTEMA 23/01/2026"/>
  </r>
  <r>
    <s v="Factura electrónica"/>
    <s v="23c8a04629720cd1308410315881a8d9395f06e224a36af4fd07d6780323fb2eb5dbf8f651c6e56d6fddba4b819d3f76"/>
    <x v="481"/>
    <n v="-1"/>
    <s v="FVE"/>
    <s v="15-01-2026"/>
    <s v="15-01-2026 14:42:04"/>
    <s v="900800595"/>
    <s v="Provexpress SAS"/>
    <s v="830067414"/>
    <x v="289"/>
    <n v="245412.32"/>
    <n v="0"/>
    <n v="0"/>
    <n v="2954460.32"/>
    <s v="Aprobado con notificación"/>
    <s v="Emitido"/>
    <x v="1"/>
    <x v="0"/>
    <x v="0"/>
    <x v="0"/>
    <x v="1"/>
    <x v="0"/>
    <m/>
  </r>
  <r>
    <s v="Factura electrónica"/>
    <s v="60b7b369275d049072ce1cdb4332469c0842bbc4b955446c0679d6963e2e1a714d23acb9e2c19ee945977e0ceab5aa00"/>
    <x v="482"/>
    <n v="-1"/>
    <s v="FVE"/>
    <s v="15-01-2026"/>
    <s v="15-01-2026 14:42:00"/>
    <s v="900800595"/>
    <s v="Provexpress SAS"/>
    <s v="900095054"/>
    <x v="290"/>
    <n v="38000"/>
    <n v="0"/>
    <n v="0"/>
    <n v="238000"/>
    <s v="Aprobado con notificación"/>
    <s v="Emitido"/>
    <x v="0"/>
    <x v="0"/>
    <x v="0"/>
    <x v="0"/>
    <x v="0"/>
    <x v="0"/>
    <m/>
  </r>
  <r>
    <s v="Factura electrónica"/>
    <s v="ea8f81ca443e1b4ad732baf79f75727de084df3c9c04890260f0ea3765241604945131becf5f3b401f12dbf8cf585643"/>
    <x v="483"/>
    <n v="-1"/>
    <s v="FVE"/>
    <s v="15-01-2026"/>
    <s v="15-01-2026 14:42:16"/>
    <s v="900800595"/>
    <s v="Provexpress SAS"/>
    <s v="860015905"/>
    <x v="255"/>
    <n v="995372"/>
    <n v="0"/>
    <n v="0"/>
    <n v="6234172"/>
    <s v="Aprobado con notificación"/>
    <s v="Emitido"/>
    <x v="0"/>
    <x v="0"/>
    <x v="1"/>
    <x v="0"/>
    <x v="1"/>
    <x v="0"/>
    <m/>
  </r>
  <r>
    <s v="Factura electrónica"/>
    <s v="a1003db103742399b9dd13231f2fbaec77b29c958f84aaabe71c470b6f345b6501ae81bb9118a8bcd437b394583fd7fa"/>
    <x v="484"/>
    <n v="-1"/>
    <s v="FVE"/>
    <s v="15-01-2026"/>
    <s v="15-01-2026 14:42:14"/>
    <s v="900800595"/>
    <s v="Provexpress SAS"/>
    <s v="800226175"/>
    <x v="291"/>
    <n v="798000"/>
    <n v="0"/>
    <n v="0"/>
    <n v="4998000"/>
    <s v="Aprobado con notificación"/>
    <s v="Emitido"/>
    <x v="0"/>
    <x v="0"/>
    <x v="0"/>
    <x v="0"/>
    <x v="1"/>
    <x v="1"/>
    <s v="PAGA EN SISTEMA 19/02/2026"/>
  </r>
  <r>
    <s v="Factura electrónica"/>
    <s v="5aeb66b768eb02cab7dd1e11a9bf2e9b82b6ea86f622bc1f1b6b2e40d13b693eab19d472c2e4c2c206df129c48501fe6"/>
    <x v="485"/>
    <n v="-1"/>
    <s v="FVE"/>
    <s v="15-01-2026"/>
    <s v="15-01-2026 15:12:01"/>
    <s v="900800595"/>
    <s v="Provexpress SAS"/>
    <s v="830012863"/>
    <x v="292"/>
    <n v="1163497.68"/>
    <n v="0"/>
    <n v="0"/>
    <n v="7287169.6799999997"/>
    <s v="Aprobado con notificación"/>
    <s v="Emitido"/>
    <x v="0"/>
    <x v="0"/>
    <x v="0"/>
    <x v="0"/>
    <x v="1"/>
    <x v="1"/>
    <s v="FACTURA PAGA EN EL SISTEMA 11/02/2026"/>
  </r>
  <r>
    <s v="Factura electrónica"/>
    <s v="c219ac9f87138dd1aedd5d6459ad178daa38ba91181f16387d0921609caf19e00b4166a097e2aca14e2c4d4edabb3297"/>
    <x v="486"/>
    <n v="-1"/>
    <s v="FVE"/>
    <s v="15-01-2026"/>
    <s v="15-01-2026 15:12:05"/>
    <s v="900800595"/>
    <s v="Provexpress SAS"/>
    <s v="900430148"/>
    <x v="293"/>
    <n v="375595.8"/>
    <n v="0"/>
    <n v="0"/>
    <n v="2352415.7999999998"/>
    <s v="Aprobado con notificación"/>
    <s v="Emitido"/>
    <x v="0"/>
    <x v="0"/>
    <x v="0"/>
    <x v="0"/>
    <x v="1"/>
    <x v="1"/>
    <s v="FACTURA PAGA EN EL SISTEMA 10/02/2026"/>
  </r>
  <r>
    <s v="Factura electrónica"/>
    <s v="84bb3f96b124167fed225a7a1bbbec300152a063f1524507529b465306452db0dc848d9ca8713737bd9a5ad2545c3c52"/>
    <x v="487"/>
    <n v="-1"/>
    <s v="FVE"/>
    <s v="15-01-2026"/>
    <s v="15-01-2026 15:27:17"/>
    <s v="900800595"/>
    <s v="Provexpress SAS"/>
    <s v="830012863"/>
    <x v="292"/>
    <n v="914115.84"/>
    <n v="0"/>
    <n v="0"/>
    <n v="5725251.8399999999"/>
    <s v="Aprobado con notificación"/>
    <s v="Emitido"/>
    <x v="0"/>
    <x v="0"/>
    <x v="0"/>
    <x v="0"/>
    <x v="1"/>
    <x v="1"/>
    <s v="FACTURA PAGA EN EL SISTEMA 11/02/2026"/>
  </r>
  <r>
    <s v="Factura electrónica"/>
    <s v="fc823721734250d68103b63c1b35ff2a65ad6d2ec9a72c9a1bd013f5e77a81c75244f8c7a4fb6acf62f06010c3a4c544"/>
    <x v="488"/>
    <n v="-1"/>
    <s v="FVE"/>
    <s v="15-01-2026"/>
    <s v="15-01-2026 15:27:22"/>
    <s v="900800595"/>
    <s v="Provexpress SAS"/>
    <s v="900430148"/>
    <x v="293"/>
    <n v="313036.78000000003"/>
    <n v="0"/>
    <n v="0"/>
    <n v="1960598.78"/>
    <s v="Aprobado con notificación"/>
    <s v="Emitido"/>
    <x v="0"/>
    <x v="0"/>
    <x v="0"/>
    <x v="0"/>
    <x v="1"/>
    <x v="1"/>
    <s v="FACTURA PAGA EN EL SISTEMA 10/02/2026"/>
  </r>
  <r>
    <s v="Factura electrónica"/>
    <s v="2f9d1f2a817cd5a0f78fcfa73093639b067870397a37c3bbbedb63b619617bc969d7f487349548c318f9a1ac65dd6da6"/>
    <x v="489"/>
    <n v="-1"/>
    <s v="FVE"/>
    <s v="15-01-2026"/>
    <s v="15-01-2026 15:27:27"/>
    <s v="900800595"/>
    <s v="Provexpress SAS"/>
    <s v="900832629"/>
    <x v="294"/>
    <n v="33630"/>
    <n v="0"/>
    <n v="0"/>
    <n v="210630"/>
    <s v="Aprobado con notificación"/>
    <s v="Emitido"/>
    <x v="0"/>
    <x v="0"/>
    <x v="0"/>
    <x v="0"/>
    <x v="1"/>
    <x v="1"/>
    <s v="FACTURA PAGA EN EL SISTEMA 16/01/2026"/>
  </r>
  <r>
    <s v="Factura electrónica"/>
    <s v="8a066cafa28c7de10ff03615ba9d8d976d2f80a986236c3fe68c05f327e917f15885303ccfff42bcfe266498a4b2adaf"/>
    <x v="490"/>
    <n v="-1"/>
    <s v="FVE"/>
    <s v="15-01-2026"/>
    <s v="15-01-2026 15:27:32"/>
    <s v="900800595"/>
    <s v="Provexpress SAS"/>
    <s v="800208785"/>
    <x v="295"/>
    <n v="10439035.1"/>
    <n v="0"/>
    <n v="0"/>
    <n v="65381325.100000001"/>
    <s v="Aprobado con notificación"/>
    <s v="Emitido"/>
    <x v="1"/>
    <x v="0"/>
    <x v="0"/>
    <x v="0"/>
    <x v="1"/>
    <x v="0"/>
    <m/>
  </r>
  <r>
    <s v="Factura electrónica"/>
    <s v="42c72ba2e3a0119a7f42fababdd11e4292e9aeb2d71cd2cf234494ee13152f2543f732c6d6fe66384a2c09c8c543b941"/>
    <x v="491"/>
    <n v="-1"/>
    <s v="FVE"/>
    <s v="15-01-2026"/>
    <s v="15-01-2026 15:27:36"/>
    <s v="900800595"/>
    <s v="Provexpress SAS"/>
    <s v="900714469"/>
    <x v="296"/>
    <n v="227240"/>
    <n v="0"/>
    <n v="0"/>
    <n v="1423240"/>
    <s v="Aprobado con notificación"/>
    <s v="Emitido"/>
    <x v="0"/>
    <x v="0"/>
    <x v="0"/>
    <x v="0"/>
    <x v="1"/>
    <x v="1"/>
    <s v="PAGA EN SISTEMA 24/02/2026"/>
  </r>
  <r>
    <s v="Factura electrónica"/>
    <s v="6fd1533329be4a3959b7704534264d16beaf3af2b489d72092f00568526ee70f22b633160cd637211f2e7d82e46f6cf6"/>
    <x v="492"/>
    <n v="-1"/>
    <s v="FVE"/>
    <s v="15-01-2026"/>
    <s v="15-01-2026 15:27:41"/>
    <s v="900800595"/>
    <s v="Provexpress SAS"/>
    <s v="860048112"/>
    <x v="297"/>
    <n v="505400"/>
    <n v="0"/>
    <n v="0"/>
    <n v="3165400"/>
    <s v="Aprobado con notificación"/>
    <s v="Emitido"/>
    <x v="0"/>
    <x v="0"/>
    <x v="0"/>
    <x v="0"/>
    <x v="0"/>
    <x v="0"/>
    <m/>
  </r>
  <r>
    <s v="Factura electrónica"/>
    <s v="6be707637789f401efea51335cae2104b657c63576914a6e2cb5e3f1b8ed601c0ca9ac836f9117a0db2be54dc25a7751"/>
    <x v="493"/>
    <n v="-1"/>
    <s v="FVE"/>
    <s v="15-01-2026"/>
    <s v="15-01-2026 15:42:55"/>
    <s v="900800595"/>
    <s v="Provexpress SAS"/>
    <s v="899999066"/>
    <x v="298"/>
    <n v="96425"/>
    <n v="0"/>
    <n v="0"/>
    <n v="603925"/>
    <s v="Aprobado con notificación"/>
    <s v="Emitido"/>
    <x v="0"/>
    <x v="0"/>
    <x v="0"/>
    <x v="0"/>
    <x v="1"/>
    <x v="1"/>
    <s v="FACTURA PAGA EN EL SISTEMA 22/01/2026"/>
  </r>
  <r>
    <s v="Factura electrónica"/>
    <s v="62042c0341c1ad3ca674ff21a54e82f540eb54897ae9bd0af73d6f2fad41e394f3dcfce24a289ecffa40b3d751140104"/>
    <x v="494"/>
    <n v="-1"/>
    <s v="FVE"/>
    <s v="15-01-2026"/>
    <s v="15-01-2026 15:58:06"/>
    <s v="900800595"/>
    <s v="Provexpress SAS"/>
    <s v="800066123"/>
    <x v="299"/>
    <n v="724850"/>
    <n v="0"/>
    <n v="0"/>
    <n v="4539850"/>
    <s v="Aprobado con notificación"/>
    <s v="Emitido"/>
    <x v="0"/>
    <x v="0"/>
    <x v="0"/>
    <x v="0"/>
    <x v="1"/>
    <x v="1"/>
    <s v="PAGA EN SISTEMA 27/02/2026"/>
  </r>
  <r>
    <s v="Factura electrónica"/>
    <s v="2ec61aea94f774606c08c98b0b67fe2554c78683f0c991cf974b897a263461a719c5ac9baa010b7a40a985c780949a35"/>
    <x v="495"/>
    <n v="-1"/>
    <s v="FVE"/>
    <s v="15-01-2026"/>
    <s v="15-01-2026 15:58:11"/>
    <s v="900800595"/>
    <s v="Provexpress SAS"/>
    <s v="860533413"/>
    <x v="194"/>
    <n v="143450"/>
    <n v="0"/>
    <n v="0"/>
    <n v="898450"/>
    <s v="Aprobado con notificación"/>
    <s v="Emitido"/>
    <x v="1"/>
    <x v="0"/>
    <x v="0"/>
    <x v="0"/>
    <x v="1"/>
    <x v="0"/>
    <m/>
  </r>
  <r>
    <s v="Factura electrónica"/>
    <s v="b2e200df768542c3bdd141c1416fc11edafb402ddf2f972ead210d4f862152495c0d0639371c3c4f75a99486fbb70f8e"/>
    <x v="496"/>
    <n v="-1"/>
    <s v="FVE"/>
    <s v="16-01-2026"/>
    <s v="16-01-2026 08:05:07"/>
    <s v="900800595"/>
    <s v="Provexpress SAS"/>
    <s v="830079716"/>
    <x v="300"/>
    <n v="5606.52"/>
    <n v="0"/>
    <n v="0"/>
    <n v="35114.519999999997"/>
    <s v="Aprobado con notificación"/>
    <s v="Emitido"/>
    <x v="0"/>
    <x v="0"/>
    <x v="0"/>
    <x v="0"/>
    <x v="0"/>
    <x v="0"/>
    <m/>
  </r>
  <r>
    <s v="Factura electrónica"/>
    <s v="d7b34d57f0ee377f57d5569ee822b443bc7e4ea3a9b87cd591927b16cee791125253918c2ffde5f0e31a126a7c225074"/>
    <x v="497"/>
    <n v="-1"/>
    <s v="FVE"/>
    <s v="16-01-2026"/>
    <s v="16-01-2026 08:05:12"/>
    <s v="900800595"/>
    <s v="Provexpress SAS"/>
    <s v="860069333"/>
    <x v="301"/>
    <n v="83581"/>
    <n v="0"/>
    <n v="0"/>
    <n v="523481"/>
    <s v="Aprobado con notificación"/>
    <s v="Emitido"/>
    <x v="0"/>
    <x v="0"/>
    <x v="0"/>
    <x v="0"/>
    <x v="1"/>
    <x v="1"/>
    <s v="PAGA EN EL SISTEMA 27/02/2026"/>
  </r>
  <r>
    <s v="Factura electrónica"/>
    <s v="ae70d5a078bc74beef4abe2d3e766249248a1d0474804c5cf837287a979e835f50ecfdc9d0ec4d2254ecd23fd268fd59"/>
    <x v="498"/>
    <n v="-1"/>
    <s v="FVE"/>
    <s v="16-01-2026"/>
    <s v="16-01-2026 08:05:16"/>
    <s v="900800595"/>
    <s v="Provexpress SAS"/>
    <s v="830070284"/>
    <x v="302"/>
    <n v="45131.8"/>
    <n v="0"/>
    <n v="0"/>
    <n v="737151.8"/>
    <s v="Aprobado con notificación"/>
    <s v="Emitido"/>
    <x v="1"/>
    <x v="0"/>
    <x v="0"/>
    <x v="0"/>
    <x v="1"/>
    <x v="0"/>
    <m/>
  </r>
  <r>
    <s v="Factura electrónica"/>
    <s v="4a5acbe3c508094a26105f3ffe43c3c6374f90bd512d60e9c39d94b0100d9cb07dd54d450f81144f8dc230ab993e460b"/>
    <x v="499"/>
    <n v="-1"/>
    <s v="FVE"/>
    <s v="16-01-2026"/>
    <s v="16-01-2026 08:05:20"/>
    <s v="900800595"/>
    <s v="Provexpress SAS"/>
    <s v="860510863"/>
    <x v="243"/>
    <n v="63222.5"/>
    <n v="0"/>
    <n v="0"/>
    <n v="395972.5"/>
    <s v="Aprobado con notificación"/>
    <s v="Emitido"/>
    <x v="0"/>
    <x v="0"/>
    <x v="0"/>
    <x v="0"/>
    <x v="1"/>
    <x v="1"/>
    <s v="PAGA EN EL SISTEMA 27/02/2026"/>
  </r>
  <r>
    <s v="Factura electrónica"/>
    <s v="16942789f8fb6ac7b6785b4c224b0d81dfc4704e4e80ed1472bd0654cf05d6d5408b59c943905190019488e183d1dfa5"/>
    <x v="500"/>
    <n v="-1"/>
    <s v="FVE"/>
    <s v="16-01-2026"/>
    <s v="16-01-2026 08:05:25"/>
    <s v="900800595"/>
    <s v="Provexpress SAS"/>
    <s v="830047411"/>
    <x v="242"/>
    <n v="5700"/>
    <n v="0"/>
    <n v="0"/>
    <n v="35700"/>
    <s v="Aprobado con notificación"/>
    <s v="Emitido"/>
    <x v="0"/>
    <x v="0"/>
    <x v="0"/>
    <x v="0"/>
    <x v="1"/>
    <x v="1"/>
    <s v="PAGA EN EL SISTEMA 27/02/2026"/>
  </r>
  <r>
    <s v="Factura electrónica"/>
    <s v="e01342d83a5530791dc65829e657f5814738431bd941c114bd5fc5b8742533b8b49c25c90929b299c39374434162b3e2"/>
    <x v="501"/>
    <n v="-1"/>
    <s v="FVE"/>
    <s v="16-01-2026"/>
    <s v="16-01-2026 08:20:36"/>
    <s v="900800595"/>
    <s v="Provexpress SAS"/>
    <s v="901133874"/>
    <x v="303"/>
    <n v="85500"/>
    <n v="0"/>
    <n v="0"/>
    <n v="535500"/>
    <s v="Aprobado con notificación"/>
    <s v="Emitido"/>
    <x v="0"/>
    <x v="0"/>
    <x v="0"/>
    <x v="0"/>
    <x v="1"/>
    <x v="1"/>
    <s v="FACTURA PAGA EN EL SISTEMA 23/01/2026"/>
  </r>
  <r>
    <s v="Factura electrónica"/>
    <s v="7c619d70f2f964f991c56d362ee555f373b45ebf10216628f13728dc233c7e1f49aee64f7144f28556d728ef66a30f58"/>
    <x v="502"/>
    <n v="-1"/>
    <s v="FVE"/>
    <s v="16-01-2026"/>
    <s v="16-01-2026 08:20:42"/>
    <s v="900800595"/>
    <s v="Provexpress SAS"/>
    <s v="830076044"/>
    <x v="304"/>
    <n v="142500"/>
    <n v="0"/>
    <n v="0"/>
    <n v="892500"/>
    <s v="Aprobado con notificación"/>
    <s v="Emitido"/>
    <x v="0"/>
    <x v="0"/>
    <x v="0"/>
    <x v="0"/>
    <x v="0"/>
    <x v="0"/>
    <m/>
  </r>
  <r>
    <s v="Factura electrónica"/>
    <s v="cdc8558a097a33bc026157298520365acc52f9569c8021a956189ab8a09d35ea791a42aecf3edd689b67778d9f17c8e0"/>
    <x v="503"/>
    <n v="-1"/>
    <s v="FVE"/>
    <s v="16-01-2026"/>
    <s v="16-01-2026 08:50:59"/>
    <s v="900800595"/>
    <s v="Provexpress SAS"/>
    <s v="901841535"/>
    <x v="305"/>
    <n v="380000"/>
    <n v="0"/>
    <n v="0"/>
    <n v="2380000"/>
    <s v="Aprobado con notificación"/>
    <s v="Emitido"/>
    <x v="0"/>
    <x v="0"/>
    <x v="0"/>
    <x v="0"/>
    <x v="1"/>
    <x v="1"/>
    <s v="PAGA EN EL SISTEMA 27/02/2026"/>
  </r>
  <r>
    <s v="Factura electrónica"/>
    <s v="3ed081276bb3622c68da60d28c09f8372f5349a5425c9a0535d1a61991bc631994609a4021a637863ebf4780374a4495"/>
    <x v="504"/>
    <n v="-1"/>
    <s v="FVE"/>
    <s v="16-01-2026"/>
    <s v="16-01-2026 08:51:04"/>
    <s v="900800595"/>
    <s v="Provexpress SAS"/>
    <s v="860533413"/>
    <x v="194"/>
    <n v="1906840"/>
    <n v="0"/>
    <n v="0"/>
    <n v="11942840"/>
    <s v="Aprobado con notificación"/>
    <s v="Emitido"/>
    <x v="1"/>
    <x v="0"/>
    <x v="0"/>
    <x v="0"/>
    <x v="1"/>
    <x v="0"/>
    <m/>
  </r>
  <r>
    <s v="Factura electrónica"/>
    <s v="fbfb22a930dec2ecbb861ae56afb6298bd9f5e987a9387623de0edf2f01a1c9075a0851b45a716aa607d9040146811f8"/>
    <x v="505"/>
    <n v="-1"/>
    <s v="FVE"/>
    <s v="16-01-2026"/>
    <s v="16-01-2026 09:51:36"/>
    <s v="900800595"/>
    <s v="Provexpress SAS"/>
    <s v="900193601"/>
    <x v="306"/>
    <n v="513000"/>
    <n v="0"/>
    <n v="0"/>
    <n v="3213000"/>
    <s v="Aprobado con notificación"/>
    <s v="Emitido"/>
    <x v="0"/>
    <x v="0"/>
    <x v="0"/>
    <x v="0"/>
    <x v="0"/>
    <x v="0"/>
    <m/>
  </r>
  <r>
    <s v="Factura electrónica"/>
    <s v="b5d598f512179f7962206050a20ea74860db9fb4822905b069739c3cfb668feea73792c404bbee42f0a8bd18d49edd2c"/>
    <x v="506"/>
    <n v="-1"/>
    <s v="FVE"/>
    <s v="16-01-2026"/>
    <s v="16-01-2026 09:51:39"/>
    <s v="900800595"/>
    <s v="Provexpress SAS"/>
    <s v="900297009"/>
    <x v="307"/>
    <n v="33126.5"/>
    <n v="0"/>
    <n v="0"/>
    <n v="207476.5"/>
    <s v="Aprobado con notificación"/>
    <s v="Emitido"/>
    <x v="1"/>
    <x v="0"/>
    <x v="0"/>
    <x v="0"/>
    <x v="1"/>
    <x v="0"/>
    <m/>
  </r>
  <r>
    <s v="Factura electrónica"/>
    <s v="dc08c91888fc88431b8997c529eccab6cb2afb75ed52adfd38583a7d88c378d81936472eefcfaee3ba4eef7d8571c893"/>
    <x v="507"/>
    <n v="-1"/>
    <s v="FVE"/>
    <s v="16-01-2026"/>
    <s v="16-01-2026 09:51:44"/>
    <s v="900800595"/>
    <s v="Provexpress SAS"/>
    <s v="830035263"/>
    <x v="308"/>
    <n v="779000"/>
    <n v="0"/>
    <n v="0"/>
    <n v="4879000"/>
    <s v="Aprobado con notificación"/>
    <s v="Emitido"/>
    <x v="0"/>
    <x v="0"/>
    <x v="1"/>
    <x v="0"/>
    <x v="1"/>
    <x v="0"/>
    <m/>
  </r>
  <r>
    <s v="Factura electrónica"/>
    <s v="751430471bddaa0f8eefc85f1154f7a5a3f1960f798d59c68fe2341b14f8d084309c37dd97808b50f3c89e709a44939f"/>
    <x v="508"/>
    <n v="-1"/>
    <s v="FVE"/>
    <s v="16-01-2026"/>
    <s v="16-01-2026 09:51:49"/>
    <s v="900800595"/>
    <s v="Provexpress SAS"/>
    <s v="830035263"/>
    <x v="308"/>
    <n v="85500"/>
    <n v="0"/>
    <n v="0"/>
    <n v="535500"/>
    <s v="Aprobado con notificación"/>
    <s v="Emitido"/>
    <x v="0"/>
    <x v="0"/>
    <x v="1"/>
    <x v="0"/>
    <x v="1"/>
    <x v="0"/>
    <m/>
  </r>
  <r>
    <s v="Factura electrónica"/>
    <s v="898eaa867fa401177448ea08665e47ae3cb77b6a21e82c0a87385ab18b9183afe8b4c307e610d2de0c79171d1d32eb5b"/>
    <x v="509"/>
    <n v="-1"/>
    <s v="FVE"/>
    <s v="16-01-2026"/>
    <s v="16-01-2026 10:13:32"/>
    <s v="900800595"/>
    <s v="Provexpress SAS"/>
    <s v="860522056"/>
    <x v="74"/>
    <n v="6080"/>
    <n v="0"/>
    <n v="0"/>
    <n v="38080"/>
    <s v="Aprobado con notificación"/>
    <s v="Emitido"/>
    <x v="0"/>
    <x v="0"/>
    <x v="1"/>
    <x v="0"/>
    <x v="1"/>
    <x v="0"/>
    <m/>
  </r>
  <r>
    <s v="Factura electrónica"/>
    <s v="8fa46d20120d52cc7bc48f68ca89ab82a107465ae42e85b6621c552fa1b050e4ded382b08273ce249d8ba3e95c2e302f"/>
    <x v="510"/>
    <n v="-1"/>
    <s v="FVE"/>
    <s v="16-01-2026"/>
    <s v="16-01-2026 10:13:42"/>
    <s v="900800595"/>
    <s v="Provexpress SAS"/>
    <s v="860522056"/>
    <x v="74"/>
    <n v="7448"/>
    <n v="0"/>
    <n v="0"/>
    <n v="46648"/>
    <s v="Aprobado con notificación"/>
    <s v="Emitido"/>
    <x v="0"/>
    <x v="0"/>
    <x v="1"/>
    <x v="0"/>
    <x v="1"/>
    <x v="0"/>
    <m/>
  </r>
  <r>
    <s v="Factura electrónica"/>
    <s v="40dff0a82e35543e77c7fd0574b9cfd33e4c5295f8df31a4743f2bb8133f98cf0f6c3435d2cb347b829f095b07cfe17d"/>
    <x v="511"/>
    <n v="-1"/>
    <s v="FVE"/>
    <s v="16-01-2026"/>
    <s v="16-01-2026 10:13:43"/>
    <s v="900800595"/>
    <s v="Provexpress SAS"/>
    <s v="860522056"/>
    <x v="74"/>
    <n v="31312"/>
    <n v="0"/>
    <n v="0"/>
    <n v="196112"/>
    <s v="Aprobado con notificación"/>
    <s v="Emitido"/>
    <x v="0"/>
    <x v="0"/>
    <x v="1"/>
    <x v="0"/>
    <x v="1"/>
    <x v="0"/>
    <m/>
  </r>
  <r>
    <s v="Factura electrónica"/>
    <s v="5c840545ef17aacb54e29cf7b8e8caf02ffb86e5bb3decf9bc4860f3a0fba85769d698c46befb56a75c8a83bf5cec4f6"/>
    <x v="512"/>
    <n v="-1"/>
    <s v="FVE"/>
    <s v="16-01-2026"/>
    <s v="16-01-2026 10:13:46"/>
    <s v="900800595"/>
    <s v="Provexpress SAS"/>
    <s v="860522056"/>
    <x v="74"/>
    <n v="32946"/>
    <n v="0"/>
    <n v="0"/>
    <n v="206346"/>
    <s v="Aprobado con notificación"/>
    <s v="Emitido"/>
    <x v="0"/>
    <x v="0"/>
    <x v="1"/>
    <x v="0"/>
    <x v="1"/>
    <x v="0"/>
    <m/>
  </r>
  <r>
    <s v="Factura electrónica"/>
    <s v="8cfc95f2d9ecd9ee74ba4e26db320d6742af7f94a3c63553a67f36e9b0a806c77c219d74f16915356fae9217889442f2"/>
    <x v="513"/>
    <n v="-1"/>
    <s v="FVE"/>
    <s v="16-01-2026"/>
    <s v="16-01-2026 10:31:19"/>
    <s v="900800595"/>
    <s v="Provexpress SAS"/>
    <s v="900206480"/>
    <x v="85"/>
    <n v="99565.89"/>
    <n v="0"/>
    <n v="0"/>
    <n v="623596.89"/>
    <s v="Aprobado con notificación"/>
    <s v="Emitido"/>
    <x v="0"/>
    <x v="0"/>
    <x v="0"/>
    <x v="0"/>
    <x v="1"/>
    <x v="1"/>
    <s v="FACTURA PAGA EN EL SISTEMA 16/02/2026"/>
  </r>
  <r>
    <s v="Factura electrónica"/>
    <s v="ab710207e2425089011100d489934f678d33af3e55992afaf84d826c3e6fcd20a65049eceaf8b57e37ca942f30c2407b"/>
    <x v="514"/>
    <n v="-1"/>
    <s v="FVE"/>
    <s v="16-01-2026"/>
    <s v="16-01-2026 10:31:25"/>
    <s v="900800595"/>
    <s v="Provexpress SAS"/>
    <s v="800114672"/>
    <x v="154"/>
    <n v="188375.5"/>
    <n v="0"/>
    <n v="0"/>
    <n v="1179825.5"/>
    <s v="Aprobado con notificación"/>
    <s v="Emitido"/>
    <x v="0"/>
    <x v="0"/>
    <x v="1"/>
    <x v="0"/>
    <x v="1"/>
    <x v="0"/>
    <m/>
  </r>
  <r>
    <s v="Factura electrónica"/>
    <s v="b5ce4a257ec0a634ff75e4c9e96b07bcb123012d6b7950dc7534db4fdd61ffe3e264e15227615eea5115abdd9de558b7"/>
    <x v="515"/>
    <n v="-1"/>
    <s v="FVE"/>
    <s v="16-01-2026"/>
    <s v="16-01-2026 10:45:04"/>
    <s v="900800595"/>
    <s v="Provexpress SAS"/>
    <s v="830055467"/>
    <x v="90"/>
    <n v="2008224"/>
    <n v="0"/>
    <n v="0"/>
    <n v="12577824"/>
    <s v="Aprobado con notificación"/>
    <s v="Emitido"/>
    <x v="0"/>
    <x v="0"/>
    <x v="0"/>
    <x v="0"/>
    <x v="1"/>
    <x v="1"/>
    <s v="PAGA EN SISTEMA 19/02/2026"/>
  </r>
  <r>
    <s v="Factura electrónica"/>
    <s v="46d9f33ac8304f90a169f2accd9c23344de123919d48f560325b3d10136f8505c2ebfe3905405fd78d2d3a6c6c6ef191"/>
    <x v="516"/>
    <n v="-1"/>
    <s v="FVE"/>
    <s v="16-01-2026"/>
    <s v="16-01-2026 10:45:10"/>
    <s v="900800595"/>
    <s v="Provexpress SAS"/>
    <s v="900203461"/>
    <x v="309"/>
    <n v="83600"/>
    <n v="0"/>
    <n v="0"/>
    <n v="523600"/>
    <s v="Aprobado con notificación"/>
    <s v="Emitido"/>
    <x v="0"/>
    <x v="0"/>
    <x v="0"/>
    <x v="0"/>
    <x v="1"/>
    <x v="1"/>
    <s v="FACTURA PAGA EN EL SISTEMA 20/02/2026"/>
  </r>
  <r>
    <s v="Factura electrónica"/>
    <s v="478f8641b02527b3c004fbeb316c5735fe796aa7fceeffb6b2855a6e11795acdba40acd7483a21f2e6e153562937003d"/>
    <x v="517"/>
    <n v="-1"/>
    <s v="FVE"/>
    <s v="16-01-2026"/>
    <s v="16-01-2026 10:45:07"/>
    <s v="900800595"/>
    <s v="Provexpress SAS"/>
    <s v="900904162"/>
    <x v="310"/>
    <n v="649800"/>
    <n v="0"/>
    <n v="0"/>
    <n v="4069800"/>
    <s v="Aprobado con notificación"/>
    <s v="Emitido"/>
    <x v="0"/>
    <x v="1"/>
    <x v="0"/>
    <x v="0"/>
    <x v="1"/>
    <x v="0"/>
    <m/>
  </r>
  <r>
    <s v="Factura electrónica"/>
    <s v="176d99fef19edbfa17c42247872c6f90a8212a2414364ff66c0599a8543121639f6ec478041fea8a6aa5385efcb538a3"/>
    <x v="518"/>
    <n v="-1"/>
    <s v="FVE"/>
    <s v="16-01-2026"/>
    <s v="16-01-2026 10:53:03"/>
    <s v="900800595"/>
    <s v="Provexpress SAS"/>
    <s v="800120681"/>
    <x v="221"/>
    <n v="72580"/>
    <n v="0"/>
    <n v="0"/>
    <n v="454580"/>
    <s v="Aprobado con notificación"/>
    <s v="Emitido"/>
    <x v="0"/>
    <x v="0"/>
    <x v="0"/>
    <x v="0"/>
    <x v="1"/>
    <x v="1"/>
    <s v="PAGA EN SISTEMA 23/02/2026"/>
  </r>
  <r>
    <s v="Factura electrónica"/>
    <s v="363fe7147bae3a0d76e7f475c459257575cb32fd5c209b437eb981d56b9e4bc57415198d46c17d86d590833959fe793e"/>
    <x v="519"/>
    <n v="-1"/>
    <s v="FVE"/>
    <s v="16-01-2026"/>
    <s v="16-01-2026 10:53:06"/>
    <s v="900800595"/>
    <s v="Provexpress SAS"/>
    <s v="900376503"/>
    <x v="311"/>
    <n v="27930"/>
    <n v="0"/>
    <n v="0"/>
    <n v="174930"/>
    <s v="Aprobado con notificación"/>
    <s v="Emitido"/>
    <x v="0"/>
    <x v="0"/>
    <x v="0"/>
    <x v="0"/>
    <x v="1"/>
    <x v="1"/>
    <s v="FACTURA PAGA EN EL SISTEMA 17/02/2026"/>
  </r>
  <r>
    <s v="Factura electrónica"/>
    <s v="7bdad4527ab27a27a762ee27fa7ca4d56ff545c6bd8981cb8fdc8372608f3f3d986fc88ac31b72379f32c060aed87ba8"/>
    <x v="520"/>
    <n v="-1"/>
    <s v="FVE"/>
    <s v="16-01-2026"/>
    <s v="16-01-2026 10:53:12"/>
    <s v="900800595"/>
    <s v="Provexpress SAS"/>
    <s v="830088759"/>
    <x v="312"/>
    <n v="60301.63"/>
    <n v="0"/>
    <n v="0"/>
    <n v="377678.63"/>
    <s v="Aprobado con notificación"/>
    <s v="Emitido"/>
    <x v="0"/>
    <x v="0"/>
    <x v="0"/>
    <x v="0"/>
    <x v="1"/>
    <x v="1"/>
    <s v="FACTURA PAGA EN EL SISTEMA 19/02/2026"/>
  </r>
  <r>
    <s v="Factura electrónica"/>
    <s v="9678afaff4eff26905b399cdb955d85e9ffcd3a00e90bec65da742edb51b42f4df14c4f058dcf02caf38577cf62e0645"/>
    <x v="521"/>
    <n v="-1"/>
    <s v="FVE"/>
    <s v="16-01-2026"/>
    <s v="16-01-2026 10:53:16"/>
    <s v="900800595"/>
    <s v="Provexpress SAS"/>
    <s v="901230120"/>
    <x v="70"/>
    <n v="225150"/>
    <n v="0"/>
    <n v="0"/>
    <n v="1410150"/>
    <s v="Aprobado con notificación"/>
    <s v="Emitido"/>
    <x v="0"/>
    <x v="0"/>
    <x v="0"/>
    <x v="0"/>
    <x v="1"/>
    <x v="1"/>
    <s v="PAGA EN SISTEMA 25/02/2026"/>
  </r>
  <r>
    <s v="Factura electrónica"/>
    <s v="24ed2b8bc458f2e4d9880d5252befe66080ce7e2e6b163526ac8d3a8610c3ac0c7f147f9e3d4e9ebdec52e847ca842f3"/>
    <x v="522"/>
    <n v="-1"/>
    <s v="FVE"/>
    <s v="16-01-2026"/>
    <s v="16-01-2026 10:53:20"/>
    <s v="900800595"/>
    <s v="Provexpress SAS"/>
    <s v="900509172"/>
    <x v="313"/>
    <n v="267140"/>
    <n v="0"/>
    <n v="0"/>
    <n v="1673140"/>
    <s v="Aprobado con notificación"/>
    <s v="Emitido"/>
    <x v="0"/>
    <x v="0"/>
    <x v="0"/>
    <x v="0"/>
    <x v="0"/>
    <x v="0"/>
    <m/>
  </r>
  <r>
    <s v="Factura electrónica"/>
    <s v="a4b9684428a3fc1881d7c039879961f0617e31e467c47d291ac84c9c0d3b307bcec76057a4ffe8dc79a5d98fef7f212c"/>
    <x v="523"/>
    <n v="-1"/>
    <s v="FVE"/>
    <s v="16-01-2026"/>
    <s v="16-01-2026 10:53:26"/>
    <s v="900800595"/>
    <s v="Provexpress SAS"/>
    <s v="901938866"/>
    <x v="314"/>
    <n v="171000"/>
    <n v="0"/>
    <n v="0"/>
    <n v="1071000"/>
    <s v="Aprobado con notificación"/>
    <s v="Emitido"/>
    <x v="0"/>
    <x v="0"/>
    <x v="0"/>
    <x v="0"/>
    <x v="1"/>
    <x v="1"/>
    <s v="PAGA EN SISTEMA 27/02/2026"/>
  </r>
  <r>
    <s v="Factura electrónica"/>
    <s v="c02a80dc31586435fd8b971b477db6634cf0a2da39514629ffcb631a5024e80063a8c84f68374a4f0c6a10701f28402e"/>
    <x v="524"/>
    <n v="-1"/>
    <s v="FVE"/>
    <s v="16-01-2026"/>
    <s v="16-01-2026 11:08:41"/>
    <s v="900800595"/>
    <s v="Provexpress SAS"/>
    <s v="901144843"/>
    <x v="315"/>
    <n v="58900"/>
    <n v="0"/>
    <n v="0"/>
    <n v="368900"/>
    <s v="Aprobado con notificación"/>
    <s v="Emitido"/>
    <x v="0"/>
    <x v="0"/>
    <x v="0"/>
    <x v="0"/>
    <x v="1"/>
    <x v="1"/>
    <s v="PAGA EN SISTEMA 16/02/2026"/>
  </r>
  <r>
    <s v="Factura electrónica"/>
    <s v="a5b89aad81ab9741c83bc1b432589e5af978900402be0c1834beb1a526a481a71f9f57601725ce3c08cd9233d9bd0262"/>
    <x v="525"/>
    <n v="-1"/>
    <s v="FVE"/>
    <s v="16-01-2026"/>
    <s v="16-01-2026 11:08:46"/>
    <s v="900800595"/>
    <s v="Provexpress SAS"/>
    <s v="800183987"/>
    <x v="316"/>
    <n v="974700"/>
    <n v="0"/>
    <n v="0"/>
    <n v="6104700"/>
    <s v="Aprobado con notificación"/>
    <s v="Emitido"/>
    <x v="0"/>
    <x v="0"/>
    <x v="0"/>
    <x v="0"/>
    <x v="1"/>
    <x v="1"/>
    <s v="FACTURA PAGA EN EL SISTEMA 6/02/2026"/>
  </r>
  <r>
    <s v="Factura electrónica"/>
    <s v="ed0574119c0541b7e8b06ddd66394f3025edf0207beeee1018e87c2ca2d920f925e5260f1b4a83dea902485d82ca7c74"/>
    <x v="526"/>
    <n v="-1"/>
    <s v="FVE"/>
    <s v="16-01-2026"/>
    <s v="16-01-2026 11:08:51"/>
    <s v="900800595"/>
    <s v="Provexpress SAS"/>
    <s v="860072279"/>
    <x v="82"/>
    <n v="19000"/>
    <n v="0"/>
    <n v="0"/>
    <n v="119000"/>
    <s v="Aprobado con notificación"/>
    <s v="Emitido"/>
    <x v="0"/>
    <x v="0"/>
    <x v="1"/>
    <x v="0"/>
    <x v="1"/>
    <x v="0"/>
    <m/>
  </r>
  <r>
    <s v="Factura electrónica"/>
    <s v="7d6cf96816c314994c675c92f32a2fea40767349fdb6171bfd66ddae19a238b444b1067a5f501bbc930be62ef14e9e92"/>
    <x v="527"/>
    <n v="-1"/>
    <s v="FVE"/>
    <s v="16-01-2026"/>
    <s v="16-01-2026 11:24:55"/>
    <s v="900800595"/>
    <s v="Provexpress SAS"/>
    <s v="830004748"/>
    <x v="317"/>
    <n v="9222.6"/>
    <n v="0"/>
    <n v="0"/>
    <n v="57762.6"/>
    <s v="Aprobado con notificación"/>
    <s v="Emitido"/>
    <x v="0"/>
    <x v="0"/>
    <x v="0"/>
    <x v="0"/>
    <x v="1"/>
    <x v="1"/>
    <s v="FACTURA PAGA EN EL SISTEMA 18/02/2026"/>
  </r>
  <r>
    <s v="Factura electrónica"/>
    <s v="7ea0673faa30066c4f46064739037eebb9cce6aa95212d3076fe03dae1f5b873bfa8dfe077f23e84f8f9bc50448bb2a1"/>
    <x v="528"/>
    <n v="-1"/>
    <s v="FVE"/>
    <s v="16-01-2026"/>
    <s v="16-01-2026 11:24:08"/>
    <s v="900800595"/>
    <s v="Provexpress SAS"/>
    <s v="830040455"/>
    <x v="318"/>
    <n v="8831.2000000000007"/>
    <n v="0"/>
    <n v="0"/>
    <n v="55311.199999999997"/>
    <s v="Aprobado con notificación"/>
    <s v="Emitido"/>
    <x v="0"/>
    <x v="0"/>
    <x v="0"/>
    <x v="0"/>
    <x v="1"/>
    <x v="1"/>
    <s v="FACTURA PAGA EN EL SISTEMA 23/02/2026"/>
  </r>
  <r>
    <s v="Factura electrónica"/>
    <s v="c7bb3f7de7eb9c24ac638bfa4956afd2f463074f64d50b73e758d749cfa34a84457eaf87d29eb2ddbfece954c6719d02"/>
    <x v="529"/>
    <n v="-1"/>
    <s v="FVE"/>
    <s v="16-01-2026"/>
    <s v="16-01-2026 11:24:15"/>
    <s v="900800595"/>
    <s v="Provexpress SAS"/>
    <s v="860046645"/>
    <x v="319"/>
    <n v="15188.6"/>
    <n v="0"/>
    <n v="0"/>
    <n v="95128.6"/>
    <s v="Aprobado con notificación"/>
    <s v="Emitido"/>
    <x v="0"/>
    <x v="0"/>
    <x v="0"/>
    <x v="0"/>
    <x v="1"/>
    <x v="1"/>
    <s v="FACTURA PAGA EN EL SISTEMA 16/02/2026"/>
  </r>
  <r>
    <s v="Factura electrónica"/>
    <s v="1c94091510cd7c99a96b7077ab80a5dd2d01e5f8de1b75a99937cc27987d5900b9e3101985cd150e6818e53a4bf75e9b"/>
    <x v="530"/>
    <n v="-1"/>
    <s v="FVE"/>
    <s v="16-01-2026"/>
    <s v="16-01-2026 11:24:20"/>
    <s v="900800595"/>
    <s v="Provexpress SAS"/>
    <s v="901345524"/>
    <x v="320"/>
    <n v="8626494"/>
    <n v="0"/>
    <n v="0"/>
    <n v="54029094"/>
    <s v="Aprobado con notificación"/>
    <s v="Emitido"/>
    <x v="0"/>
    <x v="0"/>
    <x v="0"/>
    <x v="0"/>
    <x v="1"/>
    <x v="1"/>
    <s v="FACTURA PAGA EN EL SISTEMA 18/02/2026"/>
  </r>
  <r>
    <s v="Factura electrónica"/>
    <s v="37678357e2acaa1bdd1123c34d92eda5b02715e6e88f3c2b81d736865163a17db7dddefeda11ffb8bb555a28d8415d3a"/>
    <x v="531"/>
    <n v="-1"/>
    <s v="FVE"/>
    <s v="16-01-2026"/>
    <s v="16-01-2026 11:24:55"/>
    <s v="900800595"/>
    <s v="Provexpress SAS"/>
    <s v="900033883"/>
    <x v="321"/>
    <n v="116698"/>
    <n v="0"/>
    <n v="0"/>
    <n v="730898"/>
    <s v="Aprobado con notificación"/>
    <s v="Emitido"/>
    <x v="0"/>
    <x v="0"/>
    <x v="0"/>
    <x v="0"/>
    <x v="1"/>
    <x v="1"/>
    <s v="FACTURA PAGA EN EL SISTEMA 19/02/2026"/>
  </r>
  <r>
    <s v="Factura electrónica"/>
    <s v="4fe367c801ad7c7ebea4143613fcf7fdac2b0425dcadac130ceac80bd16a40954d707615a10ae86f415ca5c5db0866b3"/>
    <x v="532"/>
    <n v="-1"/>
    <s v="FVE"/>
    <s v="16-01-2026"/>
    <s v="16-01-2026 11:43:08"/>
    <s v="900800595"/>
    <s v="Provexpress SAS"/>
    <s v="900328834"/>
    <x v="322"/>
    <n v="575510"/>
    <n v="0"/>
    <n v="0"/>
    <n v="3604510"/>
    <s v="Aprobado con notificación"/>
    <s v="Emitido"/>
    <x v="1"/>
    <x v="0"/>
    <x v="0"/>
    <x v="0"/>
    <x v="1"/>
    <x v="0"/>
    <m/>
  </r>
  <r>
    <s v="Factura electrónica"/>
    <s v="932c7949c4189c02fec05b889bf1648b266118ecfb1e08b2ed0ce610896fc406808f66b655f5d8aa7970d535a27b868e"/>
    <x v="533"/>
    <n v="-1"/>
    <s v="FVE"/>
    <s v="16-01-2026"/>
    <s v="16-01-2026 11:43:07"/>
    <s v="900800595"/>
    <s v="Provexpress SAS"/>
    <s v="900037743"/>
    <x v="232"/>
    <n v="113620"/>
    <n v="0"/>
    <n v="0"/>
    <n v="711620"/>
    <s v="Aprobado con notificación"/>
    <s v="Emitido"/>
    <x v="0"/>
    <x v="0"/>
    <x v="0"/>
    <x v="1"/>
    <x v="1"/>
    <x v="0"/>
    <m/>
  </r>
  <r>
    <s v="Factura electrónica"/>
    <s v="811260f4e8b94cd84aba03d336fb3087718c19536773016dcf7f85b65b9fb3282a980894c63c177c13bf51af57f6b325"/>
    <x v="534"/>
    <n v="-1"/>
    <s v="FVE"/>
    <s v="16-01-2026"/>
    <s v="16-01-2026 11:43:09"/>
    <s v="900800595"/>
    <s v="Provexpress SAS"/>
    <s v="900037743"/>
    <x v="232"/>
    <n v="1937905"/>
    <n v="0"/>
    <n v="0"/>
    <n v="12137405"/>
    <s v="Aprobado con notificación"/>
    <s v="Emitido"/>
    <x v="0"/>
    <x v="0"/>
    <x v="0"/>
    <x v="0"/>
    <x v="1"/>
    <x v="1"/>
    <s v="PAGA EN SISTEMA 24/02/2026"/>
  </r>
  <r>
    <s v="Factura electrónica"/>
    <s v="964a8f2c2f2e9081b5b60c2dd2b3b97931254be7c61cf5bf413c1e45a56dbc09e0bd9b8671744232f42a31114aff5cdf"/>
    <x v="535"/>
    <n v="-1"/>
    <s v="FVE"/>
    <s v="16-01-2026"/>
    <s v="16-01-2026 11:43:14"/>
    <s v="900800595"/>
    <s v="Provexpress SAS"/>
    <s v="860045210"/>
    <x v="323"/>
    <n v="101270"/>
    <n v="0"/>
    <n v="0"/>
    <n v="700270"/>
    <s v="Aprobado con notificación"/>
    <s v="Emitido"/>
    <x v="0"/>
    <x v="0"/>
    <x v="1"/>
    <x v="0"/>
    <x v="1"/>
    <x v="0"/>
    <m/>
  </r>
  <r>
    <s v="Factura electrónica"/>
    <s v="e291bf8f03aabf61f546164ff5769a465f33b4a39c5b22e00bc4feac5b55b2b6c5da737b77a75b21cf92c9d36892d8fb"/>
    <x v="536"/>
    <n v="-1"/>
    <s v="FVE"/>
    <s v="16-01-2026"/>
    <s v="16-01-2026 11:54:59"/>
    <s v="900800595"/>
    <s v="Provexpress SAS"/>
    <s v="830050228"/>
    <x v="192"/>
    <n v="745370"/>
    <n v="0"/>
    <n v="0"/>
    <n v="4668370"/>
    <s v="Aprobado con notificación"/>
    <s v="Emitido"/>
    <x v="0"/>
    <x v="0"/>
    <x v="0"/>
    <x v="0"/>
    <x v="1"/>
    <x v="1"/>
    <s v="PAGA EN SISTEMA 27/02/2026"/>
  </r>
  <r>
    <s v="Factura electrónica"/>
    <s v="2a7e4ac57b915ba8ddcf662f9ae1d7efbb22fb9ad380760f1ff3481185a145e69e476249b146e8b025d3aa84a4942f49"/>
    <x v="537"/>
    <n v="-1"/>
    <s v="FVE"/>
    <s v="16-01-2026"/>
    <s v="16-01-2026 12:10:10"/>
    <s v="900800595"/>
    <s v="Provexpress SAS"/>
    <s v="860508392"/>
    <x v="324"/>
    <n v="16150"/>
    <n v="0"/>
    <n v="0"/>
    <n v="101150"/>
    <s v="Aprobado con notificación"/>
    <s v="Emitido"/>
    <x v="0"/>
    <x v="0"/>
    <x v="0"/>
    <x v="0"/>
    <x v="1"/>
    <x v="1"/>
    <s v="PAGA EN EL SISTEMA 27/02/2026"/>
  </r>
  <r>
    <s v="Factura electrónica"/>
    <s v="40f7bb366f95b10aab89cc532888b30b1775d41aa539fd31ba1c87b5fbc8f25f91bb30ac721167e7dc8393aafa5e07fe"/>
    <x v="538"/>
    <n v="-1"/>
    <s v="FVE"/>
    <s v="16-01-2026"/>
    <s v="16-01-2026 12:10:15"/>
    <s v="900800595"/>
    <s v="Provexpress SAS"/>
    <s v="800241469"/>
    <x v="89"/>
    <n v="70300"/>
    <n v="0"/>
    <n v="0"/>
    <n v="440300"/>
    <s v="Aprobado con notificación"/>
    <s v="Emitido"/>
    <x v="0"/>
    <x v="0"/>
    <x v="0"/>
    <x v="0"/>
    <x v="1"/>
    <x v="1"/>
    <s v="PAGA EN SISTEMA 20/02/2026"/>
  </r>
  <r>
    <s v="Factura electrónica"/>
    <s v="6a6a98c24c29793bf608ebc1193b68d7978f2c647e8d743438bd2ff6b884109949c647a62d8ed91e0be76fa1f93bc58f"/>
    <x v="539"/>
    <n v="-1"/>
    <s v="FVE"/>
    <s v="16-01-2026"/>
    <s v="16-01-2026 12:10:19"/>
    <s v="900800595"/>
    <s v="Provexpress SAS"/>
    <s v="900015165"/>
    <x v="84"/>
    <n v="66500"/>
    <n v="0"/>
    <n v="0"/>
    <n v="416500"/>
    <s v="Aprobado con notificación"/>
    <s v="Emitido"/>
    <x v="0"/>
    <x v="0"/>
    <x v="0"/>
    <x v="0"/>
    <x v="1"/>
    <x v="1"/>
    <s v="FACTURA PAGA EN EL SISTEMA 26/01/2026"/>
  </r>
  <r>
    <s v="Factura electrónica"/>
    <s v="b31294cc68228bcb61048a4afac37b473837a8a713422595cc6a192b7458f53e4a65102f9fb1f81f669d6c91b249a416"/>
    <x v="540"/>
    <n v="-1"/>
    <s v="FVE"/>
    <s v="16-01-2026"/>
    <s v="16-01-2026 12:10:24"/>
    <s v="900800595"/>
    <s v="Provexpress SAS"/>
    <s v="860048112"/>
    <x v="297"/>
    <n v="48450"/>
    <n v="0"/>
    <n v="0"/>
    <n v="303450"/>
    <s v="Aprobado con notificación"/>
    <s v="Emitido"/>
    <x v="0"/>
    <x v="0"/>
    <x v="0"/>
    <x v="0"/>
    <x v="1"/>
    <x v="1"/>
    <s v="FACTURA PAGA EN EL SISTEMA 17/02/2026"/>
  </r>
  <r>
    <s v="Factura electrónica"/>
    <s v="aee1af9805a1cabb708f8ca523b25704af8373dbb28e9c3842f4b4bbe49832013b17651c7c6254364718939c60e8b337"/>
    <x v="541"/>
    <n v="-1"/>
    <s v="FVE"/>
    <s v="16-01-2026"/>
    <s v="16-01-2026 12:10:28"/>
    <s v="900800595"/>
    <s v="Provexpress SAS"/>
    <s v="860022382"/>
    <x v="325"/>
    <n v="1891515.1"/>
    <n v="0"/>
    <n v="0"/>
    <n v="21985805.100000001"/>
    <s v="Aprobado con notificación"/>
    <s v="Emitido"/>
    <x v="0"/>
    <x v="0"/>
    <x v="0"/>
    <x v="0"/>
    <x v="1"/>
    <x v="1"/>
    <s v="FACTURA PAGA EN EL SISTEMA 25/02/2026"/>
  </r>
  <r>
    <s v="Factura electrónica"/>
    <s v="c2dd3ce0fb7969fbede1b9bc8d2a9f3d1a1a2cec2a4f82b22f80b412ad25debf29db9e3a4f90e4cc8a797e740217e4e9"/>
    <x v="542"/>
    <n v="-1"/>
    <s v="FVE"/>
    <s v="16-01-2026"/>
    <s v="16-01-2026 12:10:34"/>
    <s v="900800595"/>
    <s v="Provexpress SAS"/>
    <s v="860022382"/>
    <x v="325"/>
    <n v="105231.5"/>
    <n v="0"/>
    <n v="0"/>
    <n v="659081.5"/>
    <s v="Aprobado con notificación"/>
    <s v="Emitido"/>
    <x v="0"/>
    <x v="0"/>
    <x v="0"/>
    <x v="0"/>
    <x v="1"/>
    <x v="1"/>
    <s v="FACTURA PAGA EN EL SISTEMA 25/02/2026"/>
  </r>
  <r>
    <s v="Factura electrónica"/>
    <s v="9053f84157e636e958332803ce6fc19c625bee0b59ff74922cd16743ce6da354f02c97050c493aa33bd94629ec6f77cc"/>
    <x v="543"/>
    <n v="-1"/>
    <s v="FVE"/>
    <s v="16-01-2026"/>
    <s v="16-01-2026 12:10:38"/>
    <s v="900800595"/>
    <s v="Provexpress SAS"/>
    <s v="800181114"/>
    <x v="326"/>
    <n v="1307200"/>
    <n v="0"/>
    <n v="0"/>
    <n v="8187200"/>
    <s v="Aprobado con notificación"/>
    <s v="Emitido"/>
    <x v="1"/>
    <x v="0"/>
    <x v="0"/>
    <x v="0"/>
    <x v="1"/>
    <x v="0"/>
    <m/>
  </r>
  <r>
    <s v="Factura electrónica"/>
    <s v="0a50ab6046c15b82c98e9e3b7cb6a373e3fc62cc153850c51caaeda4de5b029e7f30a72d76b0540ec4f592ca8c43a404"/>
    <x v="544"/>
    <n v="-1"/>
    <s v="FVE"/>
    <s v="16-01-2026"/>
    <s v="16-01-2026 12:25:49"/>
    <s v="900800595"/>
    <s v="Provexpress SAS"/>
    <s v="804003084"/>
    <x v="145"/>
    <n v="0"/>
    <n v="0"/>
    <n v="0"/>
    <n v="345000"/>
    <s v="Aprobado con notificación"/>
    <s v="Emitido"/>
    <x v="0"/>
    <x v="0"/>
    <x v="0"/>
    <x v="0"/>
    <x v="1"/>
    <x v="1"/>
    <s v="PAGA EN SISTEMA 27/02/2026"/>
  </r>
  <r>
    <s v="Factura electrónica"/>
    <s v="dbe08d770f3268e3887b57223cd9c1b8357d3b5ff909385fa7a8aca27ce410ff6e9d894f200d0c1d39aec72c3176161c"/>
    <x v="545"/>
    <n v="-1"/>
    <s v="FVE"/>
    <s v="16-01-2026"/>
    <s v="16-01-2026 12:25:54"/>
    <s v="900800595"/>
    <s v="Provexpress SAS"/>
    <s v="900703363"/>
    <x v="327"/>
    <n v="463600"/>
    <n v="0"/>
    <n v="0"/>
    <n v="2903600"/>
    <s v="Aprobado con notificación"/>
    <s v="Emitido"/>
    <x v="0"/>
    <x v="0"/>
    <x v="0"/>
    <x v="0"/>
    <x v="1"/>
    <x v="1"/>
    <s v="FACTURA PAGA EN EL SISTEMA 18/02/2026"/>
  </r>
  <r>
    <s v="Factura electrónica"/>
    <s v="02d262dc6f4064bf7e8eee9d1cba05fc4d78944bab9617a767a9dd6c0d5a1f00706acbca316eca2e01b9b97fd5f0b36f"/>
    <x v="546"/>
    <n v="-1"/>
    <s v="FVE"/>
    <s v="16-01-2026"/>
    <s v="16-01-2026 12:25:59"/>
    <s v="900800595"/>
    <s v="Provexpress SAS"/>
    <s v="900921826"/>
    <x v="328"/>
    <n v="61750"/>
    <n v="0"/>
    <n v="0"/>
    <n v="386750"/>
    <s v="Aprobado con notificación"/>
    <s v="Emitido"/>
    <x v="0"/>
    <x v="0"/>
    <x v="0"/>
    <x v="0"/>
    <x v="0"/>
    <x v="0"/>
    <m/>
  </r>
  <r>
    <s v="Factura electrónica"/>
    <s v="1acdb9fe43c5c39ef2259666d0752eac4906130ac73f4a92b7d66afd7613c090b66a587ed81525d95273913cd8d5c707"/>
    <x v="547"/>
    <n v="-1"/>
    <s v="FVE"/>
    <s v="16-01-2026"/>
    <s v="16-01-2026 12:26:03"/>
    <s v="900800595"/>
    <s v="Provexpress SAS"/>
    <s v="1030534674"/>
    <x v="329"/>
    <n v="1558000"/>
    <n v="0"/>
    <n v="0"/>
    <n v="9758000"/>
    <s v="Aprobado con notificación"/>
    <s v="Emitido"/>
    <x v="0"/>
    <x v="0"/>
    <x v="0"/>
    <x v="0"/>
    <x v="1"/>
    <x v="1"/>
    <s v="FACTURA PAGA EN EL SISTEMA 19/01/2026"/>
  </r>
  <r>
    <s v="Factura electrónica"/>
    <s v="c599b66e8e465185ea5558047df93624d0045c5b64496ce90daf5b88a9270e09b8680b19e4f25aba18f5fdac0fabe0d9"/>
    <x v="548"/>
    <n v="-1"/>
    <s v="FVE"/>
    <s v="16-01-2026"/>
    <s v="16-01-2026 12:41:15"/>
    <s v="900800595"/>
    <s v="Provexpress SAS"/>
    <s v="901180401"/>
    <x v="188"/>
    <n v="300675"/>
    <n v="0"/>
    <n v="0"/>
    <n v="1883175"/>
    <s v="Aprobado con notificación"/>
    <s v="Emitido"/>
    <x v="0"/>
    <x v="0"/>
    <x v="0"/>
    <x v="0"/>
    <x v="1"/>
    <x v="1"/>
    <s v="FACTURA PAGA EN EL SISTEMA 18/02/2026"/>
  </r>
  <r>
    <s v="Factura electrónica"/>
    <s v="6d44f73966aed5e96ae94873d5393c3d2e312272ff0d876bb10b9bee3f322aee01e108874b4e7a2923c0d1836d098755"/>
    <x v="549"/>
    <n v="-1"/>
    <s v="FVE"/>
    <s v="16-01-2026"/>
    <s v="16-01-2026 12:41:19"/>
    <s v="900800595"/>
    <s v="Provexpress SAS"/>
    <s v="901819545"/>
    <x v="330"/>
    <n v="794274.67"/>
    <n v="0"/>
    <n v="0"/>
    <n v="5479667.6699999999"/>
    <s v="Aprobado con notificación"/>
    <s v="Emitido"/>
    <x v="0"/>
    <x v="0"/>
    <x v="0"/>
    <x v="0"/>
    <x v="1"/>
    <x v="1"/>
    <s v="FACTURA PAGA EN EL SISTEMA 17/02/2026"/>
  </r>
  <r>
    <s v="Factura electrónica"/>
    <s v="42578cd778ad652c5807426def0356133444935a9dd554d31d805833519e77ce40df03c47fa9b13d311b568d0a01e8ba"/>
    <x v="550"/>
    <n v="-1"/>
    <s v="FVE"/>
    <s v="16-01-2026"/>
    <s v="16-01-2026 12:41:24"/>
    <s v="900800595"/>
    <s v="Provexpress SAS"/>
    <s v="901819545"/>
    <x v="330"/>
    <n v="794274.67"/>
    <n v="0"/>
    <n v="0"/>
    <n v="5479667.6699999999"/>
    <s v="Aprobado con notificación"/>
    <s v="Emitido"/>
    <x v="0"/>
    <x v="0"/>
    <x v="0"/>
    <x v="0"/>
    <x v="1"/>
    <x v="1"/>
    <s v="FACTURA PAGA EN EL SISTEMA 17/02/2026"/>
  </r>
  <r>
    <s v="Factura electrónica"/>
    <s v="b6a847268793e5e871baf8e19c6725b97ca5b2f1e2709058443aad6dcac2ca6adc87a04d3072317652e233af1fe58ae1"/>
    <x v="551"/>
    <n v="-1"/>
    <s v="FVE"/>
    <s v="16-01-2026"/>
    <s v="16-01-2026 12:41:29"/>
    <s v="900800595"/>
    <s v="Provexpress SAS"/>
    <s v="900418860"/>
    <x v="331"/>
    <n v="0"/>
    <n v="0"/>
    <n v="0"/>
    <n v="505000"/>
    <s v="Aprobado con notificación"/>
    <s v="Emitido"/>
    <x v="0"/>
    <x v="0"/>
    <x v="0"/>
    <x v="0"/>
    <x v="1"/>
    <x v="1"/>
    <s v="FACTURA PAGA EN EL SISTEMA 17/02/2026"/>
  </r>
  <r>
    <s v="Factura electrónica"/>
    <s v="376c4ab529df9cc1e0f29174f370dd4c40d9adcd243384a9311b6fa292b4cb5074e475fde57f29ddb76007ea879863c1"/>
    <x v="552"/>
    <n v="-1"/>
    <s v="FVE"/>
    <s v="16-01-2026"/>
    <s v="16-01-2026 12:41:33"/>
    <s v="900800595"/>
    <s v="Provexpress SAS"/>
    <s v="860517608"/>
    <x v="332"/>
    <n v="0"/>
    <n v="0"/>
    <n v="0"/>
    <n v="45466527.600000001"/>
    <s v="Aprobado con notificación"/>
    <s v="Emitido"/>
    <x v="0"/>
    <x v="0"/>
    <x v="0"/>
    <x v="0"/>
    <x v="1"/>
    <x v="1"/>
    <s v="PAGA EN EL SISTEMA2/03/2026"/>
  </r>
  <r>
    <s v="Factura electrónica"/>
    <s v="56bcf7dafb92e7975881e6a33ccd3b9255ba8b0ea91211916eec4dc7a185132b432115b4164275e499b01bb10a0dc346"/>
    <x v="553"/>
    <n v="-1"/>
    <s v="FVE"/>
    <s v="16-01-2026"/>
    <s v="16-01-2026 12:56:45"/>
    <s v="900800595"/>
    <s v="Provexpress SAS"/>
    <s v="860533413"/>
    <x v="194"/>
    <n v="1191300"/>
    <n v="0"/>
    <n v="0"/>
    <n v="7461300"/>
    <s v="Aprobado con notificación"/>
    <s v="Emitido"/>
    <x v="1"/>
    <x v="0"/>
    <x v="0"/>
    <x v="0"/>
    <x v="1"/>
    <x v="0"/>
    <m/>
  </r>
  <r>
    <s v="Factura electrónica"/>
    <s v="a1417049019e81663f546c7da58c37540a4f3e9de328b8d37999906908bdf77c8d042133c27ddd2d1e3699f2a84fae2f"/>
    <x v="554"/>
    <n v="-1"/>
    <s v="FVE"/>
    <s v="16-01-2026"/>
    <s v="16-01-2026 13:11:56"/>
    <s v="900800595"/>
    <s v="Provexpress SAS"/>
    <s v="830059052"/>
    <x v="333"/>
    <n v="68301.23"/>
    <n v="0"/>
    <n v="0"/>
    <n v="453830.23"/>
    <s v="Aprobado con notificación"/>
    <s v="Emitido"/>
    <x v="0"/>
    <x v="0"/>
    <x v="0"/>
    <x v="0"/>
    <x v="1"/>
    <x v="0"/>
    <m/>
  </r>
  <r>
    <s v="Factura electrónica"/>
    <s v="5969855dd9fa94d70b90e375da410912f1d58d2649cba7adf270b78148fe34bbff5ea1c13882ee4286ecdeb788567150"/>
    <x v="555"/>
    <n v="-1"/>
    <s v="FVE"/>
    <s v="16-01-2026"/>
    <s v="16-01-2026 14:57:56"/>
    <s v="900800595"/>
    <s v="Provexpress SAS"/>
    <s v="890903858"/>
    <x v="334"/>
    <n v="3803138.04"/>
    <n v="0"/>
    <n v="0"/>
    <n v="23819654.039999999"/>
    <s v="Aprobado con notificación"/>
    <s v="Emitido"/>
    <x v="0"/>
    <x v="1"/>
    <x v="0"/>
    <x v="0"/>
    <x v="1"/>
    <x v="0"/>
    <m/>
  </r>
  <r>
    <s v="Factura electrónica"/>
    <s v="dbb85d6779483d44b3caf33d16983aca96d61dc75ee968388877a2482b0495ab51715f3af8373023c3b54b3a39656941"/>
    <x v="556"/>
    <n v="-1"/>
    <s v="FVE"/>
    <s v="16-01-2026"/>
    <s v="16-01-2026 14:58:01"/>
    <s v="900800595"/>
    <s v="Provexpress SAS"/>
    <s v="890903858"/>
    <x v="334"/>
    <n v="16107091.92"/>
    <n v="0"/>
    <n v="0"/>
    <n v="100881259.92"/>
    <s v="Aprobado con notificación"/>
    <s v="Emitido"/>
    <x v="0"/>
    <x v="1"/>
    <x v="0"/>
    <x v="0"/>
    <x v="1"/>
    <x v="0"/>
    <m/>
  </r>
  <r>
    <s v="Factura electrónica"/>
    <s v="522bfdf22cc07f3c68ddcf9b37c60a9388c680b5a0be809ff7ed1575b3d02096e2d9b30302ca9861f3cad7269012f334"/>
    <x v="557"/>
    <n v="-1"/>
    <s v="FVE"/>
    <s v="16-01-2026"/>
    <s v="16-01-2026 14:58:06"/>
    <s v="900800595"/>
    <s v="Provexpress SAS"/>
    <s v="890903858"/>
    <x v="334"/>
    <n v="16107091.92"/>
    <n v="0"/>
    <n v="0"/>
    <n v="100881259.92"/>
    <s v="Aprobado con notificación"/>
    <s v="Emitido"/>
    <x v="0"/>
    <x v="1"/>
    <x v="0"/>
    <x v="0"/>
    <x v="1"/>
    <x v="0"/>
    <m/>
  </r>
  <r>
    <s v="Factura electrónica"/>
    <s v="0aed240820a652f29f6ada71a639ae21a28c24d8dd6f46a59006ea5b439a52e9d92287c82f01d2e6e49a880273a7aa41"/>
    <x v="558"/>
    <n v="-1"/>
    <s v="FVE"/>
    <s v="16-01-2026"/>
    <s v="16-01-2026 14:58:11"/>
    <s v="900800595"/>
    <s v="Provexpress SAS"/>
    <s v="830067414"/>
    <x v="289"/>
    <n v="573593.66"/>
    <n v="0"/>
    <n v="0"/>
    <n v="3592507.66"/>
    <s v="Aprobado con notificación"/>
    <s v="Emitido"/>
    <x v="1"/>
    <x v="0"/>
    <x v="0"/>
    <x v="0"/>
    <x v="1"/>
    <x v="0"/>
    <m/>
  </r>
  <r>
    <s v="Factura electrónica"/>
    <s v="d786d905f20d7a5d34c987bbec3377986164d233cd6b5d3f3b16f929c8a347fe47ec367ce6c85c474416285de6b461ac"/>
    <x v="559"/>
    <n v="-1"/>
    <s v="FVE"/>
    <s v="16-01-2026"/>
    <s v="16-01-2026 14:58:16"/>
    <s v="900800595"/>
    <s v="Provexpress SAS"/>
    <s v="800042119"/>
    <x v="147"/>
    <n v="340247.06"/>
    <n v="0"/>
    <n v="0"/>
    <n v="2131021.06"/>
    <s v="Aprobado con notificación"/>
    <s v="Emitido"/>
    <x v="1"/>
    <x v="0"/>
    <x v="0"/>
    <x v="0"/>
    <x v="1"/>
    <x v="0"/>
    <m/>
  </r>
  <r>
    <s v="Factura electrónica"/>
    <s v="24b644c76b2a86e12a5e1bc8910aa2bead4d0daa5a9b101111872eb3f3b07a04e2341d99d376199f8f90af32238e0a03"/>
    <x v="560"/>
    <n v="-1"/>
    <s v="FVE"/>
    <s v="16-01-2026"/>
    <s v="16-01-2026 15:13:26"/>
    <s v="900800595"/>
    <s v="Provexpress SAS"/>
    <s v="890112475"/>
    <x v="173"/>
    <n v="848093.88"/>
    <n v="0"/>
    <n v="0"/>
    <n v="5311745.88"/>
    <s v="Aprobado con notificación"/>
    <s v="Emitido"/>
    <x v="1"/>
    <x v="0"/>
    <x v="0"/>
    <x v="0"/>
    <x v="1"/>
    <x v="0"/>
    <m/>
  </r>
  <r>
    <s v="Factura electrónica"/>
    <s v="4c445c13561fa2c9250fb6c4339bc2209728b7c09d11c728ee4cc9ba2e66ebcc38c1fde50a9b46098a2f45ab8f1ad663"/>
    <x v="561"/>
    <n v="-1"/>
    <s v="FVE"/>
    <s v="16-01-2026"/>
    <s v="16-01-2026 16:02:09"/>
    <s v="900800595"/>
    <s v="Provexpress SAS"/>
    <s v="830102932"/>
    <x v="335"/>
    <n v="53200"/>
    <n v="0"/>
    <n v="0"/>
    <n v="333200"/>
    <s v="Aprobado con notificación"/>
    <s v="Emitido"/>
    <x v="0"/>
    <x v="0"/>
    <x v="0"/>
    <x v="0"/>
    <x v="1"/>
    <x v="1"/>
    <s v="FACTURA PAGA EN EL SISTEMA 19/01/2026"/>
  </r>
  <r>
    <s v="Factura electrónica"/>
    <s v="a2438262f6d432e587fda055d8e71ac7c9eddd164f86c3bbfa764dbc0ae92d51292df12b53c5a5ecb81492cd94aced6b"/>
    <x v="562"/>
    <n v="-1"/>
    <s v="FVE"/>
    <s v="16-01-2026"/>
    <s v="16-01-2026 16:02:16"/>
    <s v="900800595"/>
    <s v="Provexpress SAS"/>
    <s v="900611019"/>
    <x v="336"/>
    <n v="6175760"/>
    <n v="0"/>
    <n v="0"/>
    <n v="38679760"/>
    <s v="Aprobado con notificación"/>
    <s v="Emitido"/>
    <x v="1"/>
    <x v="0"/>
    <x v="0"/>
    <x v="0"/>
    <x v="1"/>
    <x v="0"/>
    <m/>
  </r>
  <r>
    <s v="Factura electrónica"/>
    <s v="271e8256c5cbe43552497eb95539aba7800320871a50d325b3b842378f1c548f5e748a94d6e4a4daf6a55d7b497579b1"/>
    <x v="563"/>
    <n v="-1"/>
    <s v="FVE"/>
    <s v="16-01-2026"/>
    <s v="16-01-2026 16:01:39"/>
    <s v="900800595"/>
    <s v="Provexpress SAS"/>
    <s v="830084232"/>
    <x v="51"/>
    <n v="0"/>
    <n v="0"/>
    <n v="0"/>
    <n v="3555000"/>
    <s v="Aprobado con notificación"/>
    <s v="Emitido"/>
    <x v="0"/>
    <x v="0"/>
    <x v="0"/>
    <x v="0"/>
    <x v="1"/>
    <x v="1"/>
    <s v="FACTURA PAGA EN EL SISTEMA 30/01/2026"/>
  </r>
  <r>
    <s v="Factura electrónica"/>
    <s v="d61f66f626e91e2e96000350d29e566febb0aaa2b6c55689f619c18fe4aa624fc34997e66696b0894fbc0725f98df4f8"/>
    <x v="564"/>
    <n v="-1"/>
    <s v="FVE"/>
    <s v="16-01-2026"/>
    <s v="16-01-2026 16:21:35"/>
    <s v="900800595"/>
    <s v="Provexpress SAS"/>
    <s v="860006848"/>
    <x v="337"/>
    <n v="360002.5"/>
    <n v="0"/>
    <n v="0"/>
    <n v="2254752.5"/>
    <s v="Aprobado con notificación"/>
    <s v="Emitido"/>
    <x v="0"/>
    <x v="0"/>
    <x v="0"/>
    <x v="0"/>
    <x v="1"/>
    <x v="1"/>
    <s v="FACTURA PAGA EN EL SISTEMA 20/02/2026"/>
  </r>
  <r>
    <s v="Factura electrónica"/>
    <s v="d3344e63cbfcd951847ca23c86bb66af02c4502519c1b0b5ebd970355748554d9c32477c034e16b5de205e5ad186b88b"/>
    <x v="565"/>
    <n v="-1"/>
    <s v="FVE"/>
    <s v="19-01-2026"/>
    <s v="19-01-2026 08:26:48"/>
    <s v="900800595"/>
    <s v="Provexpress SAS"/>
    <s v="830095970"/>
    <x v="2"/>
    <n v="3372500"/>
    <n v="0"/>
    <n v="0"/>
    <n v="21122500"/>
    <s v="Aprobado con notificación"/>
    <s v="Emitido"/>
    <x v="1"/>
    <x v="0"/>
    <x v="0"/>
    <x v="0"/>
    <x v="1"/>
    <x v="0"/>
    <m/>
  </r>
  <r>
    <s v="Factura electrónica"/>
    <s v="9cdbe70e8c538db337edac899034579b55760bf4e56ba635fe14ccd1a090a56ced3088a4e0b1d80c1bd3570585eeaa40"/>
    <x v="566"/>
    <n v="-1"/>
    <s v="FVE"/>
    <s v="19-01-2026"/>
    <s v="19-01-2026 08:26:53"/>
    <s v="900800595"/>
    <s v="Provexpress SAS"/>
    <s v="900682841"/>
    <x v="3"/>
    <n v="3372500"/>
    <n v="0"/>
    <n v="0"/>
    <n v="21122500"/>
    <s v="Aprobado con notificación"/>
    <s v="Emitido"/>
    <x v="1"/>
    <x v="0"/>
    <x v="0"/>
    <x v="0"/>
    <x v="1"/>
    <x v="0"/>
    <m/>
  </r>
  <r>
    <s v="Factura electrónica"/>
    <s v="485eebe53750a01eea073de45229946ea44d044bd9282d73470d7e0661f2ce99523a209695144be82e313291907ed78e"/>
    <x v="567"/>
    <n v="-1"/>
    <s v="FVE"/>
    <s v="19-01-2026"/>
    <s v="19-01-2026 08:26:58"/>
    <s v="900800595"/>
    <s v="Provexpress SAS"/>
    <s v="900647719"/>
    <x v="338"/>
    <n v="3372500"/>
    <n v="0"/>
    <n v="0"/>
    <n v="21122500"/>
    <s v="Aprobado con notificación"/>
    <s v="Emitido"/>
    <x v="1"/>
    <x v="0"/>
    <x v="0"/>
    <x v="0"/>
    <x v="1"/>
    <x v="0"/>
    <m/>
  </r>
  <r>
    <s v="Factura electrónica"/>
    <s v="4f6f0722bfb8862aed31e759590dfc3c3866cbe42fbc88eac5c3a46cfe921d1ce4cc8d2c6b945fbaf312e8987c4b50e5"/>
    <x v="568"/>
    <n v="-1"/>
    <s v="FVE"/>
    <s v="19-01-2026"/>
    <s v="19-01-2026 08:27:01"/>
    <s v="900800595"/>
    <s v="Provexpress SAS"/>
    <s v="800024265"/>
    <x v="4"/>
    <n v="3372500"/>
    <n v="0"/>
    <n v="0"/>
    <n v="21122500"/>
    <s v="Aprobado con notificación"/>
    <s v="Emitido"/>
    <x v="0"/>
    <x v="0"/>
    <x v="1"/>
    <x v="0"/>
    <x v="1"/>
    <x v="0"/>
    <m/>
  </r>
  <r>
    <s v="Factura electrónica"/>
    <s v="1ae9cc74e0cf1c5ba609c78275290e824c15f2e7a0c16c609c43b274044e33e9a9d590a6c1446174e45b621b2fb5b537"/>
    <x v="569"/>
    <n v="-1"/>
    <s v="FVE"/>
    <s v="19-01-2026"/>
    <s v="19-01-2026 08:27:06"/>
    <s v="900800595"/>
    <s v="Provexpress SAS"/>
    <s v="901041691"/>
    <x v="14"/>
    <n v="239051.16"/>
    <n v="0"/>
    <n v="0"/>
    <n v="1497215.16"/>
    <s v="Aprobado con notificación"/>
    <s v="Emitido"/>
    <x v="0"/>
    <x v="1"/>
    <x v="0"/>
    <x v="0"/>
    <x v="1"/>
    <x v="0"/>
    <m/>
  </r>
  <r>
    <s v="Factura electrónica"/>
    <s v="e71bf586ea2ad6f52da3f84ab0f830d087c61ee8e19a41f6d5247fd24a625e6098a5c67ce3f66337fd0d3ce51b871f04"/>
    <x v="570"/>
    <n v="-1"/>
    <s v="FVE"/>
    <s v="19-01-2026"/>
    <s v="19-01-2026 08:42:17"/>
    <s v="900800595"/>
    <s v="Provexpress SAS"/>
    <s v="900328834"/>
    <x v="322"/>
    <n v="487540"/>
    <n v="0"/>
    <n v="0"/>
    <n v="3053540"/>
    <s v="Aprobado con notificación"/>
    <s v="Emitido"/>
    <x v="1"/>
    <x v="0"/>
    <x v="0"/>
    <x v="0"/>
    <x v="1"/>
    <x v="0"/>
    <m/>
  </r>
  <r>
    <s v="Factura electrónica"/>
    <s v="d9b6c31ee880d181e2cb27fb5a0a34def84f9512d92f412ab80697e11f2e207dff5efa5d1e254eec1f3b18277c059be9"/>
    <x v="571"/>
    <n v="-1"/>
    <s v="FVE"/>
    <s v="19-01-2026"/>
    <s v="19-01-2026 08:57:28"/>
    <s v="900800595"/>
    <s v="Provexpress SAS"/>
    <s v="860068182"/>
    <x v="181"/>
    <n v="2982582"/>
    <n v="0"/>
    <n v="0"/>
    <n v="18680382"/>
    <s v="Aprobado con notificación"/>
    <s v="Emitido"/>
    <x v="0"/>
    <x v="0"/>
    <x v="0"/>
    <x v="0"/>
    <x v="1"/>
    <x v="1"/>
    <s v="PAGA EN SISTEMA 17/02/2026"/>
  </r>
  <r>
    <s v="Factura electrónica"/>
    <s v="8e0eeed5e28560081bf07d5126ec6fa150f2a3f0357b80e2c2719fd852254070d55a4563a10819b63146d59af9f79cbe"/>
    <x v="572"/>
    <n v="-1"/>
    <s v="FVE"/>
    <s v="19-01-2026"/>
    <s v="19-01-2026 09:12:40"/>
    <s v="900800595"/>
    <s v="Provexpress SAS"/>
    <s v="860014040"/>
    <x v="339"/>
    <n v="3392070"/>
    <n v="0"/>
    <n v="0"/>
    <n v="21245070"/>
    <s v="Aprobado con notificación"/>
    <s v="Emitido"/>
    <x v="0"/>
    <x v="0"/>
    <x v="0"/>
    <x v="0"/>
    <x v="1"/>
    <x v="1"/>
    <s v="FACTURA PAGA EN EL SISTEMA 30/01/2026"/>
  </r>
  <r>
    <s v="Factura electrónica"/>
    <s v="1ceccd0bca7220e1cb2129ac5f266a0347f42406601fe6f2e4d45f987be25176d11a3dbae472fb06026dd84cfc256d04"/>
    <x v="573"/>
    <n v="-1"/>
    <s v="FVE"/>
    <s v="19-01-2026"/>
    <s v="19-01-2026 09:12:45"/>
    <s v="900800595"/>
    <s v="Provexpress SAS"/>
    <s v="901043512"/>
    <x v="104"/>
    <n v="0"/>
    <n v="0"/>
    <n v="0"/>
    <n v="1721000"/>
    <s v="Aprobado con notificación"/>
    <s v="Emitido"/>
    <x v="0"/>
    <x v="0"/>
    <x v="0"/>
    <x v="0"/>
    <x v="0"/>
    <x v="0"/>
    <m/>
  </r>
  <r>
    <s v="Factura electrónica"/>
    <s v="6ebb79ffa61ad93c93865f75f251ce63bb42cdbc1d88ec3d9ef3a0604a32b1f78c815857f7ffa7bdf0878190e9327df8"/>
    <x v="574"/>
    <n v="-1"/>
    <s v="FVE"/>
    <s v="19-01-2026"/>
    <s v="19-01-2026 09:27:56"/>
    <s v="900800595"/>
    <s v="Provexpress SAS"/>
    <s v="860020058"/>
    <x v="278"/>
    <n v="57950"/>
    <n v="0"/>
    <n v="0"/>
    <n v="362950"/>
    <s v="Aprobado con notificación"/>
    <s v="Emitido"/>
    <x v="1"/>
    <x v="0"/>
    <x v="0"/>
    <x v="0"/>
    <x v="1"/>
    <x v="0"/>
    <m/>
  </r>
  <r>
    <s v="Factura electrónica"/>
    <s v="9feb335a279c0a0eb5f2316131874b7911a7851e6d2afc6708ccf1ee7efa7f9dd9f9a888cb8f3a73dacb6bcf619d44e5"/>
    <x v="575"/>
    <n v="-1"/>
    <s v="FVE"/>
    <s v="19-01-2026"/>
    <s v="19-01-2026 09:58:15"/>
    <s v="900800595"/>
    <s v="Provexpress SAS"/>
    <s v="34996880"/>
    <x v="340"/>
    <n v="20178.060000000001"/>
    <n v="0"/>
    <n v="0"/>
    <n v="161432.06"/>
    <s v="Aprobado con notificación"/>
    <s v="Emitido"/>
    <x v="0"/>
    <x v="0"/>
    <x v="0"/>
    <x v="0"/>
    <x v="1"/>
    <x v="1"/>
    <s v="FACTURA PAGA EN EL SISTEMA 11/02/2026"/>
  </r>
  <r>
    <s v="Factura electrónica"/>
    <s v="634fd0eddbf2ce178c203e3396fed40c231d0c3b2339a3b459dbc7e333cdbba00a680b3ab074c69e8f06dbb5435d423f"/>
    <x v="576"/>
    <n v="-1"/>
    <s v="FVE"/>
    <s v="19-01-2026"/>
    <s v="19-01-2026 09:58:27"/>
    <s v="900800595"/>
    <s v="Provexpress SAS"/>
    <s v="860522056"/>
    <x v="74"/>
    <n v="13433"/>
    <n v="0"/>
    <n v="0"/>
    <n v="84133"/>
    <s v="Aprobado con notificación"/>
    <s v="Emitido"/>
    <x v="0"/>
    <x v="0"/>
    <x v="1"/>
    <x v="0"/>
    <x v="1"/>
    <x v="0"/>
    <m/>
  </r>
  <r>
    <s v="Factura electrónica"/>
    <s v="704784698d0305e7d737ddedabab6ac02a990e55915d884d94137de25823a8a80f14a31312d1a8632c37bbb0bf5172fb"/>
    <x v="577"/>
    <n v="-1"/>
    <s v="FVE"/>
    <s v="19-01-2026"/>
    <s v="19-01-2026 09:58:23"/>
    <s v="900800595"/>
    <s v="Provexpress SAS"/>
    <s v="900978332"/>
    <x v="341"/>
    <n v="27808.400000000001"/>
    <n v="0"/>
    <n v="0"/>
    <n v="174168.4"/>
    <s v="Aprobado con notificación"/>
    <s v="Emitido"/>
    <x v="0"/>
    <x v="0"/>
    <x v="0"/>
    <x v="0"/>
    <x v="1"/>
    <x v="1"/>
    <s v="PAGA EN SISTEMA 29/01/2026"/>
  </r>
  <r>
    <s v="Factura electrónica"/>
    <s v="22fbca518d68bd7f974f80a42285d9f874c803c86fd3252cbb9ae473b10a3eda1db96066c8585676bd6a5ceae097ccc7"/>
    <x v="578"/>
    <n v="-1"/>
    <s v="FVE"/>
    <s v="19-01-2026"/>
    <s v="19-01-2026 09:58:31"/>
    <s v="900800595"/>
    <s v="Provexpress SAS"/>
    <s v="900424702"/>
    <x v="129"/>
    <n v="354695.5"/>
    <n v="0"/>
    <n v="0"/>
    <n v="3138645.5"/>
    <s v="Aprobado con notificación"/>
    <s v="Emitido"/>
    <x v="0"/>
    <x v="0"/>
    <x v="0"/>
    <x v="0"/>
    <x v="1"/>
    <x v="1"/>
    <s v="FACTURA PAGA EN EL SISTEMA 25/02/2026"/>
  </r>
  <r>
    <s v="Factura electrónica"/>
    <s v="5077d3a07c7a12734f1303028d1710c0e902d21a40586d45b3218ea6fae141fb48d61d64739f05dcc81e9c2079d603eb"/>
    <x v="579"/>
    <n v="-1"/>
    <s v="FVE"/>
    <s v="19-01-2026"/>
    <s v="19-01-2026 09:58:33"/>
    <s v="900800595"/>
    <s v="Provexpress SAS"/>
    <s v="800174633"/>
    <x v="342"/>
    <n v="785650"/>
    <n v="0"/>
    <n v="0"/>
    <n v="4920650"/>
    <s v="Aprobado con notificación"/>
    <s v="Emitido"/>
    <x v="0"/>
    <x v="0"/>
    <x v="1"/>
    <x v="0"/>
    <x v="1"/>
    <x v="0"/>
    <m/>
  </r>
  <r>
    <s v="Factura electrónica"/>
    <s v="e7bed958ec2571a73997796cf758e9d81829d53e40a3ebe8acc90a3ac2cec91d6e2d0eeabf212df1807a9cf0ed69040a"/>
    <x v="580"/>
    <n v="-1"/>
    <s v="FVE"/>
    <s v="19-01-2026"/>
    <s v="19-01-2026 09:58:37"/>
    <s v="900800595"/>
    <s v="Provexpress SAS"/>
    <s v="860536003"/>
    <x v="52"/>
    <n v="0"/>
    <n v="0"/>
    <n v="0"/>
    <n v="455000"/>
    <s v="Aprobado con notificación"/>
    <s v="Emitido"/>
    <x v="0"/>
    <x v="0"/>
    <x v="0"/>
    <x v="0"/>
    <x v="1"/>
    <x v="1"/>
    <s v="FACTURA PAGA EN EL SISTEMA 18/02/2026"/>
  </r>
  <r>
    <s v="Factura electrónica"/>
    <s v="360f8010a43676da1198a37d7a5ef8c615a71c8d5292f5209a9abf32ec78953990219cc4a6b13e71fd04355848a31e0c"/>
    <x v="581"/>
    <n v="-1"/>
    <s v="FVE"/>
    <s v="19-01-2026"/>
    <s v="19-01-2026 09:58:41"/>
    <s v="900800595"/>
    <s v="Provexpress SAS"/>
    <s v="901956952"/>
    <x v="343"/>
    <n v="671650"/>
    <n v="0"/>
    <n v="0"/>
    <n v="4206650"/>
    <s v="Aprobado con notificación"/>
    <s v="Emitido"/>
    <x v="0"/>
    <x v="0"/>
    <x v="0"/>
    <x v="0"/>
    <x v="1"/>
    <x v="1"/>
    <s v="FACTURA PAGA EN EL SISTEMA 17/02/2026"/>
  </r>
  <r>
    <s v="Factura electrónica"/>
    <s v="c6bd2d231ab98830228d3f0062056561ab861f1133f972f1ad5a046e217989460c98126894ca639e554dcd1250dc5fe4"/>
    <x v="582"/>
    <n v="-1"/>
    <s v="FVE"/>
    <s v="19-01-2026"/>
    <s v="19-01-2026 10:13:57"/>
    <s v="900800595"/>
    <s v="Provexpress SAS"/>
    <s v="900180801"/>
    <x v="68"/>
    <n v="130055.4"/>
    <n v="0"/>
    <n v="0"/>
    <n v="1367910.3999999999"/>
    <s v="Aprobado con notificación"/>
    <s v="Emitido"/>
    <x v="0"/>
    <x v="0"/>
    <x v="0"/>
    <x v="0"/>
    <x v="1"/>
    <x v="1"/>
    <s v="FACTURA PAGA EN EL SISTEMA4/02/2026"/>
  </r>
  <r>
    <s v="Factura electrónica"/>
    <s v="8edd31e809c7bcc6557f90dd6cf8a21a1159a03f695285fd0e71cb5acf154e9ff8a8ff9dc3c78ee53cc93e4234a169ef"/>
    <x v="583"/>
    <n v="-1"/>
    <s v="FVE"/>
    <s v="19-01-2026"/>
    <s v="19-01-2026 10:14:01"/>
    <s v="900800595"/>
    <s v="Provexpress SAS"/>
    <s v="900474794"/>
    <x v="344"/>
    <n v="51300"/>
    <n v="0"/>
    <n v="0"/>
    <n v="321300"/>
    <s v="Aprobado con notificación"/>
    <s v="Emitido"/>
    <x v="0"/>
    <x v="0"/>
    <x v="0"/>
    <x v="0"/>
    <x v="0"/>
    <x v="0"/>
    <m/>
  </r>
  <r>
    <s v="Factura electrónica"/>
    <s v="63f9c0a82511e0b40c8e7288a93b7ef271abc01d5d86b2400eb9f857846ea0d07fe58321445f46c68a8cc0f068872bf6"/>
    <x v="584"/>
    <n v="-1"/>
    <s v="FVE"/>
    <s v="19-01-2026"/>
    <s v="19-01-2026 10:29:16"/>
    <s v="900800595"/>
    <s v="Provexpress SAS"/>
    <s v="860049363"/>
    <x v="345"/>
    <n v="272559.65999999997"/>
    <n v="0"/>
    <n v="0"/>
    <n v="1707084.16"/>
    <s v="Aprobado con notificación"/>
    <s v="Emitido"/>
    <x v="0"/>
    <x v="0"/>
    <x v="0"/>
    <x v="0"/>
    <x v="1"/>
    <x v="1"/>
    <s v="PAGA EN SISTEMA 16/02/2026"/>
  </r>
  <r>
    <s v="Factura electrónica"/>
    <s v="8cd124c10a97d937e540ce74f05363fc956b9f69722eedc58d8fb18b214f3e3bf8e28a8bba618ef7822597f17cc00ad5"/>
    <x v="585"/>
    <n v="-1"/>
    <s v="FVE"/>
    <s v="19-01-2026"/>
    <s v="19-01-2026 10:29:21"/>
    <s v="900800595"/>
    <s v="Provexpress SAS"/>
    <s v="800198693"/>
    <x v="26"/>
    <n v="148580"/>
    <n v="0"/>
    <n v="0"/>
    <n v="930580"/>
    <s v="Aprobado con notificación"/>
    <s v="Emitido"/>
    <x v="0"/>
    <x v="0"/>
    <x v="0"/>
    <x v="0"/>
    <x v="1"/>
    <x v="1"/>
    <s v="PAGA EN SISTEMA 27/02/2026"/>
  </r>
  <r>
    <s v="Factura electrónica"/>
    <s v="fd17cada9185c2ce34898c2900e3068424e76419a289a36a41ec5f078b29536baae17228b81a9a43d4b3870838fe3892"/>
    <x v="586"/>
    <n v="-1"/>
    <s v="FVE"/>
    <s v="19-01-2026"/>
    <s v="19-01-2026 10:29:26"/>
    <s v="900800595"/>
    <s v="Provexpress SAS"/>
    <s v="900598191"/>
    <x v="346"/>
    <n v="1510500"/>
    <n v="0"/>
    <n v="0"/>
    <n v="9460500"/>
    <s v="Aprobado con notificación"/>
    <s v="Emitido"/>
    <x v="0"/>
    <x v="0"/>
    <x v="0"/>
    <x v="0"/>
    <x v="1"/>
    <x v="1"/>
    <s v="PAGA EN EL SISTEMA 27/02/2026"/>
  </r>
  <r>
    <s v="Factura electrónica"/>
    <s v="b7a82eebff761a35ffac28327b9bdaa13ae2c9ae2f2e087e32400f2d3955c570073719875a8c3618d94e224210384400"/>
    <x v="587"/>
    <n v="-1"/>
    <s v="FVE"/>
    <s v="19-01-2026"/>
    <s v="19-01-2026 10:29:30"/>
    <s v="900800595"/>
    <s v="Provexpress SAS"/>
    <s v="901847883"/>
    <x v="184"/>
    <n v="648969.51"/>
    <n v="0"/>
    <n v="0"/>
    <n v="4064598.51"/>
    <s v="Aprobado con notificación"/>
    <s v="Emitido"/>
    <x v="0"/>
    <x v="0"/>
    <x v="1"/>
    <x v="0"/>
    <x v="1"/>
    <x v="0"/>
    <m/>
  </r>
  <r>
    <s v="Factura electrónica"/>
    <s v="36fddf5c2a607cb24ef7e33abf4c25a95eeb5a09249535e4950fd321a87c1143e445e82910ff6f639dc6739faa2aecd7"/>
    <x v="588"/>
    <n v="-1"/>
    <s v="FVE"/>
    <s v="19-01-2026"/>
    <s v="19-01-2026 10:44:42"/>
    <s v="900800595"/>
    <s v="Provexpress SAS"/>
    <s v="901847883"/>
    <x v="184"/>
    <n v="0"/>
    <n v="0"/>
    <n v="0"/>
    <n v="2627951"/>
    <s v="Aprobado con notificación"/>
    <s v="Emitido"/>
    <x v="1"/>
    <x v="0"/>
    <x v="0"/>
    <x v="0"/>
    <x v="1"/>
    <x v="0"/>
    <m/>
  </r>
  <r>
    <s v="Factura electrónica"/>
    <s v="fef839825e65b8c1d2453451150d85616b7cd55b451a35432e86cd150b45a0445e3c7d4369543ae1c191e778407a1f99"/>
    <x v="589"/>
    <n v="-1"/>
    <s v="FVE"/>
    <s v="19-01-2026"/>
    <s v="19-01-2026 10:44:47"/>
    <s v="900800595"/>
    <s v="Provexpress SAS"/>
    <s v="900671249"/>
    <x v="166"/>
    <n v="231249"/>
    <n v="0"/>
    <n v="0"/>
    <n v="1448349"/>
    <s v="Aprobado con notificación"/>
    <s v="Emitido"/>
    <x v="0"/>
    <x v="0"/>
    <x v="0"/>
    <x v="0"/>
    <x v="0"/>
    <x v="0"/>
    <m/>
  </r>
  <r>
    <s v="Factura electrónica"/>
    <s v="57175b58c94c5c45545ce12db3924f088a547f4c9a37f19f09a369a83748337c6277122f8d917de1602cb29609f19e98"/>
    <x v="590"/>
    <n v="-1"/>
    <s v="FVE"/>
    <s v="19-01-2026"/>
    <s v="19-01-2026 10:44:51"/>
    <s v="900800595"/>
    <s v="Provexpress SAS"/>
    <s v="830126204"/>
    <x v="347"/>
    <n v="1101981.95"/>
    <n v="0"/>
    <n v="0"/>
    <n v="6901886.9500000002"/>
    <s v="Aprobado con notificación"/>
    <s v="Emitido"/>
    <x v="0"/>
    <x v="0"/>
    <x v="1"/>
    <x v="0"/>
    <x v="1"/>
    <x v="0"/>
    <m/>
  </r>
  <r>
    <s v="Factura electrónica"/>
    <s v="a970df18fc438810ddb527e5ea6fb201f22294d77a3fd62394c0d479a77f229593e6fadbf1e0240c89517eecb75905cf"/>
    <x v="591"/>
    <n v="-1"/>
    <s v="FVE"/>
    <s v="19-01-2026"/>
    <s v="19-01-2026 11:00:05"/>
    <s v="900800595"/>
    <s v="Provexpress SAS"/>
    <s v="901101746"/>
    <x v="20"/>
    <n v="67649.5"/>
    <n v="0"/>
    <n v="0"/>
    <n v="423699.5"/>
    <s v="Aprobado con notificación"/>
    <s v="Emitido"/>
    <x v="0"/>
    <x v="0"/>
    <x v="1"/>
    <x v="0"/>
    <x v="1"/>
    <x v="0"/>
    <m/>
  </r>
  <r>
    <s v="Factura electrónica"/>
    <s v="2f57d47e1cdebc4b513b92c7965e8b9aaa327e2320d65c1ca9701fa527debba90df2e5dfdae80c11fbfeefd8fff82586"/>
    <x v="592"/>
    <n v="-1"/>
    <s v="FVE"/>
    <s v="19-01-2026"/>
    <s v="19-01-2026 11:00:08"/>
    <s v="900800595"/>
    <s v="Provexpress SAS"/>
    <s v="900413420"/>
    <x v="348"/>
    <n v="135090"/>
    <n v="0"/>
    <n v="0"/>
    <n v="846090"/>
    <s v="Aprobado con notificación"/>
    <s v="Emitido"/>
    <x v="0"/>
    <x v="0"/>
    <x v="0"/>
    <x v="0"/>
    <x v="1"/>
    <x v="1"/>
    <s v="FACTURA PAGA EN EL SISTEMA 5/02/2026"/>
  </r>
  <r>
    <s v="Factura electrónica"/>
    <s v="fdc5bdf1b5b8bb54b25c72495057c5f3cff3e6168f298d5ca814f44550b608e704cbba318eb2805ea99a31c016d6a198"/>
    <x v="593"/>
    <n v="-1"/>
    <s v="FVE"/>
    <s v="19-01-2026"/>
    <s v="19-01-2026 11:00:13"/>
    <s v="900800595"/>
    <s v="Provexpress SAS"/>
    <s v="900842071"/>
    <x v="349"/>
    <n v="44650"/>
    <n v="0"/>
    <n v="0"/>
    <n v="279650"/>
    <s v="Aprobado con notificación"/>
    <s v="Emitido"/>
    <x v="0"/>
    <x v="0"/>
    <x v="0"/>
    <x v="0"/>
    <x v="1"/>
    <x v="1"/>
    <s v="PAGA EN SISTEMA 29/01/2026"/>
  </r>
  <r>
    <s v="Factura electrónica"/>
    <s v="cdd563be208f15e805121c7bc3763ed087e29f8e9a2c6e3aab205e543cb03fbaf65a8cecce06ad3c551404fa564fb83e"/>
    <x v="594"/>
    <n v="-1"/>
    <s v="FVE"/>
    <s v="19-01-2026"/>
    <s v="19-01-2026 11:00:17"/>
    <s v="900800595"/>
    <s v="Provexpress SAS"/>
    <s v="830096376"/>
    <x v="350"/>
    <n v="166060"/>
    <n v="0"/>
    <n v="0"/>
    <n v="1040060"/>
    <s v="Aprobado con notificación"/>
    <s v="Emitido"/>
    <x v="0"/>
    <x v="0"/>
    <x v="0"/>
    <x v="0"/>
    <x v="1"/>
    <x v="1"/>
    <s v="PAGA EN SISTEMA 24/02/2026"/>
  </r>
  <r>
    <s v="Factura electrónica"/>
    <s v="0cb4e2242a86ce8f543a8f4d54872ccb5e584a35f5e6717a35a3d604986ca027caac2d619601f622a79bd21767f5f09d"/>
    <x v="595"/>
    <n v="-1"/>
    <s v="FVE"/>
    <s v="19-01-2026"/>
    <s v="19-01-2026 11:00:26"/>
    <s v="900800595"/>
    <s v="Provexpress SAS"/>
    <s v="900682841"/>
    <x v="3"/>
    <n v="3365066.25"/>
    <n v="0"/>
    <n v="0"/>
    <n v="90946336.25"/>
    <s v="Aprobado con notificación"/>
    <s v="Emitido"/>
    <x v="1"/>
    <x v="0"/>
    <x v="0"/>
    <x v="0"/>
    <x v="1"/>
    <x v="0"/>
    <m/>
  </r>
  <r>
    <s v="Factura electrónica"/>
    <s v="32bfbe086baf8265e0cac934fd8aa1469496b7b5cafd2f848cc8f95183c7349c5242ee7013c477ed56093af58b43194e"/>
    <x v="596"/>
    <n v="-1"/>
    <s v="FVE"/>
    <s v="19-01-2026"/>
    <s v="19-01-2026 11:00:32"/>
    <s v="900800595"/>
    <s v="Provexpress SAS"/>
    <s v="900250454"/>
    <x v="120"/>
    <n v="7823.06"/>
    <n v="0"/>
    <n v="0"/>
    <n v="393347.06"/>
    <s v="Aprobado con notificación"/>
    <s v="Emitido"/>
    <x v="0"/>
    <x v="0"/>
    <x v="0"/>
    <x v="0"/>
    <x v="0"/>
    <x v="0"/>
    <m/>
  </r>
  <r>
    <s v="Factura electrónica"/>
    <s v="08f3af4d641696a8936a4fb80198a7548b0d45ad2e6e1a2997ae214a17d062c7f5a9484125b76e8fca3c1c48386743b6"/>
    <x v="597"/>
    <n v="-1"/>
    <s v="FVE"/>
    <s v="19-01-2026"/>
    <s v="19-01-2026 11:45:56"/>
    <s v="900800595"/>
    <s v="Provexpress SAS"/>
    <s v="805017818"/>
    <x v="32"/>
    <n v="25365"/>
    <n v="0"/>
    <n v="0"/>
    <n v="158865"/>
    <s v="Aprobado con notificación"/>
    <s v="Emitido"/>
    <x v="1"/>
    <x v="0"/>
    <x v="0"/>
    <x v="0"/>
    <x v="1"/>
    <x v="0"/>
    <m/>
  </r>
  <r>
    <s v="Factura electrónica"/>
    <s v="24fb6ed00cd6992adcf22be4335027a52b7dcabdc196eec74b741e4a96802d695c3a363d978dffdc75c5aa4e1fa678b2"/>
    <x v="598"/>
    <n v="-1"/>
    <s v="FVE"/>
    <s v="19-01-2026"/>
    <s v="19-01-2026 12:01:50"/>
    <s v="900800595"/>
    <s v="Provexpress SAS"/>
    <s v="900103457"/>
    <x v="67"/>
    <n v="0"/>
    <n v="0"/>
    <n v="0"/>
    <n v="4440060"/>
    <s v="Aprobado con notificación"/>
    <s v="Emitido"/>
    <x v="0"/>
    <x v="0"/>
    <x v="1"/>
    <x v="0"/>
    <x v="1"/>
    <x v="0"/>
    <m/>
  </r>
  <r>
    <s v="Factura electrónica"/>
    <s v="34e27ec02fa7ce9f7a79fb1adbc8a4645fd1706c0333a50c30b223495819e082c0a368e1d6ce0688d3c9580f44dad9f5"/>
    <x v="599"/>
    <n v="-1"/>
    <s v="FVE"/>
    <s v="19-01-2026"/>
    <s v="19-01-2026 12:01:13"/>
    <s v="900800595"/>
    <s v="Provexpress SAS"/>
    <s v="901804480"/>
    <x v="236"/>
    <n v="1519810"/>
    <n v="0"/>
    <n v="0"/>
    <n v="9518810"/>
    <s v="Aprobado con notificación"/>
    <s v="Emitido"/>
    <x v="0"/>
    <x v="0"/>
    <x v="0"/>
    <x v="0"/>
    <x v="1"/>
    <x v="1"/>
    <s v="FACTURA PAGA EN EL SISTEMA 22/01/2026"/>
  </r>
  <r>
    <s v="Factura electrónica"/>
    <s v="166366c162c899f8374caed7d701324b002f8c211e502fce2d0ab8c68e888d649e8af30efec5e282a24c9a34c1f4e10d"/>
    <x v="600"/>
    <n v="-1"/>
    <s v="FVE"/>
    <s v="19-01-2026"/>
    <s v="19-01-2026 12:01:18"/>
    <s v="900800595"/>
    <s v="Provexpress SAS"/>
    <s v="800241469"/>
    <x v="89"/>
    <n v="49400"/>
    <n v="0"/>
    <n v="0"/>
    <n v="309400"/>
    <s v="Aprobado con notificación"/>
    <s v="Emitido"/>
    <x v="0"/>
    <x v="0"/>
    <x v="0"/>
    <x v="0"/>
    <x v="1"/>
    <x v="1"/>
    <s v="PAGA EN SISTEMA 10/02/2026"/>
  </r>
  <r>
    <s v="Factura electrónica"/>
    <s v="4957ffbeb0cb154405b83e25e3779e5b8d88ca194a2176f230ac9c44abb038b21062079ed2c1856338095f1b960991fa"/>
    <x v="601"/>
    <n v="-1"/>
    <s v="FVE"/>
    <s v="19-01-2026"/>
    <s v="19-01-2026 12:16:31"/>
    <s v="900800595"/>
    <s v="Provexpress SAS"/>
    <s v="830009653"/>
    <x v="351"/>
    <n v="113240"/>
    <n v="0"/>
    <n v="0"/>
    <n v="709240"/>
    <s v="Aprobado con notificación"/>
    <s v="Emitido"/>
    <x v="0"/>
    <x v="0"/>
    <x v="0"/>
    <x v="0"/>
    <x v="1"/>
    <x v="1"/>
    <s v="FACTURA PAGA EN EL SISTEMA 23/01/2026"/>
  </r>
  <r>
    <s v="Factura electrónica"/>
    <s v="af7e53b648393385385b7be53751045496dc7e360b43963a9484907f309e3f0d54d16543fbabb3947f3daa915db2d04d"/>
    <x v="602"/>
    <n v="-1"/>
    <s v="FVE"/>
    <s v="19-01-2026"/>
    <s v="19-01-2026 12:31:47"/>
    <s v="900800595"/>
    <s v="Provexpress SAS"/>
    <s v="900396965"/>
    <x v="206"/>
    <n v="205200"/>
    <n v="0"/>
    <n v="0"/>
    <n v="1285200"/>
    <s v="Aprobado con notificación"/>
    <s v="Emitido"/>
    <x v="0"/>
    <x v="0"/>
    <x v="0"/>
    <x v="0"/>
    <x v="1"/>
    <x v="1"/>
    <s v="FACTURA PAGA EN EL SISTEMA 13/02/2026"/>
  </r>
  <r>
    <s v="Factura electrónica"/>
    <s v="f501bc9dda61f443dcd3c8f6943bbb84f8372378bb4673505eb87440be0fc72fa0de78dc5b35f66c92a4f7cdcc0a633c"/>
    <x v="603"/>
    <n v="-1"/>
    <s v="FVE"/>
    <s v="19-01-2026"/>
    <s v="19-01-2026 12:31:50"/>
    <s v="900800595"/>
    <s v="Provexpress SAS"/>
    <s v="800227333"/>
    <x v="352"/>
    <n v="106330.08"/>
    <n v="0"/>
    <n v="0"/>
    <n v="665962.07999999996"/>
    <s v="Aprobado con notificación"/>
    <s v="Emitido"/>
    <x v="0"/>
    <x v="0"/>
    <x v="0"/>
    <x v="0"/>
    <x v="0"/>
    <x v="0"/>
    <m/>
  </r>
  <r>
    <s v="Factura electrónica"/>
    <s v="5c9b588a37d24c83cda9ac6bf0dac8d4b99dc26aec598f75d6c9888fbe64b7e8c06237627fd88af755f839805c9de0d1"/>
    <x v="604"/>
    <n v="-1"/>
    <s v="FVE"/>
    <s v="19-01-2026"/>
    <s v="19-01-2026 12:31:55"/>
    <s v="900800595"/>
    <s v="Provexpress SAS"/>
    <s v="800193271"/>
    <x v="353"/>
    <n v="253486.72"/>
    <n v="0"/>
    <n v="0"/>
    <n v="2215655.7200000002"/>
    <s v="Aprobado con notificación"/>
    <s v="Emitido"/>
    <x v="0"/>
    <x v="0"/>
    <x v="0"/>
    <x v="0"/>
    <x v="1"/>
    <x v="1"/>
    <s v="FACTURA PAGA EN EL SISTEMA 19/01/2026"/>
  </r>
  <r>
    <s v="Factura electrónica"/>
    <s v="0b110a1252d3856528f12b94a0f2f07d7d9e819f2ad9821ee16d05751898a1512509d5d7b205c136ac14cfc587affd2e"/>
    <x v="605"/>
    <n v="-1"/>
    <s v="FVE"/>
    <s v="19-01-2026"/>
    <s v="19-01-2026 12:32:00"/>
    <s v="900800595"/>
    <s v="Provexpress SAS"/>
    <s v="900749690"/>
    <x v="354"/>
    <n v="308068.65000000002"/>
    <n v="0"/>
    <n v="0"/>
    <n v="2344499.65"/>
    <s v="Aprobado con notificación"/>
    <s v="Emitido"/>
    <x v="0"/>
    <x v="0"/>
    <x v="0"/>
    <x v="0"/>
    <x v="1"/>
    <x v="1"/>
    <s v="PAGA EN SISTEMA 24/02/2026"/>
  </r>
  <r>
    <s v="Factura electrónica"/>
    <s v="b94ee9e976094d757bb35f15c574c4080f9c854518a7b2b579c9542e4b326c7ce084502fc539d1da568244ce8432ac68"/>
    <x v="606"/>
    <n v="-1"/>
    <s v="FVE"/>
    <s v="19-01-2026"/>
    <s v="19-01-2026 12:47:12"/>
    <s v="900800595"/>
    <s v="Provexpress SAS"/>
    <s v="800149384"/>
    <x v="6"/>
    <n v="118222.18"/>
    <n v="0"/>
    <n v="0"/>
    <n v="740444.18"/>
    <s v="Aprobado con notificación"/>
    <s v="Emitido"/>
    <x v="0"/>
    <x v="0"/>
    <x v="1"/>
    <x v="0"/>
    <x v="1"/>
    <x v="0"/>
    <m/>
  </r>
  <r>
    <s v="Factura electrónica"/>
    <s v="1105dd7891bac804801e92ea29d89ea740499e659734cdd4341c4125b3d9ec5546b69608198cf7499d588437e6d3815f"/>
    <x v="607"/>
    <n v="-1"/>
    <s v="FVE"/>
    <s v="19-01-2026"/>
    <s v="19-01-2026 13:02:22"/>
    <s v="900800595"/>
    <s v="Provexpress SAS"/>
    <s v="830103525"/>
    <x v="355"/>
    <n v="59111.09"/>
    <n v="0"/>
    <n v="0"/>
    <n v="370222.09"/>
    <s v="Aprobado con notificación"/>
    <s v="Emitido"/>
    <x v="0"/>
    <x v="0"/>
    <x v="1"/>
    <x v="0"/>
    <x v="1"/>
    <x v="0"/>
    <m/>
  </r>
  <r>
    <s v="Factura electrónica"/>
    <s v="60a629f26de8974e419b41e42713938eaf7b699ddb67cd945adc73713e6c79e06cec24b7933862f2f208cdfaf47e1583"/>
    <x v="608"/>
    <n v="-1"/>
    <s v="FVE"/>
    <s v="19-01-2026"/>
    <s v="19-01-2026 13:02:28"/>
    <s v="900800595"/>
    <s v="Provexpress SAS"/>
    <s v="800149384"/>
    <x v="6"/>
    <n v="59111.09"/>
    <n v="0"/>
    <n v="0"/>
    <n v="370222.09"/>
    <s v="Aprobado con notificación"/>
    <s v="Emitido"/>
    <x v="0"/>
    <x v="0"/>
    <x v="1"/>
    <x v="0"/>
    <x v="1"/>
    <x v="0"/>
    <m/>
  </r>
  <r>
    <s v="Factura electrónica"/>
    <s v="7ab6babcc5144975cbbd6c778bd062b5e4ef2cfb042b9f5479f758eb5250cb57016fb93d72ae35a70ef7154f19ac2634"/>
    <x v="609"/>
    <n v="-1"/>
    <s v="FVE"/>
    <s v="19-01-2026"/>
    <s v="19-01-2026 13:02:32"/>
    <s v="900800595"/>
    <s v="Provexpress SAS"/>
    <s v="860522056"/>
    <x v="74"/>
    <n v="63957.8"/>
    <n v="0"/>
    <n v="0"/>
    <n v="400577.8"/>
    <s v="Aprobado con notificación"/>
    <s v="Emitido"/>
    <x v="0"/>
    <x v="0"/>
    <x v="1"/>
    <x v="0"/>
    <x v="1"/>
    <x v="0"/>
    <m/>
  </r>
  <r>
    <s v="Factura electrónica"/>
    <s v="24ef32b180959db8810a1631816d4de19b6a6bfd29a9748e9497baf5c0fdd134829aca07966f2beaddc45d41ead0614f"/>
    <x v="610"/>
    <n v="-1"/>
    <s v="FVE"/>
    <s v="19-01-2026"/>
    <s v="19-01-2026 13:17:43"/>
    <s v="900800595"/>
    <s v="Provexpress SAS"/>
    <s v="860033227"/>
    <x v="356"/>
    <n v="127104.3"/>
    <n v="0"/>
    <n v="0"/>
    <n v="796074.3"/>
    <s v="Aprobado con notificación"/>
    <s v="Emitido"/>
    <x v="0"/>
    <x v="0"/>
    <x v="0"/>
    <x v="0"/>
    <x v="1"/>
    <x v="1"/>
    <s v="FACTURA PAGA EN EL SISTEMA 27/01/2026"/>
  </r>
  <r>
    <s v="Factura electrónica"/>
    <s v="ae932f50a98c7ddd85d71386daf1b3c66987bd21dcd3bedfa967e699e2d39df3beaa8400845017be7e6bf810bbe3de78"/>
    <x v="611"/>
    <n v="-1"/>
    <s v="FVE"/>
    <s v="19-01-2026"/>
    <s v="19-01-2026 14:18:46"/>
    <s v="900800595"/>
    <s v="Provexpress SAS"/>
    <s v="860023264"/>
    <x v="108"/>
    <n v="15960"/>
    <n v="0"/>
    <n v="0"/>
    <n v="99960"/>
    <s v="Aprobado con notificación"/>
    <s v="Emitido"/>
    <x v="1"/>
    <x v="0"/>
    <x v="0"/>
    <x v="0"/>
    <x v="1"/>
    <x v="0"/>
    <m/>
  </r>
  <r>
    <s v="Factura electrónica"/>
    <s v="2e7b065aa6cc0800fc371ae36b24d99a1e80052e86675383b3bad9823e29b4a04300adb4e091424f29adf9ab33506029"/>
    <x v="612"/>
    <n v="-1"/>
    <s v="FVE"/>
    <s v="19-01-2026"/>
    <s v="19-01-2026 15:18:47"/>
    <s v="900800595"/>
    <s v="Provexpress SAS"/>
    <s v="832000464"/>
    <x v="357"/>
    <n v="635550"/>
    <n v="0"/>
    <n v="0"/>
    <n v="3980550"/>
    <s v="Aprobado con notificación"/>
    <s v="Emitido"/>
    <x v="1"/>
    <x v="0"/>
    <x v="0"/>
    <x v="0"/>
    <x v="1"/>
    <x v="0"/>
    <m/>
  </r>
  <r>
    <s v="Factura electrónica"/>
    <s v="333a3700847c269283bd41f5c98b677dc0a153599fdd242f5d0eed3175d3db86acb358c03a6aed9cb765f49909059c3f"/>
    <x v="613"/>
    <n v="-1"/>
    <s v="FVE"/>
    <s v="19-01-2026"/>
    <s v="19-01-2026 15:33:59"/>
    <s v="900800595"/>
    <s v="Provexpress SAS"/>
    <s v="860510863"/>
    <x v="243"/>
    <n v="11856"/>
    <n v="0"/>
    <n v="0"/>
    <n v="74256"/>
    <s v="Aprobado con notificación"/>
    <s v="Emitido"/>
    <x v="0"/>
    <x v="0"/>
    <x v="0"/>
    <x v="0"/>
    <x v="1"/>
    <x v="1"/>
    <s v="FACTURA PAGA EN EL SISTEMA 27/02/2026"/>
  </r>
  <r>
    <s v="Factura electrónica"/>
    <s v="7820e8bc47b7b5416daa20abbc71e9aa49f3a313323b8535db5d0dbf03db78b9813a62004495d80151e0f101183c6b4d"/>
    <x v="614"/>
    <n v="-1"/>
    <s v="FVE"/>
    <s v="19-01-2026"/>
    <s v="19-01-2026 15:34:03"/>
    <s v="900800595"/>
    <s v="Provexpress SAS"/>
    <s v="800024265"/>
    <x v="4"/>
    <n v="3173517.56"/>
    <n v="0"/>
    <n v="0"/>
    <n v="19876241.559999999"/>
    <s v="Aprobado con notificación"/>
    <s v="Emitido"/>
    <x v="1"/>
    <x v="0"/>
    <x v="0"/>
    <x v="0"/>
    <x v="1"/>
    <x v="0"/>
    <m/>
  </r>
  <r>
    <s v="Factura electrónica"/>
    <s v="fe9e8c57b2ad81d1ebdbbbb9b6a49b820af7f3d53e62ff8125f41ff560e5cc0ae8cfdac1e30b6a3759579ddda782b063"/>
    <x v="615"/>
    <n v="-1"/>
    <s v="FVE"/>
    <s v="19-01-2026"/>
    <s v="19-01-2026 15:34:08"/>
    <s v="900800595"/>
    <s v="Provexpress SAS"/>
    <s v="900241101"/>
    <x v="86"/>
    <n v="481755.64"/>
    <n v="0"/>
    <n v="0"/>
    <n v="3017311.64"/>
    <s v="Aprobado con notificación"/>
    <s v="Emitido"/>
    <x v="0"/>
    <x v="0"/>
    <x v="0"/>
    <x v="0"/>
    <x v="1"/>
    <x v="1"/>
    <s v="PAGA EN SISTEMA 24/02/2026"/>
  </r>
  <r>
    <s v="Factura electrónica"/>
    <s v="026809fe66e70ac34ba17ed339e368cc36751db46b2070ba3b39aa9815b7f3af46971fb09aaac5d3798d42b5db7bd657"/>
    <x v="616"/>
    <n v="-1"/>
    <s v="FVE"/>
    <s v="19-01-2026"/>
    <s v="19-01-2026 15:34:12"/>
    <s v="900800595"/>
    <s v="Provexpress SAS"/>
    <s v="830077655"/>
    <x v="168"/>
    <n v="271700"/>
    <n v="0"/>
    <n v="0"/>
    <n v="1701700"/>
    <s v="Aprobado con notificación"/>
    <s v="Emitido"/>
    <x v="0"/>
    <x v="0"/>
    <x v="0"/>
    <x v="0"/>
    <x v="1"/>
    <x v="1"/>
    <s v="FACTURA PAGA EN EL SISTEMA 24/02/2026"/>
  </r>
  <r>
    <s v="Factura electrónica"/>
    <s v="bcddcb25e932d4c95524078cedbd5f9533ebd3ba68a2aec38137dd5d95a75d12a7411a6e3aade5e14d298ca782ec3060"/>
    <x v="617"/>
    <n v="-1"/>
    <s v="FVE"/>
    <s v="19-01-2026"/>
    <s v="19-01-2026 15:34:17"/>
    <s v="900800595"/>
    <s v="Provexpress SAS"/>
    <s v="901099937"/>
    <x v="358"/>
    <n v="121087"/>
    <n v="0"/>
    <n v="0"/>
    <n v="758387"/>
    <s v="Aprobado con notificación"/>
    <s v="Emitido"/>
    <x v="0"/>
    <x v="0"/>
    <x v="0"/>
    <x v="0"/>
    <x v="1"/>
    <x v="1"/>
    <s v="FACTURA PAGA EN EL SISTEMA 20/01/2026"/>
  </r>
  <r>
    <s v="Factura electrónica"/>
    <s v="5e85794cd8c32eb84bdd7c30864effcd2904b864a74ab7becf067738b6294472b71ad0405a32bed4ec3329661b84c656"/>
    <x v="618"/>
    <n v="-1"/>
    <s v="FVE"/>
    <s v="19-01-2026"/>
    <s v="19-01-2026 15:34:22"/>
    <s v="900800595"/>
    <s v="Provexpress SAS"/>
    <s v="900611019"/>
    <x v="336"/>
    <n v="1064000"/>
    <n v="0"/>
    <n v="0"/>
    <n v="6664000"/>
    <s v="Aprobado con notificación"/>
    <s v="Emitido"/>
    <x v="1"/>
    <x v="0"/>
    <x v="0"/>
    <x v="0"/>
    <x v="1"/>
    <x v="0"/>
    <m/>
  </r>
  <r>
    <s v="Factura electrónica"/>
    <s v="42a3ce25f25716de5f2ec32558b2a39f032b6da878a69a7185bcf37c6c3228c68d99bef1328c7c2906b19044890a533d"/>
    <x v="619"/>
    <n v="-1"/>
    <s v="FVE"/>
    <s v="19-01-2026"/>
    <s v="19-01-2026 15:49:33"/>
    <s v="900800595"/>
    <s v="Provexpress SAS"/>
    <s v="860038299"/>
    <x v="359"/>
    <n v="2181444.15"/>
    <n v="0"/>
    <n v="0"/>
    <n v="13662729.15"/>
    <s v="Aprobado con notificación"/>
    <s v="Emitido"/>
    <x v="0"/>
    <x v="0"/>
    <x v="0"/>
    <x v="0"/>
    <x v="1"/>
    <x v="1"/>
    <s v="FACTURA PAGA EN EL SISTEMA 30/01/2026"/>
  </r>
  <r>
    <s v="Factura electrónica"/>
    <s v="8ac22228a445e2eff82b0e3682f9c1aa9a8717d801496d73fa5cac40d06cf8814c7c29803a7f0dc4621eeb51e3d92117"/>
    <x v="620"/>
    <n v="-1"/>
    <s v="FVE"/>
    <s v="19-01-2026"/>
    <s v="19-01-2026 15:49:38"/>
    <s v="900800595"/>
    <s v="Provexpress SAS"/>
    <s v="830129327"/>
    <x v="178"/>
    <n v="14257600"/>
    <n v="0"/>
    <n v="0"/>
    <n v="89297600"/>
    <s v="Aprobado con notificación"/>
    <s v="Emitido"/>
    <x v="0"/>
    <x v="0"/>
    <x v="1"/>
    <x v="0"/>
    <x v="1"/>
    <x v="0"/>
    <m/>
  </r>
  <r>
    <s v="Factura electrónica"/>
    <s v="325f0ea35965f668cf0a8e42756d15eb501f4b95d801382c315ded3194af229e38622ee11f2ab85eb31dbfb850d3ebfc"/>
    <x v="621"/>
    <n v="-1"/>
    <s v="FVE"/>
    <s v="19-01-2026"/>
    <s v="19-01-2026 15:49:42"/>
    <s v="900800595"/>
    <s v="Provexpress SAS"/>
    <s v="800120681"/>
    <x v="221"/>
    <n v="277875"/>
    <n v="0"/>
    <n v="0"/>
    <n v="1740375"/>
    <s v="Aprobado con notificación"/>
    <s v="Emitido"/>
    <x v="0"/>
    <x v="0"/>
    <x v="0"/>
    <x v="0"/>
    <x v="1"/>
    <x v="1"/>
    <s v="PAGA EN SISTEMA 23/02/2026"/>
  </r>
  <r>
    <s v="Factura electrónica"/>
    <s v="cfd40d8420811e90106264f1384f2c54449da4e4b1d6689264531fadfdf74033ca68ca2f4d22bf50345021dbb8b78735"/>
    <x v="622"/>
    <n v="-1"/>
    <s v="FVE"/>
    <s v="19-01-2026"/>
    <s v="19-01-2026 15:49:47"/>
    <s v="900800595"/>
    <s v="Provexpress SAS"/>
    <s v="890984002"/>
    <x v="360"/>
    <n v="1518195"/>
    <n v="0"/>
    <n v="0"/>
    <n v="9508695"/>
    <s v="Aprobado con notificación"/>
    <s v="Emitido"/>
    <x v="0"/>
    <x v="0"/>
    <x v="0"/>
    <x v="0"/>
    <x v="1"/>
    <x v="1"/>
    <s v="PAGA EN SISTEMA 24/02/2026"/>
  </r>
  <r>
    <s v="Factura electrónica"/>
    <s v="83008e4d26d0cbe0669ff9c68627dbebf16ff75d17609de129a8d3980f04ccadb3abd49caf893545f91a262ef328be78"/>
    <x v="623"/>
    <n v="-1"/>
    <s v="FVE"/>
    <s v="19-01-2026"/>
    <s v="19-01-2026 15:49:52"/>
    <s v="900800595"/>
    <s v="Provexpress SAS"/>
    <s v="830037843"/>
    <x v="361"/>
    <n v="754015"/>
    <n v="0"/>
    <n v="0"/>
    <n v="4722515"/>
    <s v="Aprobado con notificación"/>
    <s v="Emitido"/>
    <x v="0"/>
    <x v="0"/>
    <x v="0"/>
    <x v="0"/>
    <x v="1"/>
    <x v="1"/>
    <s v="PAGA EN SISTEMA 27/02/2026"/>
  </r>
  <r>
    <s v="Factura electrónica"/>
    <s v="6bd96f29471ce3a2fc2976a4b18564bf306fb8c773cb753df73645606bd73c848d4330d158d7a8f675f3429077d5ea41"/>
    <x v="624"/>
    <n v="-1"/>
    <s v="FVE"/>
    <s v="19-01-2026"/>
    <s v="19-01-2026 15:49:56"/>
    <s v="900800595"/>
    <s v="Provexpress SAS"/>
    <s v="900896981"/>
    <x v="362"/>
    <n v="272058"/>
    <n v="0"/>
    <n v="0"/>
    <n v="1833458"/>
    <s v="Aprobado con notificación"/>
    <s v="Emitido"/>
    <x v="0"/>
    <x v="0"/>
    <x v="0"/>
    <x v="0"/>
    <x v="0"/>
    <x v="0"/>
    <m/>
  </r>
  <r>
    <s v="Factura electrónica"/>
    <s v="c1f660c8984b6315dab669976434687b66f290d59126fdbd2168dc45f7ddf448d7e2591ba9fc99d6deed79789166d660"/>
    <x v="625"/>
    <n v="-1"/>
    <s v="FVE"/>
    <s v="19-01-2026"/>
    <s v="19-01-2026 15:50:01"/>
    <s v="900800595"/>
    <s v="Provexpress SAS"/>
    <s v="900353434"/>
    <x v="363"/>
    <n v="202065"/>
    <n v="0"/>
    <n v="0"/>
    <n v="1265565"/>
    <s v="Aprobado con notificación"/>
    <s v="Emitido"/>
    <x v="0"/>
    <x v="0"/>
    <x v="0"/>
    <x v="0"/>
    <x v="1"/>
    <x v="1"/>
    <s v="FACTURA PAGA EN EL SISTEMA 19/02/2026"/>
  </r>
  <r>
    <s v="Factura electrónica"/>
    <s v="4e6b07e3290f7ce0eb10b4f9e18a63eb6c4f42b7a3ee44c1975d7de7016c4bd616116880ae08a05d7556058aaa3e9660"/>
    <x v="626"/>
    <n v="-1"/>
    <s v="FVE"/>
    <s v="19-01-2026"/>
    <s v="19-01-2026 16:05:13"/>
    <s v="900800595"/>
    <s v="Provexpress SAS"/>
    <s v="830020274"/>
    <x v="364"/>
    <n v="319200"/>
    <n v="0"/>
    <n v="0"/>
    <n v="1999200"/>
    <s v="Aprobado con notificación"/>
    <s v="Emitido"/>
    <x v="0"/>
    <x v="0"/>
    <x v="1"/>
    <x v="0"/>
    <x v="1"/>
    <x v="0"/>
    <m/>
  </r>
  <r>
    <s v="Factura electrónica"/>
    <s v="b1ef0e9d8d3c1b3c19af6080c81a17acafe7b8e53e1a11efb56e338fef12c62839e613fb041b31b1f141a1a61e39fa63"/>
    <x v="627"/>
    <n v="-1"/>
    <s v="FVE"/>
    <s v="19-01-2026"/>
    <s v="19-01-2026 16:05:17"/>
    <s v="900800595"/>
    <s v="Provexpress SAS"/>
    <s v="860053966"/>
    <x v="275"/>
    <n v="0"/>
    <n v="0"/>
    <n v="0"/>
    <n v="6720000"/>
    <s v="Aprobado con notificación"/>
    <s v="Emitido"/>
    <x v="0"/>
    <x v="0"/>
    <x v="1"/>
    <x v="0"/>
    <x v="1"/>
    <x v="0"/>
    <m/>
  </r>
  <r>
    <s v="Factura electrónica"/>
    <s v="baefed7c3cc2c89669dd80444f55203b9f964e15ad62a64cda9064f990ccc435a49b3873a3269800238da70a09227886"/>
    <x v="628"/>
    <n v="-1"/>
    <s v="FVE"/>
    <s v="19-01-2026"/>
    <s v="19-01-2026 16:05:22"/>
    <s v="900800595"/>
    <s v="Provexpress SAS"/>
    <s v="900616317"/>
    <x v="365"/>
    <n v="0"/>
    <n v="0"/>
    <n v="0"/>
    <n v="6019010"/>
    <s v="Aprobado con notificación"/>
    <s v="Emitido"/>
    <x v="0"/>
    <x v="0"/>
    <x v="0"/>
    <x v="0"/>
    <x v="0"/>
    <x v="0"/>
    <m/>
  </r>
  <r>
    <s v="Factura electrónica"/>
    <s v="c04c5af04b30ff124817784f8049afd69ee5845dddec9c454d6a3600a78ff5c61547fd5136e86aaaf418c2103427175c"/>
    <x v="629"/>
    <n v="-1"/>
    <s v="FVE"/>
    <s v="19-01-2026"/>
    <s v="19-01-2026 16:05:28"/>
    <s v="900800595"/>
    <s v="Provexpress SAS"/>
    <s v="800024265"/>
    <x v="4"/>
    <n v="0"/>
    <n v="0"/>
    <n v="0"/>
    <n v="27948158"/>
    <s v="Aprobado con notificación"/>
    <s v="Emitido"/>
    <x v="1"/>
    <x v="0"/>
    <x v="0"/>
    <x v="0"/>
    <x v="1"/>
    <x v="0"/>
    <m/>
  </r>
  <r>
    <s v="Factura electrónica"/>
    <s v="99891788e9c6470c37d9ad355b7134a261a39bedb787fdf0ef8de07e27f7030f58802592adf283f8a5d83b77d5a804d4"/>
    <x v="630"/>
    <n v="-1"/>
    <s v="FVE"/>
    <s v="19-01-2026"/>
    <s v="19-01-2026 16:05:32"/>
    <s v="900800595"/>
    <s v="Provexpress SAS"/>
    <s v="860016322"/>
    <x v="366"/>
    <n v="180373.27"/>
    <n v="0"/>
    <n v="0"/>
    <n v="1129706.27"/>
    <s v="Aprobado con notificación"/>
    <s v="Emitido"/>
    <x v="0"/>
    <x v="0"/>
    <x v="0"/>
    <x v="0"/>
    <x v="1"/>
    <x v="1"/>
    <s v="FACTURA PAGA EN EL SISTEMA 18/02/2026"/>
  </r>
  <r>
    <s v="Factura electrónica"/>
    <s v="f9e79ae2d1cb99d2375cf67788017d4e6a640ea5e3b541718854877f94eaa8b4384ff14bd5f30b9321892448d83136f6"/>
    <x v="631"/>
    <n v="-1"/>
    <s v="FVE"/>
    <s v="19-01-2026"/>
    <s v="19-01-2026 16:05:36"/>
    <s v="900800595"/>
    <s v="Provexpress SAS"/>
    <s v="830121897"/>
    <x v="367"/>
    <n v="228000"/>
    <n v="0"/>
    <n v="0"/>
    <n v="1428000"/>
    <s v="Aprobado con notificación"/>
    <s v="Emitido"/>
    <x v="0"/>
    <x v="0"/>
    <x v="0"/>
    <x v="0"/>
    <x v="0"/>
    <x v="0"/>
    <m/>
  </r>
  <r>
    <s v="Factura electrónica"/>
    <s v="11e4fd7e82ac020418d98e5d7f3c2af5b0e44b64116466696041e6ff6879d930e2de40071fa0e82b241a5cf28964c0cd"/>
    <x v="632"/>
    <n v="-1"/>
    <s v="FVE"/>
    <s v="19-01-2026"/>
    <s v="19-01-2026 16:05:41"/>
    <s v="900800595"/>
    <s v="Provexpress SAS"/>
    <s v="830081058"/>
    <x v="368"/>
    <n v="256500"/>
    <n v="0"/>
    <n v="0"/>
    <n v="1606500"/>
    <s v="Aprobado con notificación"/>
    <s v="Emitido"/>
    <x v="0"/>
    <x v="0"/>
    <x v="0"/>
    <x v="0"/>
    <x v="0"/>
    <x v="0"/>
    <m/>
  </r>
  <r>
    <s v="Factura electrónica"/>
    <s v="56af8e3a3b4534a58df84b31c7bd59ea1fcfa587de08312cc351780f6f09925a21c720f5b6acaa6c547f9e12fe1f64cb"/>
    <x v="633"/>
    <n v="-1"/>
    <s v="FVE"/>
    <s v="19-01-2026"/>
    <s v="19-01-2026 16:05:46"/>
    <s v="900800595"/>
    <s v="Provexpress SAS"/>
    <s v="830068110"/>
    <x v="369"/>
    <n v="171000"/>
    <n v="0"/>
    <n v="0"/>
    <n v="1071000"/>
    <s v="Aprobado con notificación"/>
    <s v="Emitido"/>
    <x v="0"/>
    <x v="0"/>
    <x v="0"/>
    <x v="0"/>
    <x v="0"/>
    <x v="0"/>
    <m/>
  </r>
  <r>
    <s v="Factura electrónica"/>
    <s v="9c5edec4bd9d10b52179eca10f813ece010e4137d22acc756b261fc3eb9eaf1e580d01d214552de8fe466c6a38f8bfb2"/>
    <x v="634"/>
    <n v="-1"/>
    <s v="FVE"/>
    <s v="20-01-2026"/>
    <s v="20-01-2026 07:12:20"/>
    <s v="900800595"/>
    <s v="Provexpress SAS"/>
    <s v="830051573"/>
    <x v="370"/>
    <n v="240258.4"/>
    <n v="0"/>
    <n v="0"/>
    <n v="1504776.4"/>
    <s v="Aprobado con notificación"/>
    <s v="Emitido"/>
    <x v="0"/>
    <x v="0"/>
    <x v="0"/>
    <x v="0"/>
    <x v="1"/>
    <x v="1"/>
    <s v="FACTURA PAGA EN EL SISTEMA 20/02/2026"/>
  </r>
  <r>
    <s v="Factura electrónica"/>
    <s v="27c629ebb439c51c46c8ba6067b4361245a520820da1a369b6ac820d2d80d8f4d1fcb898910f3a02a6d994b041512815"/>
    <x v="635"/>
    <n v="-1"/>
    <s v="FVE"/>
    <s v="20-01-2026"/>
    <s v="20-01-2026 07:27:31"/>
    <s v="900800595"/>
    <s v="Provexpress SAS"/>
    <s v="830051928"/>
    <x v="159"/>
    <n v="1113238.5"/>
    <n v="0"/>
    <n v="0"/>
    <n v="6972388.5"/>
    <s v="Aprobado con notificación"/>
    <s v="Emitido"/>
    <x v="0"/>
    <x v="1"/>
    <x v="0"/>
    <x v="0"/>
    <x v="1"/>
    <x v="0"/>
    <m/>
  </r>
  <r>
    <s v="Factura electrónica"/>
    <s v="f3d3c575e79de30f70501fa5fbdf6f4f14b763a5fb0b12a21ec8d70f500447f7f75762463e6559085897f5d47c0f6bea"/>
    <x v="636"/>
    <n v="-1"/>
    <s v="FVE"/>
    <s v="20-01-2026"/>
    <s v="20-01-2026 07:42:42"/>
    <s v="900800595"/>
    <s v="Provexpress SAS"/>
    <s v="860513970"/>
    <x v="36"/>
    <n v="1428841.23"/>
    <n v="0"/>
    <n v="0"/>
    <n v="8949058.2300000004"/>
    <s v="Aprobado con notificación"/>
    <s v="Emitido"/>
    <x v="1"/>
    <x v="0"/>
    <x v="0"/>
    <x v="0"/>
    <x v="1"/>
    <x v="0"/>
    <m/>
  </r>
  <r>
    <s v="Factura electrónica"/>
    <s v="6f91070bb6e1a7515a1a09d0a3c52b124127e5ba1abce52e5a471ce0bd7d63451e0b499ba9a2b5c8458db3656c82e4bc"/>
    <x v="637"/>
    <n v="-1"/>
    <s v="FVE"/>
    <s v="20-01-2026"/>
    <s v="20-01-2026 07:42:46"/>
    <s v="900800595"/>
    <s v="Provexpress SAS"/>
    <s v="830022556"/>
    <x v="371"/>
    <n v="65450.25"/>
    <n v="0"/>
    <n v="0"/>
    <n v="409925.25"/>
    <s v="Aprobado con notificación"/>
    <s v="Emitido"/>
    <x v="0"/>
    <x v="0"/>
    <x v="0"/>
    <x v="0"/>
    <x v="1"/>
    <x v="1"/>
    <s v="FACTURA PAGA EN EL SISTEMA 2/02/2026"/>
  </r>
  <r>
    <s v="Factura electrónica"/>
    <s v="c448a46f65e38ea7c85c80ceab561655cb2d61fa90ad08b5f1144ae16777869ea31998a9bc5131df2d49fc92560f71fe"/>
    <x v="638"/>
    <n v="-1"/>
    <s v="FVE"/>
    <s v="20-01-2026"/>
    <s v="20-01-2026 07:42:51"/>
    <s v="900800595"/>
    <s v="Provexpress SAS"/>
    <s v="900720758"/>
    <x v="372"/>
    <n v="404195.3"/>
    <n v="0"/>
    <n v="0"/>
    <n v="3716215.3"/>
    <s v="Aprobado con notificación"/>
    <s v="Emitido"/>
    <x v="0"/>
    <x v="0"/>
    <x v="0"/>
    <x v="0"/>
    <x v="1"/>
    <x v="1"/>
    <s v="PAGA EN SISTEMA 24/02/2026"/>
  </r>
  <r>
    <s v="Factura electrónica"/>
    <s v="c960be3e2faa712693e644f58b4f6d63ecbef29646afd48915631bfd298d3257f0effd9514b9719b8414f3d1b08d38bd"/>
    <x v="639"/>
    <n v="-1"/>
    <s v="FVE"/>
    <s v="20-01-2026"/>
    <s v="20-01-2026 07:42:56"/>
    <s v="900800595"/>
    <s v="Provexpress SAS"/>
    <s v="860350127"/>
    <x v="373"/>
    <n v="140287.75"/>
    <n v="0"/>
    <n v="0"/>
    <n v="1796012.75"/>
    <s v="Aprobado con notificación"/>
    <s v="Emitido"/>
    <x v="0"/>
    <x v="0"/>
    <x v="0"/>
    <x v="0"/>
    <x v="1"/>
    <x v="1"/>
    <s v="FACTURA PAGA EN EL SISTEMA 23/02/2026"/>
  </r>
  <r>
    <s v="Factura electrónica"/>
    <s v="ba665f69c9f44cdae5ae1fe4e077fdcf2a522437ed9c489f1919dadc0e087b96550d2ebb0d402dcdbbc39dde3a351bfe"/>
    <x v="640"/>
    <n v="-1"/>
    <s v="FVE"/>
    <s v="20-01-2026"/>
    <s v="20-01-2026 07:58:06"/>
    <s v="900800595"/>
    <s v="Provexpress SAS"/>
    <s v="817001672"/>
    <x v="374"/>
    <n v="1233100"/>
    <n v="0"/>
    <n v="0"/>
    <n v="7723100"/>
    <s v="Aprobado con notificación"/>
    <s v="Emitido"/>
    <x v="0"/>
    <x v="0"/>
    <x v="1"/>
    <x v="0"/>
    <x v="1"/>
    <x v="0"/>
    <m/>
  </r>
  <r>
    <s v="Factura electrónica"/>
    <s v="84d77f00894fb97a5339df40313cd77a9b9435e0543e0967711b9b8bd0bf4320906829fa503e231b1c9d3550f375e3d8"/>
    <x v="641"/>
    <n v="-1"/>
    <s v="FVE"/>
    <s v="20-01-2026"/>
    <s v="20-01-2026 07:58:11"/>
    <s v="900800595"/>
    <s v="Provexpress SAS"/>
    <s v="860007336"/>
    <x v="187"/>
    <n v="33928.49"/>
    <n v="0"/>
    <n v="0"/>
    <n v="212499.49"/>
    <s v="Aprobado con notificación"/>
    <s v="Emitido"/>
    <x v="0"/>
    <x v="0"/>
    <x v="0"/>
    <x v="0"/>
    <x v="1"/>
    <x v="1"/>
    <s v="PAGA EN SISTEMA 27/02/2026"/>
  </r>
  <r>
    <s v="Factura electrónica"/>
    <s v="26388da5f0f21ea74b1ba4aed6a57bb07c641b4f7bc9a8eaa73ceb1b57c870c9e140a2614ed7a579b80bc7318e4c1924"/>
    <x v="642"/>
    <n v="-1"/>
    <s v="FVE"/>
    <s v="20-01-2026"/>
    <s v="20-01-2026 07:58:16"/>
    <s v="900800595"/>
    <s v="Provexpress SAS"/>
    <s v="860007336"/>
    <x v="187"/>
    <n v="29355"/>
    <n v="0"/>
    <n v="0"/>
    <n v="183855"/>
    <s v="Aprobado con notificación"/>
    <s v="Emitido"/>
    <x v="0"/>
    <x v="0"/>
    <x v="0"/>
    <x v="0"/>
    <x v="1"/>
    <x v="1"/>
    <s v="PAGA EN SISTEMA 27/02/2026"/>
  </r>
  <r>
    <s v="Factura electrónica"/>
    <s v="373ce63c517438cd369c750af513eb187158b1d91241d1d0de096d23d26d7fbdff4efb50290c513551610c96160134b7"/>
    <x v="643"/>
    <n v="-1"/>
    <s v="FVE"/>
    <s v="20-01-2026"/>
    <s v="20-01-2026 07:58:20"/>
    <s v="900800595"/>
    <s v="Provexpress SAS"/>
    <s v="860007336"/>
    <x v="187"/>
    <n v="26144"/>
    <n v="0"/>
    <n v="0"/>
    <n v="163744"/>
    <s v="Aprobado con notificación"/>
    <s v="Emitido"/>
    <x v="0"/>
    <x v="0"/>
    <x v="0"/>
    <x v="0"/>
    <x v="1"/>
    <x v="1"/>
    <s v="PAGA EN SISTEMA 27/02/2026"/>
  </r>
  <r>
    <s v="Factura electrónica"/>
    <s v="89d7c7ddfe261e49366383e7b4d022011878885e367b283ec20e9427f9dbcff5507e8c6b8ff205427a3c895bf1ceb78c"/>
    <x v="644"/>
    <n v="-1"/>
    <s v="FVE"/>
    <s v="20-01-2026"/>
    <s v="20-01-2026 07:58:25"/>
    <s v="900800595"/>
    <s v="Provexpress SAS"/>
    <s v="800249704"/>
    <x v="375"/>
    <n v="57000"/>
    <n v="0"/>
    <n v="0"/>
    <n v="357000"/>
    <s v="Aprobado con notificación"/>
    <s v="Emitido"/>
    <x v="0"/>
    <x v="0"/>
    <x v="0"/>
    <x v="0"/>
    <x v="0"/>
    <x v="0"/>
    <m/>
  </r>
  <r>
    <s v="Factura electrónica"/>
    <s v="9f5e59bf83080f0fba57f555590469e5fdf75c91eb7335c338ac24948f59858a43396a98bed72c9572c48f28a30cd479"/>
    <x v="645"/>
    <n v="-1"/>
    <s v="FVE"/>
    <s v="20-01-2026"/>
    <s v="20-01-2026 07:58:30"/>
    <s v="900800595"/>
    <s v="Provexpress SAS"/>
    <s v="860071562"/>
    <x v="376"/>
    <n v="9500"/>
    <n v="0"/>
    <n v="0"/>
    <n v="59500"/>
    <s v="Aprobado con notificación"/>
    <s v="Emitido"/>
    <x v="0"/>
    <x v="0"/>
    <x v="0"/>
    <x v="0"/>
    <x v="1"/>
    <x v="1"/>
    <s v="FACTURA PAGA EN EL SISTEMA 19/02/2026"/>
  </r>
  <r>
    <s v="Factura electrónica"/>
    <s v="4022cfef3ace65c3d011cb605d5956b0a3f22154b69ec9647118c9efd7b4a5e70d52c78d0c6cb26480a7f41472430669"/>
    <x v="646"/>
    <n v="-1"/>
    <s v="FVE"/>
    <s v="20-01-2026"/>
    <s v="20-01-2026 07:58:34"/>
    <s v="900800595"/>
    <s v="Provexpress SAS"/>
    <s v="860071562"/>
    <x v="376"/>
    <n v="20140"/>
    <n v="0"/>
    <n v="0"/>
    <n v="126140"/>
    <s v="Aprobado con notificación"/>
    <s v="Emitido"/>
    <x v="0"/>
    <x v="0"/>
    <x v="0"/>
    <x v="0"/>
    <x v="1"/>
    <x v="1"/>
    <s v="FACTURA PAGA EN EL SISTEMA 19/02/2026"/>
  </r>
  <r>
    <s v="Factura electrónica"/>
    <s v="3aaa1a2b7e2730c24fad162fb32eecfde3b77a217eb2ec8c2cc8ac2ddaf7344a3b5c386c36a338d24bdf3fe262e6fb4b"/>
    <x v="647"/>
    <n v="-1"/>
    <s v="FVE"/>
    <s v="20-01-2026"/>
    <s v="20-01-2026 07:58:38"/>
    <s v="900800595"/>
    <s v="Provexpress SAS"/>
    <s v="860071562"/>
    <x v="376"/>
    <n v="23864"/>
    <n v="0"/>
    <n v="0"/>
    <n v="149464"/>
    <s v="Aprobado con notificación"/>
    <s v="Emitido"/>
    <x v="0"/>
    <x v="0"/>
    <x v="0"/>
    <x v="0"/>
    <x v="1"/>
    <x v="1"/>
    <s v="FACTURA PAGA EN EL SISTEMA 19/02/2026"/>
  </r>
  <r>
    <s v="Factura electrónica"/>
    <s v="0cfb92e468e9955bd1d7e2632e4748fdde2b5f1b330603b8d796974808c037e5d6c1dc27d35ae4eae939197b7f410628"/>
    <x v="648"/>
    <n v="-1"/>
    <s v="FVE"/>
    <s v="20-01-2026"/>
    <s v="20-01-2026 07:58:43"/>
    <s v="900800595"/>
    <s v="Provexpress SAS"/>
    <s v="901057541"/>
    <x v="377"/>
    <n v="1292000"/>
    <n v="0"/>
    <n v="0"/>
    <n v="8092000"/>
    <s v="Aprobado con notificación"/>
    <s v="Emitido"/>
    <x v="0"/>
    <x v="0"/>
    <x v="1"/>
    <x v="0"/>
    <x v="1"/>
    <x v="0"/>
    <m/>
  </r>
  <r>
    <s v="Factura electrónica"/>
    <s v="e8a53fae1c68464df9c6cf7616738f88b725d45cb7ce2cea8691f83dd392d2b1245237bcfb302abedd3863cb05912b11"/>
    <x v="649"/>
    <n v="-1"/>
    <s v="FVE"/>
    <s v="20-01-2026"/>
    <s v="20-01-2026 07:58:48"/>
    <s v="900800595"/>
    <s v="Provexpress SAS"/>
    <s v="900477097"/>
    <x v="378"/>
    <n v="157833"/>
    <n v="0"/>
    <n v="0"/>
    <n v="988533"/>
    <s v="Aprobado con notificación"/>
    <s v="Emitido"/>
    <x v="0"/>
    <x v="0"/>
    <x v="0"/>
    <x v="0"/>
    <x v="1"/>
    <x v="0"/>
    <m/>
  </r>
  <r>
    <s v="Factura electrónica"/>
    <s v="7ab31fb969c3895b27faa6c90acd74164f5a4115f90398e0c265863a609e86966e757cfd7799a3b84bf073d45a31297a"/>
    <x v="650"/>
    <n v="-1"/>
    <s v="FVE"/>
    <s v="20-01-2026"/>
    <s v="20-01-2026 08:13:59"/>
    <s v="900800595"/>
    <s v="Provexpress SAS"/>
    <s v="901749669"/>
    <x v="230"/>
    <n v="1272240"/>
    <n v="0"/>
    <n v="0"/>
    <n v="7968240"/>
    <s v="Aprobado con notificación"/>
    <s v="Emitido"/>
    <x v="0"/>
    <x v="0"/>
    <x v="0"/>
    <x v="0"/>
    <x v="1"/>
    <x v="1"/>
    <s v="PAGA EN EL SISTEMA 27/02/2026"/>
  </r>
  <r>
    <s v="Factura electrónica"/>
    <s v="faec847648fb53470be1c7362d54fd5aff373260fa47fdb86a9b09fa5e587fecd4d94ee1f52c79faf5b691e3f8a907fc"/>
    <x v="651"/>
    <n v="-1"/>
    <s v="FVE"/>
    <s v="20-01-2026"/>
    <s v="20-01-2026 08:14:05"/>
    <s v="900800595"/>
    <s v="Provexpress SAS"/>
    <s v="860001778"/>
    <x v="379"/>
    <n v="524020"/>
    <n v="0"/>
    <n v="0"/>
    <n v="3282020"/>
    <s v="Aprobado con notificación"/>
    <s v="Emitido"/>
    <x v="1"/>
    <x v="0"/>
    <x v="0"/>
    <x v="0"/>
    <x v="1"/>
    <x v="0"/>
    <m/>
  </r>
  <r>
    <s v="Factura electrónica"/>
    <s v="e4d6aebad78e8e1e521178fcf7d2b65a19e4df969952b4e97ddf8cc4a1cddae5c508e70991fd6f36367f7bcb20c38b3f"/>
    <x v="652"/>
    <n v="-1"/>
    <s v="FVE"/>
    <s v="20-01-2026"/>
    <s v="20-01-2026 08:14:09"/>
    <s v="900800595"/>
    <s v="Provexpress SAS"/>
    <s v="900458332"/>
    <x v="380"/>
    <n v="0"/>
    <n v="0"/>
    <n v="0"/>
    <n v="4559200"/>
    <s v="Aprobado con notificación"/>
    <s v="Emitido"/>
    <x v="0"/>
    <x v="0"/>
    <x v="0"/>
    <x v="0"/>
    <x v="1"/>
    <x v="1"/>
    <s v="FACTURA PAGA EN EL SISTEMA 10/02/2026"/>
  </r>
  <r>
    <s v="Factura electrónica"/>
    <s v="c62b561a54e1716963cc1fd79a7c48bd9c6bc112dbdfd9b73f85b83aa97190fdc327defcd73eec9101914d43e282ad65"/>
    <x v="653"/>
    <n v="-1"/>
    <s v="FVE"/>
    <s v="20-01-2026"/>
    <s v="20-01-2026 08:14:14"/>
    <s v="900800595"/>
    <s v="Provexpress SAS"/>
    <s v="830092675"/>
    <x v="231"/>
    <n v="640680"/>
    <n v="0"/>
    <n v="0"/>
    <n v="4012680"/>
    <s v="Aprobado con notificación"/>
    <s v="Emitido"/>
    <x v="0"/>
    <x v="0"/>
    <x v="1"/>
    <x v="0"/>
    <x v="1"/>
    <x v="0"/>
    <m/>
  </r>
  <r>
    <s v="Factura electrónica"/>
    <s v="89a4767640a0d91303234e7819b94db6cbb00392aa461a965e8585a6e1ca0a5dc92c4b755e4a77bf5e89ae8a0baf9da3"/>
    <x v="654"/>
    <n v="-1"/>
    <s v="FVE"/>
    <s v="20-01-2026"/>
    <s v="20-01-2026 08:14:19"/>
    <s v="900800595"/>
    <s v="Provexpress SAS"/>
    <s v="830092675"/>
    <x v="231"/>
    <n v="370272"/>
    <n v="0"/>
    <n v="0"/>
    <n v="2319072"/>
    <s v="Aprobado con notificación"/>
    <s v="Emitido"/>
    <x v="0"/>
    <x v="0"/>
    <x v="1"/>
    <x v="0"/>
    <x v="1"/>
    <x v="0"/>
    <m/>
  </r>
  <r>
    <s v="Factura electrónica"/>
    <s v="ec56128188bb39ddc4952e3670237780dac6d3b3f5110c4488b7299e247dc7ea7ad68838b67c849a171b67d2005ff108"/>
    <x v="655"/>
    <n v="-1"/>
    <s v="FVE"/>
    <s v="20-01-2026"/>
    <s v="20-01-2026 08:14:23"/>
    <s v="900800595"/>
    <s v="Provexpress SAS"/>
    <s v="860009985"/>
    <x v="381"/>
    <n v="249280"/>
    <n v="0"/>
    <n v="0"/>
    <n v="1561280"/>
    <s v="Aprobado con notificación"/>
    <s v="Emitido"/>
    <x v="0"/>
    <x v="0"/>
    <x v="0"/>
    <x v="0"/>
    <x v="1"/>
    <x v="1"/>
    <s v="PAGA EN SISTEMA 24/02/2026"/>
  </r>
  <r>
    <s v="Factura electrónica"/>
    <s v="626c57ea206da90b3a3e102923193ac80cad26da9585d536e73e84ba6779071c8abe71506da7aba2c84bd65441dd8110"/>
    <x v="656"/>
    <n v="-1"/>
    <s v="FVE"/>
    <s v="20-01-2026"/>
    <s v="20-01-2026 08:14:27"/>
    <s v="900800595"/>
    <s v="Provexpress SAS"/>
    <s v="901146434"/>
    <x v="382"/>
    <n v="289750"/>
    <n v="0"/>
    <n v="0"/>
    <n v="1814750"/>
    <s v="Aprobado con notificación"/>
    <s v="Emitido"/>
    <x v="0"/>
    <x v="0"/>
    <x v="0"/>
    <x v="0"/>
    <x v="0"/>
    <x v="0"/>
    <m/>
  </r>
  <r>
    <s v="Factura electrónica"/>
    <s v="cd3b70acc7b3b0a20c8cb58c87e377a8be09f802380937807c337eee511cef9d2bb4b3c2cc8399f0f76921a6991cc7ba"/>
    <x v="657"/>
    <n v="-1"/>
    <s v="FVE"/>
    <s v="20-01-2026"/>
    <s v="20-01-2026 08:14:32"/>
    <s v="900800595"/>
    <s v="Provexpress SAS"/>
    <s v="901146434"/>
    <x v="382"/>
    <n v="166250"/>
    <n v="0"/>
    <n v="0"/>
    <n v="1041250"/>
    <s v="Aprobado con notificación"/>
    <s v="Emitido"/>
    <x v="0"/>
    <x v="0"/>
    <x v="0"/>
    <x v="0"/>
    <x v="0"/>
    <x v="0"/>
    <m/>
  </r>
  <r>
    <s v="Factura electrónica"/>
    <s v="fa7eefbe0bcc1675752324ae90b2bd38566b55ed44d4669ef253ca3362d56c8552ffba3e3a3fc85051885e3453e67584"/>
    <x v="658"/>
    <n v="-1"/>
    <s v="FVE"/>
    <s v="20-01-2026"/>
    <s v="20-01-2026 08:14:36"/>
    <s v="900800595"/>
    <s v="Provexpress SAS"/>
    <s v="901146434"/>
    <x v="382"/>
    <n v="171000"/>
    <n v="0"/>
    <n v="0"/>
    <n v="1071000"/>
    <s v="Aprobado con notificación"/>
    <s v="Emitido"/>
    <x v="0"/>
    <x v="0"/>
    <x v="0"/>
    <x v="0"/>
    <x v="0"/>
    <x v="0"/>
    <m/>
  </r>
  <r>
    <s v="Factura electrónica"/>
    <s v="f79e2924b7e618cca081d662c53317539ddbaa18eb7e8c825d278127f14a01c463a1fcbf411ea407b6d7bdc2a49bda99"/>
    <x v="659"/>
    <n v="-1"/>
    <s v="FVE"/>
    <s v="20-01-2026"/>
    <s v="20-01-2026 08:14:42"/>
    <s v="900800595"/>
    <s v="Provexpress SAS"/>
    <s v="900916608"/>
    <x v="383"/>
    <n v="27170"/>
    <n v="0"/>
    <n v="0"/>
    <n v="170170"/>
    <s v="Aprobado con notificación"/>
    <s v="Emitido"/>
    <x v="0"/>
    <x v="0"/>
    <x v="0"/>
    <x v="0"/>
    <x v="0"/>
    <x v="0"/>
    <m/>
  </r>
  <r>
    <s v="Factura electrónica"/>
    <s v="77b5944670d4ba0a7bc55e2292993f32510a7e32093e9e68f941df537910d15853f5dc259270f425d36288c9dab944e0"/>
    <x v="660"/>
    <n v="-1"/>
    <s v="FVE"/>
    <s v="20-01-2026"/>
    <s v="20-01-2026 08:14:45"/>
    <s v="900800595"/>
    <s v="Provexpress SAS"/>
    <s v="901907841"/>
    <x v="384"/>
    <n v="33487.5"/>
    <n v="0"/>
    <n v="0"/>
    <n v="216037.5"/>
    <s v="Aprobado con notificación"/>
    <s v="Emitido"/>
    <x v="0"/>
    <x v="0"/>
    <x v="0"/>
    <x v="0"/>
    <x v="0"/>
    <x v="0"/>
    <m/>
  </r>
  <r>
    <s v="Factura electrónica"/>
    <s v="db97875cc4d85ff916222c664a59538083be02449f549273363c9be28d5138b6cb4798c9889a880ae804a1e2d8bc43cf"/>
    <x v="661"/>
    <n v="-1"/>
    <s v="FVE"/>
    <s v="20-01-2026"/>
    <s v="20-01-2026 08:14:52"/>
    <s v="900800595"/>
    <s v="Provexpress SAS"/>
    <s v="901900502"/>
    <x v="385"/>
    <n v="127835.23"/>
    <n v="0"/>
    <n v="0"/>
    <n v="800652.23"/>
    <s v="Aprobado con notificación"/>
    <s v="Emitido"/>
    <x v="0"/>
    <x v="0"/>
    <x v="0"/>
    <x v="0"/>
    <x v="0"/>
    <x v="0"/>
    <m/>
  </r>
  <r>
    <s v="Factura electrónica"/>
    <s v="902589aa907ae3a43ab8adeacfce78f359ee0a6e01bba8b7735f8bca6a364ff1ee250024359371ec7d11ef7cb63f7827"/>
    <x v="662"/>
    <n v="-1"/>
    <s v="FVE"/>
    <s v="20-01-2026"/>
    <s v="20-01-2026 08:14:55"/>
    <s v="900800595"/>
    <s v="Provexpress SAS"/>
    <s v="900182389"/>
    <x v="386"/>
    <n v="127300"/>
    <n v="0"/>
    <n v="0"/>
    <n v="797300"/>
    <s v="Aprobado con notificación"/>
    <s v="Emitido"/>
    <x v="0"/>
    <x v="0"/>
    <x v="0"/>
    <x v="0"/>
    <x v="1"/>
    <x v="1"/>
    <s v="FACTURA PAGA EN EL SISTEMA 24/02/2026"/>
  </r>
  <r>
    <s v="Factura electrónica"/>
    <s v="8e7805361e40f2e027cdb703c81f334ccb12f691ea800b4e5c53c92af18f763a865ecf567d56391acfb30971b324bbbc"/>
    <x v="663"/>
    <n v="-1"/>
    <s v="FVE"/>
    <s v="20-01-2026"/>
    <s v="20-01-2026 08:15:00"/>
    <s v="900800595"/>
    <s v="Provexpress SAS"/>
    <s v="830014450"/>
    <x v="387"/>
    <n v="310080"/>
    <n v="0"/>
    <n v="0"/>
    <n v="1942080"/>
    <s v="Aprobado con notificación"/>
    <s v="Emitido"/>
    <x v="0"/>
    <x v="0"/>
    <x v="0"/>
    <x v="0"/>
    <x v="1"/>
    <x v="1"/>
    <s v="FACTURA PAGA EN EL SISTEMA 3/02/2026"/>
  </r>
  <r>
    <s v="Factura electrónica"/>
    <s v="6bfd6d915840dbbd8fcea1edf6cb21e3194369fdb6cdd686eba38ccb3681831fc5eb34431bd4cd9f92a570497de0e393"/>
    <x v="664"/>
    <n v="-1"/>
    <s v="FVE"/>
    <s v="20-01-2026"/>
    <s v="20-01-2026 08:15:03"/>
    <s v="900800595"/>
    <s v="Provexpress SAS"/>
    <s v="830034723"/>
    <x v="80"/>
    <n v="31141"/>
    <n v="0"/>
    <n v="0"/>
    <n v="195041"/>
    <s v="Aprobado con notificación"/>
    <s v="Emitido"/>
    <x v="0"/>
    <x v="0"/>
    <x v="0"/>
    <x v="0"/>
    <x v="1"/>
    <x v="1"/>
    <s v="FACTURA PAGA EN EL SISTEMA 13/02/2026"/>
  </r>
  <r>
    <s v="Factura electrónica"/>
    <s v="d05f9a4d3d301a5be3864ab17bfd3d742c9d93f102bee7733b85b807f5d0ebc5b91ddf444e9b38b7dfbd47c57ab2f926"/>
    <x v="665"/>
    <n v="-1"/>
    <s v="FVE"/>
    <s v="20-01-2026"/>
    <s v="20-01-2026 08:15:09"/>
    <s v="900800595"/>
    <s v="Provexpress SAS"/>
    <s v="830034723"/>
    <x v="80"/>
    <n v="188773.93"/>
    <n v="0"/>
    <n v="0"/>
    <n v="1182320.93"/>
    <s v="Aprobado con notificación"/>
    <s v="Emitido"/>
    <x v="0"/>
    <x v="0"/>
    <x v="0"/>
    <x v="0"/>
    <x v="1"/>
    <x v="1"/>
    <s v="FACTURA PAGA EN EL SISTEMA 13/02/2026"/>
  </r>
  <r>
    <s v="Factura electrónica"/>
    <s v="6dc000cfc2bd48f1c4379242e9f82d2f03ca85bd2c743460f0f04007b41a93739b99845fc7db742b9c18150ef655c9fa"/>
    <x v="666"/>
    <n v="-1"/>
    <s v="FVE"/>
    <s v="20-01-2026"/>
    <s v="20-01-2026 08:15:13"/>
    <s v="900800595"/>
    <s v="Provexpress SAS"/>
    <s v="830034723"/>
    <x v="80"/>
    <n v="77529"/>
    <n v="0"/>
    <n v="0"/>
    <n v="884029"/>
    <s v="Aprobado con notificación"/>
    <s v="Emitido"/>
    <x v="0"/>
    <x v="1"/>
    <x v="0"/>
    <x v="0"/>
    <x v="1"/>
    <x v="0"/>
    <m/>
  </r>
  <r>
    <s v="Factura electrónica"/>
    <s v="69e5ad86677df9b6f893137c71fb7e8e476747b7cb02f990bafc54db4b68f84dba23dcdb693fcc07857677af84b06266"/>
    <x v="667"/>
    <n v="-1"/>
    <s v="FVE"/>
    <s v="20-01-2026"/>
    <s v="20-01-2026 08:30:29"/>
    <s v="900800595"/>
    <s v="Provexpress SAS"/>
    <s v="900298025"/>
    <x v="388"/>
    <n v="270940"/>
    <n v="0"/>
    <n v="0"/>
    <n v="1696940"/>
    <s v="Aprobado con notificación"/>
    <s v="Emitido"/>
    <x v="0"/>
    <x v="0"/>
    <x v="0"/>
    <x v="0"/>
    <x v="1"/>
    <x v="1"/>
    <s v="FACTURA PAGA EN EL SISTEMA 30/01/2026"/>
  </r>
  <r>
    <s v="Factura electrónica"/>
    <s v="fdbafa34d28bfc8edf367bbe7c16f2af8337618c44cff83069529f916502d0c0d323206a2b8ffcd816e949cbc089142d"/>
    <x v="668"/>
    <n v="-1"/>
    <s v="FVE"/>
    <s v="20-01-2026"/>
    <s v="20-01-2026 08:30:33"/>
    <s v="900800595"/>
    <s v="Provexpress SAS"/>
    <s v="900885028"/>
    <x v="389"/>
    <n v="270940"/>
    <n v="0"/>
    <n v="0"/>
    <n v="6272940"/>
    <s v="Aprobado con notificación"/>
    <s v="Emitido"/>
    <x v="0"/>
    <x v="0"/>
    <x v="0"/>
    <x v="0"/>
    <x v="1"/>
    <x v="1"/>
    <s v="FACTURA PAGA EN EL SISTEMA 3/02/2026"/>
  </r>
  <r>
    <s v="Factura electrónica"/>
    <s v="bffc4e5a91f77181e7412cee5cca9d00e53ac5d8993c6093f36904a9dc5ddfc9b5cf3904c682c8e1e943a1115187ace4"/>
    <x v="669"/>
    <n v="-1"/>
    <s v="FVE"/>
    <s v="20-01-2026"/>
    <s v="20-01-2026 08:30:38"/>
    <s v="900800595"/>
    <s v="Provexpress SAS"/>
    <s v="860090721"/>
    <x v="390"/>
    <n v="73150"/>
    <n v="0"/>
    <n v="0"/>
    <n v="458150"/>
    <s v="Aprobado con notificación"/>
    <s v="Emitido"/>
    <x v="0"/>
    <x v="0"/>
    <x v="1"/>
    <x v="0"/>
    <x v="1"/>
    <x v="0"/>
    <m/>
  </r>
  <r>
    <s v="Factura electrónica"/>
    <s v="8d07b7227e3967d19baa2b7d83003670a12f9eef3c3b62121b3d0149cbb4337d22bf8b7c8c25659a1c2a767f566d470f"/>
    <x v="670"/>
    <n v="-1"/>
    <s v="FVE"/>
    <s v="20-01-2026"/>
    <s v="20-01-2026 08:30:43"/>
    <s v="900800595"/>
    <s v="Provexpress SAS"/>
    <s v="830089785"/>
    <x v="391"/>
    <n v="73910"/>
    <n v="0"/>
    <n v="0"/>
    <n v="462910"/>
    <s v="Aprobado con notificación"/>
    <s v="Emitido"/>
    <x v="0"/>
    <x v="0"/>
    <x v="0"/>
    <x v="0"/>
    <x v="1"/>
    <x v="1"/>
    <s v="FACTURA PAGA EN EL SISTEMA 20/02/2026"/>
  </r>
  <r>
    <s v="Factura electrónica"/>
    <s v="1fd3fb702a72f68f3739f608327f3f9378aca2100d7e5750b4a486b9746053ef3230a67cd52614117bdce868bc0dd61d"/>
    <x v="671"/>
    <n v="-1"/>
    <s v="FVE"/>
    <s v="20-01-2026"/>
    <s v="20-01-2026 08:30:47"/>
    <s v="900800595"/>
    <s v="Provexpress SAS"/>
    <s v="901494846"/>
    <x v="392"/>
    <n v="106400"/>
    <n v="0"/>
    <n v="0"/>
    <n v="666400"/>
    <s v="Aprobado con notificación"/>
    <s v="Emitido"/>
    <x v="0"/>
    <x v="0"/>
    <x v="0"/>
    <x v="0"/>
    <x v="0"/>
    <x v="0"/>
    <m/>
  </r>
  <r>
    <s v="Factura electrónica"/>
    <s v="ef55131686ee800ee5f6f0b2b441dd80920e7076060c523b08b89b12b02c904a1dcb6decfbda5a530ce62eb38a1954fc"/>
    <x v="672"/>
    <n v="-1"/>
    <s v="FVE"/>
    <s v="20-01-2026"/>
    <s v="20-01-2026 08:30:53"/>
    <s v="900800595"/>
    <s v="Provexpress SAS"/>
    <s v="860002184"/>
    <x v="393"/>
    <n v="1943700"/>
    <n v="0"/>
    <n v="0"/>
    <n v="12173700"/>
    <s v="Aprobado con notificación"/>
    <s v="Emitido"/>
    <x v="0"/>
    <x v="0"/>
    <x v="0"/>
    <x v="0"/>
    <x v="1"/>
    <x v="1"/>
    <s v="FACTURA PAGA EN EL SISTEMA 29/01/2026"/>
  </r>
  <r>
    <s v="Factura electrónica"/>
    <s v="fce083a9058aeff9e72cf98cbf6cc8f0eecfe251843a364d4cd4795ceb5b4343c2d8d2b920547dfa906fb4301bb98ff9"/>
    <x v="673"/>
    <n v="-1"/>
    <s v="FVE"/>
    <s v="20-01-2026"/>
    <s v="20-01-2026 08:30:56"/>
    <s v="900800595"/>
    <s v="Provexpress SAS"/>
    <s v="901146434"/>
    <x v="382"/>
    <n v="470250"/>
    <n v="0"/>
    <n v="0"/>
    <n v="2945250"/>
    <s v="Aprobado con notificación"/>
    <s v="Emitido"/>
    <x v="0"/>
    <x v="0"/>
    <x v="0"/>
    <x v="0"/>
    <x v="0"/>
    <x v="0"/>
    <m/>
  </r>
  <r>
    <s v="Factura electrónica"/>
    <s v="c4bd317c249851b42264290d042f6d9fa9593bd61c121d8f7b5ff41fa0fb6f40520a161c532e49a52e3b54040cb6a640"/>
    <x v="674"/>
    <n v="-1"/>
    <s v="FVE"/>
    <s v="20-01-2026"/>
    <s v="20-01-2026 08:31:01"/>
    <s v="900800595"/>
    <s v="Provexpress SAS"/>
    <s v="860007336"/>
    <x v="187"/>
    <n v="826737.5"/>
    <n v="0"/>
    <n v="0"/>
    <n v="5177987.5"/>
    <s v="Aprobado con notificación"/>
    <s v="Emitido"/>
    <x v="0"/>
    <x v="0"/>
    <x v="0"/>
    <x v="0"/>
    <x v="1"/>
    <x v="1"/>
    <s v="PAGA EN EL SISTEMA 27/02/2026"/>
  </r>
  <r>
    <s v="Factura electrónica"/>
    <s v="6a4fd2b85e01b36cd65101d6852a5b6eeee8850c1d027be393e3826f502ae1e177f06ad6802ed73b4353728ef2a2aac8"/>
    <x v="675"/>
    <n v="-1"/>
    <s v="FVE"/>
    <s v="20-01-2026"/>
    <s v="20-01-2026 08:46:16"/>
    <s v="900800595"/>
    <s v="Provexpress SAS"/>
    <s v="860007336"/>
    <x v="187"/>
    <n v="62560.92"/>
    <n v="0"/>
    <n v="0"/>
    <n v="391828.92"/>
    <s v="Aprobado con notificación"/>
    <s v="Emitido"/>
    <x v="0"/>
    <x v="0"/>
    <x v="0"/>
    <x v="0"/>
    <x v="1"/>
    <x v="1"/>
    <s v="PAGA EN EL SISTEMA 27/02/2026"/>
  </r>
  <r>
    <s v="Factura electrónica"/>
    <s v="7dd7b31224166691889dbf4fbc5d8b3cc2791607a5f4ed2b58ec2490178d48482ea37bde435f8796c0341df5e83e3ff2"/>
    <x v="676"/>
    <n v="-1"/>
    <s v="FVE"/>
    <s v="20-01-2026"/>
    <s v="20-01-2026 09:02:09"/>
    <s v="900800595"/>
    <s v="Provexpress SAS"/>
    <s v="860072279"/>
    <x v="82"/>
    <n v="179687.5"/>
    <n v="0"/>
    <n v="0"/>
    <n v="1303137.5"/>
    <s v="Aprobado con notificación"/>
    <s v="Emitido"/>
    <x v="0"/>
    <x v="0"/>
    <x v="1"/>
    <x v="0"/>
    <x v="1"/>
    <x v="0"/>
    <m/>
  </r>
  <r>
    <s v="Factura electrónica"/>
    <s v="ad0ff55eb9c75f0a52f2ff35d4abeb998dbc94ea05e6ae12136dbb94b9b5d061ebd1ec7427514df2882fcab023090f8a"/>
    <x v="677"/>
    <n v="-1"/>
    <s v="FVE"/>
    <s v="20-01-2026"/>
    <s v="20-01-2026 09:31:41"/>
    <s v="900800595"/>
    <s v="Provexpress SAS"/>
    <s v="830125837"/>
    <x v="394"/>
    <n v="0"/>
    <n v="0"/>
    <n v="0"/>
    <n v="42600"/>
    <s v="Aprobado con notificación"/>
    <s v="Emitido"/>
    <x v="0"/>
    <x v="0"/>
    <x v="0"/>
    <x v="0"/>
    <x v="1"/>
    <x v="1"/>
    <s v="PAGA EN EL SISTEMA 23/02/2026"/>
  </r>
  <r>
    <s v="Factura electrónica"/>
    <s v="aa069b83e2b0ffce957c7f8264b95028a7a4526e86f9e28dc7b32512790ea09626101b753d6796d8dbb9748f82046c8d"/>
    <x v="678"/>
    <n v="-1"/>
    <s v="FVE"/>
    <s v="20-01-2026"/>
    <s v="20-01-2026 09:31:47"/>
    <s v="900800595"/>
    <s v="Provexpress SAS"/>
    <s v="830125837"/>
    <x v="394"/>
    <n v="13784.5"/>
    <n v="0"/>
    <n v="0"/>
    <n v="86334.5"/>
    <s v="Aprobado con notificación"/>
    <s v="Emitido"/>
    <x v="0"/>
    <x v="0"/>
    <x v="0"/>
    <x v="0"/>
    <x v="1"/>
    <x v="1"/>
    <s v="PAGA EN EL SISTEMA 23/02/2026"/>
  </r>
  <r>
    <s v="Factura electrónica"/>
    <s v="ae11f3f012e2f6ccf4ee3df0c8256dbe2c7db19c8fcff0fbc879351aab75737c17c7ba99ee95fdb3e84bb673eab8e645"/>
    <x v="679"/>
    <n v="-1"/>
    <s v="FVE"/>
    <s v="20-01-2026"/>
    <s v="20-01-2026 09:31:51"/>
    <s v="900800595"/>
    <s v="Provexpress SAS"/>
    <s v="830125837"/>
    <x v="394"/>
    <n v="141282.1"/>
    <n v="0"/>
    <n v="0"/>
    <n v="884872.1"/>
    <s v="Aprobado con notificación"/>
    <s v="Emitido"/>
    <x v="0"/>
    <x v="0"/>
    <x v="0"/>
    <x v="0"/>
    <x v="1"/>
    <x v="1"/>
    <s v="PAGA EN EL SISTEMA 23/02/2026"/>
  </r>
  <r>
    <s v="Factura electrónica"/>
    <s v="b011f8923ab1d9e6e4109ba681724df9627748c6037fa0672f559788ef712bee1049c5ba5eeeb720e40ff905244dc5f4"/>
    <x v="680"/>
    <n v="-1"/>
    <s v="FVE"/>
    <s v="20-01-2026"/>
    <s v="20-01-2026 09:31:59"/>
    <s v="900800595"/>
    <s v="Provexpress SAS"/>
    <s v="830125837"/>
    <x v="394"/>
    <n v="31730"/>
    <n v="0"/>
    <n v="0"/>
    <n v="666330"/>
    <s v="Aprobado con notificación"/>
    <s v="Emitido"/>
    <x v="0"/>
    <x v="0"/>
    <x v="0"/>
    <x v="0"/>
    <x v="1"/>
    <x v="1"/>
    <s v="PAGA EN EL SISTEMA 23/02/2026"/>
  </r>
  <r>
    <s v="Factura electrónica"/>
    <s v="447a9801c285439cc8e483182f612744fe4fead4dd769dd3dfcb52a7437e1a9e9627283893e9ee0cff68f6f6de51e048"/>
    <x v="681"/>
    <n v="-1"/>
    <s v="FVE"/>
    <s v="20-01-2026"/>
    <s v="20-01-2026 09:32:07"/>
    <s v="900800595"/>
    <s v="Provexpress SAS"/>
    <s v="830125837"/>
    <x v="394"/>
    <n v="42364.3"/>
    <n v="0"/>
    <n v="0"/>
    <n v="265334.3"/>
    <s v="Aprobado con notificación"/>
    <s v="Emitido"/>
    <x v="0"/>
    <x v="0"/>
    <x v="0"/>
    <x v="0"/>
    <x v="1"/>
    <x v="1"/>
    <s v="PAGA EN EL SISTEMA 23/02/2026"/>
  </r>
  <r>
    <s v="Factura electrónica"/>
    <s v="e2365da4f7e681acce5ef41b30d895676bce4c4297f548c22300b93c5d9062e7a08cfca69a739929e854d824508b2843"/>
    <x v="682"/>
    <n v="-1"/>
    <s v="FVE"/>
    <s v="20-01-2026"/>
    <s v="20-01-2026 10:02:25"/>
    <s v="900800595"/>
    <s v="Provexpress SAS"/>
    <s v="900598191"/>
    <x v="346"/>
    <n v="0"/>
    <n v="0"/>
    <n v="0"/>
    <n v="6760000"/>
    <s v="Aprobado con notificación"/>
    <s v="Emitido"/>
    <x v="0"/>
    <x v="0"/>
    <x v="0"/>
    <x v="0"/>
    <x v="1"/>
    <x v="1"/>
    <s v="PAGA EN EL SISTEMA 27/02/2026"/>
  </r>
  <r>
    <s v="Factura electrónica"/>
    <s v="8533b5dd99a0429348ce2269dd52f9cb4355d83e4b4c9ed677b72fc2b8f3fa45be4c4d144362d9e032978e1ea629b0f7"/>
    <x v="683"/>
    <n v="-1"/>
    <s v="FVE"/>
    <s v="20-01-2026"/>
    <s v="20-01-2026 10:02:29"/>
    <s v="900800595"/>
    <s v="Provexpress SAS"/>
    <s v="900832629"/>
    <x v="294"/>
    <n v="16815"/>
    <n v="0"/>
    <n v="0"/>
    <n v="105315"/>
    <s v="Aprobado con notificación"/>
    <s v="Emitido"/>
    <x v="0"/>
    <x v="0"/>
    <x v="0"/>
    <x v="0"/>
    <x v="1"/>
    <x v="1"/>
    <s v="FACTURA PAGA EN EL SISTEMA 11/02/2026"/>
  </r>
  <r>
    <s v="Factura electrónica"/>
    <s v="96e572808d5402140c1480b3b8c6a9868a235998d760084772c721619b0949d7ab399a639275bf50192a6c9b8e1a0ee4"/>
    <x v="684"/>
    <n v="-1"/>
    <s v="FVE"/>
    <s v="20-01-2026"/>
    <s v="20-01-2026 10:02:34"/>
    <s v="900800595"/>
    <s v="Provexpress SAS"/>
    <s v="800063606"/>
    <x v="95"/>
    <n v="0"/>
    <n v="0"/>
    <n v="0"/>
    <n v="1069314"/>
    <s v="Aprobado con notificación"/>
    <s v="Emitido"/>
    <x v="0"/>
    <x v="0"/>
    <x v="0"/>
    <x v="0"/>
    <x v="1"/>
    <x v="1"/>
    <s v="FACTURA PAGA EN EL SISTEMA 9/02/2026"/>
  </r>
  <r>
    <s v="Factura electrónica"/>
    <s v="258351ae726a02aa17e609a20ee5e97b5a9388b1be2e983b99bdaa9932cb4b4ff47fe14a432a894f008fc9380818b1f5"/>
    <x v="685"/>
    <n v="-1"/>
    <s v="FVE"/>
    <s v="20-01-2026"/>
    <s v="20-01-2026 10:02:41"/>
    <s v="900800595"/>
    <s v="Provexpress SAS"/>
    <s v="901749669"/>
    <x v="230"/>
    <n v="155420"/>
    <n v="0"/>
    <n v="0"/>
    <n v="973420"/>
    <s v="Aprobado con notificación"/>
    <s v="Emitido"/>
    <x v="0"/>
    <x v="0"/>
    <x v="0"/>
    <x v="0"/>
    <x v="1"/>
    <x v="1"/>
    <s v="PAGA EN EL SISTEMA 27/02/2026"/>
  </r>
  <r>
    <s v="Factura electrónica"/>
    <s v="173940c6afda7f9ffcff5f68fadf5a765a30afdd2790991e6581e9e1d90eb5e587ace9d7577178388f8da42f5b3d3ab5"/>
    <x v="686"/>
    <n v="-1"/>
    <s v="FVE"/>
    <s v="20-01-2026"/>
    <s v="20-01-2026 10:02:43"/>
    <s v="900800595"/>
    <s v="Provexpress SAS"/>
    <s v="800018165"/>
    <x v="395"/>
    <n v="50540"/>
    <n v="0"/>
    <n v="0"/>
    <n v="316540"/>
    <s v="Aprobado con notificación"/>
    <s v="Emitido"/>
    <x v="0"/>
    <x v="0"/>
    <x v="0"/>
    <x v="0"/>
    <x v="1"/>
    <x v="1"/>
    <s v="FACTURA PAGA EN EL SISTEMA 26/01/2026"/>
  </r>
  <r>
    <s v="Factura electrónica"/>
    <s v="cfafcd3825ffbd6919c9532e54bafe80a19e2e42d94d30bea439e9481782f62b54d6ed5124ee65ba9c59e0ab14be26a6"/>
    <x v="687"/>
    <n v="-1"/>
    <s v="FVE"/>
    <s v="20-01-2026"/>
    <s v="20-01-2026 10:02:48"/>
    <s v="900800595"/>
    <s v="Provexpress SAS"/>
    <s v="800024265"/>
    <x v="4"/>
    <n v="3326044.05"/>
    <n v="0"/>
    <n v="0"/>
    <n v="38798212.049999997"/>
    <s v="Aprobado con notificación"/>
    <s v="Emitido"/>
    <x v="1"/>
    <x v="0"/>
    <x v="0"/>
    <x v="0"/>
    <x v="1"/>
    <x v="0"/>
    <m/>
  </r>
  <r>
    <s v="Factura electrónica"/>
    <s v="7e62e78738849dfb4c8f46aef0e92c83bd6f36f3aef9ba1d93c52961d5d9dd033e2d0b7a70c6c4c6bb885269dd7ca7a7"/>
    <x v="688"/>
    <n v="-1"/>
    <s v="FVE"/>
    <s v="20-01-2026"/>
    <s v="20-01-2026 10:33:06"/>
    <s v="900800595"/>
    <s v="Provexpress SAS"/>
    <s v="900682841"/>
    <x v="3"/>
    <n v="2446514.86"/>
    <n v="0"/>
    <n v="0"/>
    <n v="35285878.859999999"/>
    <s v="Aprobado con notificación"/>
    <s v="Emitido"/>
    <x v="1"/>
    <x v="0"/>
    <x v="0"/>
    <x v="0"/>
    <x v="1"/>
    <x v="0"/>
    <m/>
  </r>
  <r>
    <s v="Factura electrónica"/>
    <s v="518f2779c68aa09773ab3b89b20f70f43241693ae1d1d6298c990d07ccc7dc3991914840b72aeb9a8f71423bd7d8a892"/>
    <x v="689"/>
    <n v="-1"/>
    <s v="FVE"/>
    <s v="20-01-2026"/>
    <s v="20-01-2026 10:33:11"/>
    <s v="900800595"/>
    <s v="Provexpress SAS"/>
    <s v="901882241"/>
    <x v="396"/>
    <n v="1953333"/>
    <n v="0"/>
    <n v="0"/>
    <n v="12234033"/>
    <s v="Aprobado con notificación"/>
    <s v="Emitido"/>
    <x v="0"/>
    <x v="0"/>
    <x v="0"/>
    <x v="0"/>
    <x v="1"/>
    <x v="1"/>
    <s v="FACTURA PAGA EN EL SISTEMA 18/02/2026"/>
  </r>
  <r>
    <s v="Factura electrónica"/>
    <s v="49969f8f24dc2160dc586e07360a1a75dbccaf9a500db0749c7d4f150c33b4c90884021d6dcec7d0b33759474147bda7"/>
    <x v="690"/>
    <n v="-1"/>
    <s v="FVE"/>
    <s v="20-01-2026"/>
    <s v="20-01-2026 10:33:15"/>
    <s v="900800595"/>
    <s v="Provexpress SAS"/>
    <s v="901882241"/>
    <x v="396"/>
    <n v="415478.7"/>
    <n v="0"/>
    <n v="0"/>
    <n v="2602208.7000000002"/>
    <s v="Aprobado con notificación"/>
    <s v="Emitido"/>
    <x v="0"/>
    <x v="0"/>
    <x v="0"/>
    <x v="0"/>
    <x v="1"/>
    <x v="1"/>
    <s v="FACTURA PAGA EN EL SISTEMA 18/02/2026"/>
  </r>
  <r>
    <s v="Factura electrónica"/>
    <s v="80d5aed4648de18b7df8f3078c805d844000a03953ac7fd2b9ac69491d56d942cefa10fff7e9a266783a46bc203394fe"/>
    <x v="691"/>
    <n v="-1"/>
    <s v="FVE"/>
    <s v="20-01-2026"/>
    <s v="20-01-2026 10:33:20"/>
    <s v="900800595"/>
    <s v="Provexpress SAS"/>
    <s v="901061978"/>
    <x v="397"/>
    <n v="0"/>
    <n v="0"/>
    <n v="0"/>
    <n v="3015950"/>
    <s v="Aprobado con notificación"/>
    <s v="Emitido"/>
    <x v="0"/>
    <x v="0"/>
    <x v="0"/>
    <x v="0"/>
    <x v="1"/>
    <x v="1"/>
    <s v="FACTURA PAGA EN EL SISTEMA 26/01/2026"/>
  </r>
  <r>
    <s v="Factura electrónica"/>
    <s v="78521ed81bec1b42ae31b3e614799b1d9c7750a314c3da4fce6299deb241d2417812f3a4ce80a536293054ca7dfc60a6"/>
    <x v="692"/>
    <n v="-1"/>
    <s v="FVE"/>
    <s v="20-01-2026"/>
    <s v="20-01-2026 10:48:31"/>
    <s v="900800595"/>
    <s v="Provexpress SAS"/>
    <s v="830033494"/>
    <x v="130"/>
    <n v="12445"/>
    <n v="0"/>
    <n v="0"/>
    <n v="77945"/>
    <s v="Aprobado con notificación"/>
    <s v="Emitido"/>
    <x v="0"/>
    <x v="0"/>
    <x v="1"/>
    <x v="0"/>
    <x v="1"/>
    <x v="0"/>
    <m/>
  </r>
  <r>
    <s v="Factura electrónica"/>
    <s v="b32629ebc13dcd8d7deaca86504932614acdc1ebbe35966099e9cc7b7a8cdd59bbe912756ab3a713949a8715aaeefa6f"/>
    <x v="693"/>
    <n v="-1"/>
    <s v="FVE"/>
    <s v="20-01-2026"/>
    <s v="20-01-2026 10:48:35"/>
    <s v="900800595"/>
    <s v="Provexpress SAS"/>
    <s v="830130520"/>
    <x v="398"/>
    <n v="1995140.79"/>
    <n v="0"/>
    <n v="0"/>
    <n v="12495881.789999999"/>
    <s v="Aprobado con notificación"/>
    <s v="Emitido"/>
    <x v="0"/>
    <x v="0"/>
    <x v="0"/>
    <x v="0"/>
    <x v="1"/>
    <x v="1"/>
    <s v="FACTURA PAGA EN EL SISTEMA 30/01/2026"/>
  </r>
  <r>
    <s v="Factura electrónica"/>
    <s v="e3dfb15ee67482eec69a6654a1a17041efbf4af2892c466884c08c0e46f3d97804b6b1356279ae1d968e3a517990cd30"/>
    <x v="694"/>
    <n v="-1"/>
    <s v="FVE"/>
    <s v="20-01-2026"/>
    <s v="20-01-2026 10:48:41"/>
    <s v="900800595"/>
    <s v="Provexpress SAS"/>
    <s v="891101577"/>
    <x v="399"/>
    <n v="0"/>
    <n v="0"/>
    <n v="0"/>
    <n v="671486.4"/>
    <s v="Aprobado con notificación"/>
    <s v="Emitido"/>
    <x v="0"/>
    <x v="0"/>
    <x v="1"/>
    <x v="0"/>
    <x v="1"/>
    <x v="0"/>
    <m/>
  </r>
  <r>
    <s v="Factura electrónica"/>
    <s v="6441f91097fa392d8b8b73bf4b865a944a02957b8d255a065eb29a779ca37e2b27fe7cc77d163c7d38d7a688593e1979"/>
    <x v="695"/>
    <n v="-1"/>
    <s v="FVE"/>
    <s v="20-01-2026"/>
    <s v="20-01-2026 11:03:51"/>
    <s v="900800595"/>
    <s v="Provexpress SAS"/>
    <s v="901202687"/>
    <x v="400"/>
    <n v="255142.64"/>
    <n v="0"/>
    <n v="0"/>
    <n v="1597998.64"/>
    <s v="Aprobado con notificación"/>
    <s v="Emitido"/>
    <x v="0"/>
    <x v="0"/>
    <x v="0"/>
    <x v="0"/>
    <x v="0"/>
    <x v="0"/>
    <m/>
  </r>
  <r>
    <s v="Factura electrónica"/>
    <s v="13ca205862d07f15ec9d43164d0038f34fd0ccc6ee7141fd754d6614f24ef4fc9bc3f24eebd65086a4025877c2143d67"/>
    <x v="696"/>
    <n v="-1"/>
    <s v="FVE"/>
    <s v="20-01-2026"/>
    <s v="20-01-2026 11:03:56"/>
    <s v="900800595"/>
    <s v="Provexpress SAS"/>
    <s v="900705294"/>
    <x v="401"/>
    <n v="13157.5"/>
    <n v="0"/>
    <n v="0"/>
    <n v="82407.5"/>
    <s v="Aprobado con notificación"/>
    <s v="Emitido"/>
    <x v="0"/>
    <x v="0"/>
    <x v="0"/>
    <x v="0"/>
    <x v="1"/>
    <x v="1"/>
    <s v="FACTURA PAGA EN EL SISTEMA 29/01/2026"/>
  </r>
  <r>
    <s v="Factura electrónica"/>
    <s v="15e66a0aa2fd42b6b37b1b02a35b79a37df9d8a2bc1b657b8e2e54f3614431be64b22cb3b315c2702174b71629af9be3"/>
    <x v="697"/>
    <n v="-1"/>
    <s v="FVE"/>
    <s v="20-01-2026"/>
    <s v="20-01-2026 11:04:01"/>
    <s v="900800595"/>
    <s v="Provexpress SAS"/>
    <s v="830110734"/>
    <x v="402"/>
    <n v="1163940"/>
    <n v="0"/>
    <n v="0"/>
    <n v="7289940"/>
    <s v="Aprobado con notificación"/>
    <s v="Emitido"/>
    <x v="0"/>
    <x v="0"/>
    <x v="0"/>
    <x v="0"/>
    <x v="1"/>
    <x v="1"/>
    <s v="FACTURA PAGA EN EL SISTEMA 30/01/2026"/>
  </r>
  <r>
    <s v="Factura electrónica"/>
    <s v="90a57726fd3c9da88b2318b813bf5debf96f1d28b254be5ea1474705193ab3890942eabe175f06f6e656f9c74c6916c9"/>
    <x v="698"/>
    <n v="-1"/>
    <s v="FVE"/>
    <s v="20-01-2026"/>
    <s v="20-01-2026 11:04:06"/>
    <s v="900800595"/>
    <s v="Provexpress SAS"/>
    <s v="830095970"/>
    <x v="2"/>
    <n v="1223763.3999999999"/>
    <n v="0"/>
    <n v="0"/>
    <n v="11529841.4"/>
    <s v="Aprobado con notificación"/>
    <s v="Emitido"/>
    <x v="1"/>
    <x v="0"/>
    <x v="0"/>
    <x v="0"/>
    <x v="1"/>
    <x v="0"/>
    <m/>
  </r>
  <r>
    <s v="Factura electrónica"/>
    <s v="4b1fd4bd79745c5dccb531b2b097e00ce77c59f561e30eac58388790fd960eed9e8f1e4314bf71d5dc64084384906359"/>
    <x v="699"/>
    <n v="-1"/>
    <s v="FVE"/>
    <s v="20-01-2026"/>
    <s v="20-01-2026 11:19:23"/>
    <s v="900800595"/>
    <s v="Provexpress SAS"/>
    <s v="901732247"/>
    <x v="403"/>
    <n v="75620"/>
    <n v="0"/>
    <n v="0"/>
    <n v="1219620"/>
    <s v="Aprobado con notificación"/>
    <s v="Emitido"/>
    <x v="0"/>
    <x v="0"/>
    <x v="0"/>
    <x v="0"/>
    <x v="0"/>
    <x v="0"/>
    <m/>
  </r>
  <r>
    <s v="Factura electrónica"/>
    <s v="fdffceefd1cf1b5516b399f10017b82ad9eee4387977b0bc2bbd8785cd5a1fec46a11967dc1db3fd556fa8fb9be53c84"/>
    <x v="700"/>
    <n v="-1"/>
    <s v="FVE"/>
    <s v="20-01-2026"/>
    <s v="20-01-2026 11:19:24"/>
    <s v="900800595"/>
    <s v="Provexpress SAS"/>
    <s v="830090909"/>
    <x v="404"/>
    <n v="64899.06"/>
    <n v="0"/>
    <n v="0"/>
    <n v="406473.06"/>
    <s v="Aprobado con notificación"/>
    <s v="Emitido"/>
    <x v="0"/>
    <x v="0"/>
    <x v="0"/>
    <x v="0"/>
    <x v="1"/>
    <x v="1"/>
    <s v="FACTURA PAGA EN EL SISTEMA 27/02/2026"/>
  </r>
  <r>
    <s v="Factura electrónica"/>
    <s v="fcef1a5ed0407857f3a7f10dc72e3db0099c33ec4f328d76b084b995868b86940d519be4dd3cbb164e1d3470ee2b78cb"/>
    <x v="701"/>
    <n v="-1"/>
    <s v="FVE"/>
    <s v="20-01-2026"/>
    <s v="20-01-2026 11:20:32"/>
    <s v="900800595"/>
    <s v="Provexpress SAS"/>
    <s v="860504410"/>
    <x v="225"/>
    <n v="32062.5"/>
    <n v="0"/>
    <n v="0"/>
    <n v="200812.5"/>
    <s v="Aprobado con notificación"/>
    <s v="Emitido"/>
    <x v="0"/>
    <x v="0"/>
    <x v="0"/>
    <x v="0"/>
    <x v="1"/>
    <x v="1"/>
    <s v="PAGA EN SISTEMA 27/02/2026"/>
  </r>
  <r>
    <s v="Factura electrónica"/>
    <s v="9770ccab785e2e45b9d8775259a5cca1eca4a1740900a36e3761d94d3024ceeef5de0a88abe6cf450d9e23cd1707b4f4"/>
    <x v="702"/>
    <n v="-1"/>
    <s v="FVE"/>
    <s v="20-01-2026"/>
    <s v="20-01-2026 11:19:32"/>
    <s v="900800595"/>
    <s v="Provexpress SAS"/>
    <s v="860001615"/>
    <x v="405"/>
    <n v="3420"/>
    <n v="0"/>
    <n v="0"/>
    <n v="21420"/>
    <s v="Aprobado con notificación"/>
    <s v="Emitido"/>
    <x v="0"/>
    <x v="0"/>
    <x v="0"/>
    <x v="0"/>
    <x v="1"/>
    <x v="1"/>
    <s v="FACTURA PAGA EN EL SISTEMA 19/02/2026"/>
  </r>
  <r>
    <s v="Factura electrónica"/>
    <s v="e890ea0af3edff2c502f2365a8cdeeb30f1a06c9eec87c080b1e306a3ba076a22233dc74ff42c9a583c81127fb67b359"/>
    <x v="703"/>
    <n v="-1"/>
    <s v="FVE"/>
    <s v="20-01-2026"/>
    <s v="20-01-2026 11:19:36"/>
    <s v="900800595"/>
    <s v="Provexpress SAS"/>
    <s v="800016635"/>
    <x v="406"/>
    <n v="254600"/>
    <n v="0"/>
    <n v="0"/>
    <n v="1594600"/>
    <s v="Aprobado con notificación"/>
    <s v="Emitido"/>
    <x v="0"/>
    <x v="0"/>
    <x v="0"/>
    <x v="0"/>
    <x v="1"/>
    <x v="1"/>
    <s v="FACTURA PAGA EN EL SISTEMA 3/02/2026"/>
  </r>
  <r>
    <s v="Factura electrónica"/>
    <s v="0b7a906be60e013c0c2594fad145ffff6bd2d7f4853684fbb3f928f3388b9076a727c0d93fb9b8cabc2d49b17bc98fec"/>
    <x v="704"/>
    <n v="-1"/>
    <s v="FVE"/>
    <s v="20-01-2026"/>
    <s v="20-01-2026 11:19:41"/>
    <s v="900800595"/>
    <s v="Provexpress SAS"/>
    <s v="800241469"/>
    <x v="89"/>
    <n v="95000"/>
    <n v="0"/>
    <n v="0"/>
    <n v="595000"/>
    <s v="Aprobado con notificación"/>
    <s v="Emitido"/>
    <x v="0"/>
    <x v="0"/>
    <x v="0"/>
    <x v="0"/>
    <x v="1"/>
    <x v="1"/>
    <s v="PAGA EN EL SISTEMA 10/02/2026"/>
  </r>
  <r>
    <s v="Factura electrónica"/>
    <s v="099913969fc196e76c79bff2293b5e09964bd6d6b1aba65305dc0cef559c6e16443191ada72ad881e7168446e0dad981"/>
    <x v="705"/>
    <n v="-1"/>
    <s v="FVE"/>
    <s v="20-01-2026"/>
    <s v="20-01-2026 11:19:45"/>
    <s v="900800595"/>
    <s v="Provexpress SAS"/>
    <s v="860001615"/>
    <x v="405"/>
    <n v="18050"/>
    <n v="0"/>
    <n v="0"/>
    <n v="113050"/>
    <s v="Aprobado con notificación"/>
    <s v="Emitido"/>
    <x v="0"/>
    <x v="0"/>
    <x v="0"/>
    <x v="0"/>
    <x v="1"/>
    <x v="1"/>
    <s v="FACTURA PAGA EN EL SISTEMA 19/02/2026"/>
  </r>
  <r>
    <s v="Factura electrónica"/>
    <s v="e3314d2336bddb877217f3640d13cafe9671cd22f878e29e5405db9906ebf4e20c864ae98f8bb69763664e8273d16f72"/>
    <x v="706"/>
    <n v="-1"/>
    <s v="FVE"/>
    <s v="20-01-2026"/>
    <s v="20-01-2026 11:35:42"/>
    <s v="900800595"/>
    <s v="Provexpress SAS"/>
    <s v="901811099"/>
    <x v="407"/>
    <n v="35150"/>
    <n v="0"/>
    <n v="0"/>
    <n v="220150"/>
    <s v="Aprobado con notificación"/>
    <s v="Emitido"/>
    <x v="0"/>
    <x v="0"/>
    <x v="0"/>
    <x v="0"/>
    <x v="1"/>
    <x v="1"/>
    <s v="PAGA EN EL SISTEMA 24/02/2026"/>
  </r>
  <r>
    <s v="Factura electrónica"/>
    <s v="e31bdcf57a1ff7d202274ca5f28b562d5af55794304928f3c8fd33004385957f5ca3f0d7cf19172149262c73c09bf20e"/>
    <x v="707"/>
    <n v="-1"/>
    <s v="FVE"/>
    <s v="20-01-2026"/>
    <s v="20-01-2026 11:35:42"/>
    <s v="900800595"/>
    <s v="Provexpress SAS"/>
    <s v="901034380"/>
    <x v="408"/>
    <n v="724375"/>
    <n v="0"/>
    <n v="0"/>
    <n v="4536875"/>
    <s v="Aprobado con notificación"/>
    <s v="Emitido"/>
    <x v="0"/>
    <x v="1"/>
    <x v="0"/>
    <x v="0"/>
    <x v="1"/>
    <x v="0"/>
    <m/>
  </r>
  <r>
    <s v="Factura electrónica"/>
    <s v="f4e99a9dc3cc969c35c5365b7fb4ba363051bc0440a3e99c662432a257e776613715a03a7f9247830cc125b3a4fc62e4"/>
    <x v="708"/>
    <n v="-1"/>
    <s v="FVE"/>
    <s v="20-01-2026"/>
    <s v="20-01-2026 11:50:12"/>
    <s v="900800595"/>
    <s v="Provexpress SAS"/>
    <s v="891700037"/>
    <x v="409"/>
    <n v="4361165"/>
    <n v="0"/>
    <n v="0"/>
    <n v="27314665"/>
    <s v="Aprobado con notificación"/>
    <s v="Emitido"/>
    <x v="0"/>
    <x v="0"/>
    <x v="0"/>
    <x v="0"/>
    <x v="1"/>
    <x v="1"/>
    <s v="FACTURA PAGA EN EL SISTEMA 19/02/2026"/>
  </r>
  <r>
    <s v="Factura electrónica"/>
    <s v="f1fe2767baf366abde5a843fc404f89a9252b1b02a7cd85a7c5550273967e382bbe68b4d0d22e87dc4e08552355b3504"/>
    <x v="709"/>
    <n v="-1"/>
    <s v="FVE"/>
    <s v="20-01-2026"/>
    <s v="20-01-2026 11:50:16"/>
    <s v="900800595"/>
    <s v="Provexpress SAS"/>
    <s v="830121897"/>
    <x v="367"/>
    <n v="0"/>
    <n v="0"/>
    <n v="0"/>
    <n v="19800"/>
    <s v="Aprobado con notificación"/>
    <s v="Emitido"/>
    <x v="0"/>
    <x v="0"/>
    <x v="1"/>
    <x v="0"/>
    <x v="1"/>
    <x v="0"/>
    <m/>
  </r>
  <r>
    <s v="Factura electrónica"/>
    <s v="8bae59be55c1c48d4c66f3b5782e5713d0eb428bc4431824a14cd50c2d47c1d899c3532d324c62d8a9c70ff38ff39a6b"/>
    <x v="710"/>
    <n v="-1"/>
    <s v="FVE"/>
    <s v="20-01-2026"/>
    <s v="20-01-2026 11:50:21"/>
    <s v="900800595"/>
    <s v="Provexpress SAS"/>
    <s v="800106962"/>
    <x v="410"/>
    <n v="60969.1"/>
    <n v="0"/>
    <n v="0"/>
    <n v="381859.1"/>
    <s v="Aprobado con notificación"/>
    <s v="Emitido"/>
    <x v="0"/>
    <x v="0"/>
    <x v="0"/>
    <x v="0"/>
    <x v="0"/>
    <x v="0"/>
    <m/>
  </r>
  <r>
    <s v="Factura electrónica"/>
    <s v="1082ea4aa45c910301f8d8214b3f77bd154973644322873c0c88aeb5d52edae90c15a2f8a1a9df57bf2a787112f32571"/>
    <x v="711"/>
    <n v="-1"/>
    <s v="FVE"/>
    <s v="20-01-2026"/>
    <s v="20-01-2026 11:50:25"/>
    <s v="900800595"/>
    <s v="Provexpress SAS"/>
    <s v="900943048"/>
    <x v="29"/>
    <n v="17827.400000000001"/>
    <n v="0"/>
    <n v="0"/>
    <n v="129207.4"/>
    <s v="Aprobado con notificación"/>
    <s v="Emitido"/>
    <x v="1"/>
    <x v="0"/>
    <x v="0"/>
    <x v="0"/>
    <x v="1"/>
    <x v="0"/>
    <m/>
  </r>
  <r>
    <s v="Factura electrónica"/>
    <s v="19b9b6559b06ae41b56511943d7af11c79d44824379145c0aaa433b6d145d6e520a385133ce4b2987da900446e195f5b"/>
    <x v="712"/>
    <n v="-1"/>
    <s v="FVE"/>
    <s v="20-01-2026"/>
    <s v="20-01-2026 12:05:36"/>
    <s v="900800595"/>
    <s v="Provexpress SAS"/>
    <s v="830050619"/>
    <x v="71"/>
    <n v="474217.4"/>
    <n v="0"/>
    <n v="0"/>
    <n v="2970098.47"/>
    <s v="Aprobado con notificación"/>
    <s v="Emitido"/>
    <x v="0"/>
    <x v="0"/>
    <x v="0"/>
    <x v="1"/>
    <x v="1"/>
    <x v="0"/>
    <m/>
  </r>
  <r>
    <s v="Factura electrónica"/>
    <s v="827c25680655d52ff7d7e39516c07e95e61fe4403255b035a5b0a0b32ed3d9b2ae4d13c58f879afb361b0d0ede74bcee"/>
    <x v="713"/>
    <n v="-1"/>
    <s v="FVE"/>
    <s v="20-01-2026"/>
    <s v="20-01-2026 12:20:48"/>
    <s v="900800595"/>
    <s v="Provexpress SAS"/>
    <s v="860503159"/>
    <x v="411"/>
    <n v="4393161"/>
    <n v="0"/>
    <n v="0"/>
    <n v="27515061"/>
    <s v="Aprobado con notificación"/>
    <s v="Emitido"/>
    <x v="0"/>
    <x v="0"/>
    <x v="0"/>
    <x v="0"/>
    <x v="1"/>
    <x v="1"/>
    <s v="FACTURA PAGA EN EL SISTEMA 16/02/2026"/>
  </r>
  <r>
    <s v="Factura electrónica"/>
    <s v="fc6dc5d57f1582fd51269bf7fc0aa9eec132f2f3898b3f9b5bfe587105f527a44c5f5e2fc853efeb518999ccb40132f8"/>
    <x v="714"/>
    <n v="-1"/>
    <s v="FVE"/>
    <s v="20-01-2026"/>
    <s v="20-01-2026 12:20:52"/>
    <s v="900800595"/>
    <s v="Provexpress SAS"/>
    <s v="800130907"/>
    <x v="116"/>
    <n v="35720"/>
    <n v="0"/>
    <n v="0"/>
    <n v="223720"/>
    <s v="Aprobado con notificación"/>
    <s v="Emitido"/>
    <x v="0"/>
    <x v="0"/>
    <x v="0"/>
    <x v="1"/>
    <x v="1"/>
    <x v="0"/>
    <m/>
  </r>
  <r>
    <s v="Factura electrónica"/>
    <s v="a94c8a207bd7e1501122f1d975bdeee9c7797f5ad889d4d4394c030cc6249fcd6016938de101354e7ad017604b801779"/>
    <x v="715"/>
    <n v="-1"/>
    <s v="FVE"/>
    <s v="20-01-2026"/>
    <s v="20-01-2026 12:36:08"/>
    <s v="900800595"/>
    <s v="Provexpress SAS"/>
    <s v="900774333"/>
    <x v="412"/>
    <n v="554486.52"/>
    <n v="0"/>
    <n v="0"/>
    <n v="4889046.5199999996"/>
    <s v="Aprobado con notificación"/>
    <s v="Emitido"/>
    <x v="0"/>
    <x v="0"/>
    <x v="0"/>
    <x v="0"/>
    <x v="1"/>
    <x v="1"/>
    <s v="FACTURA PAGA EN EL SISTEMA 19/02/2026"/>
  </r>
  <r>
    <s v="Factura electrónica"/>
    <s v="3db5ec8ef082a94156324b689222f136d8394259896bbe0dbaedeb3cdae2909200a0aa614640b42cdf5b17d35d82fdbf"/>
    <x v="716"/>
    <n v="-1"/>
    <s v="FVE"/>
    <s v="20-01-2026"/>
    <s v="20-01-2026 13:06:26"/>
    <s v="900800595"/>
    <s v="Provexpress SAS"/>
    <s v="860524163"/>
    <x v="162"/>
    <n v="55187.05"/>
    <n v="0"/>
    <n v="0"/>
    <n v="359682.05"/>
    <s v="Aprobado con notificación"/>
    <s v="Emitido"/>
    <x v="1"/>
    <x v="0"/>
    <x v="0"/>
    <x v="0"/>
    <x v="1"/>
    <x v="0"/>
    <m/>
  </r>
  <r>
    <s v="Factura electrónica"/>
    <s v="bfc1949a883a7dd9f070cba19afe3967f4c8562cbdd47979dc8c52bf7d9f4432c5b935fe40efb11f7d0e7352c5a6f1f3"/>
    <x v="717"/>
    <n v="-1"/>
    <s v="FVE"/>
    <s v="20-01-2026"/>
    <s v="20-01-2026 14:37:09"/>
    <s v="900800595"/>
    <s v="Provexpress SAS"/>
    <s v="830095970"/>
    <x v="2"/>
    <n v="1108681.3500000001"/>
    <n v="0"/>
    <n v="0"/>
    <n v="6943846.3499999996"/>
    <s v="Aprobado con notificación"/>
    <s v="Emitido"/>
    <x v="1"/>
    <x v="0"/>
    <x v="0"/>
    <x v="0"/>
    <x v="1"/>
    <x v="0"/>
    <m/>
  </r>
  <r>
    <s v="Factura electrónica"/>
    <s v="84590ad9493d31bed3eae37d084152f78851475dc8e57fdb8d7dee1801e3de3e228285e43560143022680a5263f4d08c"/>
    <x v="718"/>
    <n v="-1"/>
    <s v="FVE"/>
    <s v="20-01-2026"/>
    <s v="20-01-2026 14:37:15"/>
    <s v="900800595"/>
    <s v="Provexpress SAS"/>
    <s v="800024265"/>
    <x v="4"/>
    <n v="3296499.24"/>
    <n v="0"/>
    <n v="0"/>
    <n v="20646495.239999998"/>
    <s v="Aprobado con notificación"/>
    <s v="Emitido"/>
    <x v="0"/>
    <x v="0"/>
    <x v="0"/>
    <x v="1"/>
    <x v="1"/>
    <x v="0"/>
    <s v="NC 5894"/>
  </r>
  <r>
    <s v="Factura electrónica"/>
    <s v="f9708d3e965a56e6e6b7c2cd7cd9f1380c99a110c9e5e95312210cd4674623ef78963d28e7b183ba0c32c49c176c0d41"/>
    <x v="719"/>
    <n v="-1"/>
    <s v="FVE"/>
    <s v="20-01-2026"/>
    <s v="20-01-2026 14:37:19"/>
    <s v="900800595"/>
    <s v="Provexpress SAS"/>
    <s v="900422533"/>
    <x v="413"/>
    <n v="0"/>
    <n v="0"/>
    <n v="0"/>
    <n v="4612454.4000000004"/>
    <s v="Aprobado con notificación"/>
    <s v="Emitido"/>
    <x v="0"/>
    <x v="0"/>
    <x v="1"/>
    <x v="0"/>
    <x v="1"/>
    <x v="0"/>
    <m/>
  </r>
  <r>
    <s v="Factura electrónica"/>
    <s v="eebf0c04972f63853fe5bf1998231eeddcaf7e749fce461f1904a2b71b71afd38491ba4c4e0aeae6a065a5b733f8a3d2"/>
    <x v="720"/>
    <n v="-1"/>
    <s v="FVE"/>
    <s v="20-01-2026"/>
    <s v="20-01-2026 14:37:24"/>
    <s v="900800595"/>
    <s v="Provexpress SAS"/>
    <s v="900682841"/>
    <x v="3"/>
    <n v="2014448.21"/>
    <n v="0"/>
    <n v="0"/>
    <n v="13313087.210000001"/>
    <s v="Aprobado con notificación"/>
    <s v="Emitido"/>
    <x v="1"/>
    <x v="0"/>
    <x v="0"/>
    <x v="0"/>
    <x v="1"/>
    <x v="0"/>
    <m/>
  </r>
  <r>
    <s v="Factura electrónica"/>
    <s v="28508a71d731d1c73671d31ba987f21e92cb249c418a9b953cd4dca68afa7e56af8166fd5a7bedcf59325533c0b291a7"/>
    <x v="721"/>
    <n v="-1"/>
    <s v="FVE"/>
    <s v="20-01-2026"/>
    <s v="20-01-2026 14:52:35"/>
    <s v="900800595"/>
    <s v="Provexpress SAS"/>
    <s v="800024265"/>
    <x v="4"/>
    <n v="13994.64"/>
    <n v="0"/>
    <n v="0"/>
    <n v="87650.64"/>
    <s v="Aprobado con notificación"/>
    <s v="Emitido"/>
    <x v="1"/>
    <x v="0"/>
    <x v="0"/>
    <x v="0"/>
    <x v="1"/>
    <x v="0"/>
    <m/>
  </r>
  <r>
    <s v="Factura electrónica"/>
    <s v="4af24d7039478717dd54fe1bda5282b05f0a82ec499298f3164c0ab990ee18654683887c6315381f39854944161a28d2"/>
    <x v="722"/>
    <n v="-1"/>
    <s v="FVE"/>
    <s v="20-01-2026"/>
    <s v="20-01-2026 14:52:39"/>
    <s v="900800595"/>
    <s v="Provexpress SAS"/>
    <s v="900033883"/>
    <x v="321"/>
    <n v="141394"/>
    <n v="0"/>
    <n v="0"/>
    <n v="1305794"/>
    <s v="Aprobado con notificación"/>
    <s v="Emitido"/>
    <x v="0"/>
    <x v="0"/>
    <x v="0"/>
    <x v="0"/>
    <x v="1"/>
    <x v="0"/>
    <m/>
  </r>
  <r>
    <s v="Factura electrónica"/>
    <s v="bae62af373fe4f0128e8fa7b34d1a0d96210499301a727d0c72bd36f8f44d022de4d130452616b624e88e82c44898d05"/>
    <x v="723"/>
    <n v="-1"/>
    <s v="FVE"/>
    <s v="20-01-2026"/>
    <s v="20-01-2026 15:07:50"/>
    <s v="900800595"/>
    <s v="Provexpress SAS"/>
    <s v="900422533"/>
    <x v="413"/>
    <n v="0"/>
    <n v="0"/>
    <n v="0"/>
    <n v="970906"/>
    <s v="Aprobado con notificación"/>
    <s v="Emitido"/>
    <x v="0"/>
    <x v="0"/>
    <x v="1"/>
    <x v="0"/>
    <x v="1"/>
    <x v="0"/>
    <m/>
  </r>
  <r>
    <s v="Factura electrónica"/>
    <s v="9884e4143abf883eb8ec536b53817c25e2098c95d53fd09f02b931ae6c75e3b7260224ea65e01a0da4c9cd556567fdc4"/>
    <x v="724"/>
    <n v="-1"/>
    <s v="FVE"/>
    <s v="20-01-2026"/>
    <s v="20-01-2026 15:07:55"/>
    <s v="900800595"/>
    <s v="Provexpress SAS"/>
    <s v="830046757"/>
    <x v="97"/>
    <n v="752020"/>
    <n v="0"/>
    <n v="0"/>
    <n v="4710020"/>
    <s v="Aprobado con notificación"/>
    <s v="Emitido"/>
    <x v="0"/>
    <x v="0"/>
    <x v="0"/>
    <x v="0"/>
    <x v="0"/>
    <x v="0"/>
    <m/>
  </r>
  <r>
    <s v="Factura electrónica"/>
    <s v="0d8f69682c8dfc881e792d7375842753a74ee0d140b5fc89597668c33cf92b2604097f8e7ba81446142dc82e2dc5c3cc"/>
    <x v="725"/>
    <n v="-1"/>
    <s v="FVE"/>
    <s v="20-01-2026"/>
    <s v="20-01-2026 15:08:05"/>
    <s v="900800595"/>
    <s v="Provexpress SAS"/>
    <s v="800241469"/>
    <x v="89"/>
    <n v="246050"/>
    <n v="0"/>
    <n v="0"/>
    <n v="1541050"/>
    <s v="Aprobado con notificación"/>
    <s v="Emitido"/>
    <x v="0"/>
    <x v="0"/>
    <x v="0"/>
    <x v="0"/>
    <x v="1"/>
    <x v="1"/>
    <s v="PAGA EN EL SISTEMA 10/02/2026"/>
  </r>
  <r>
    <s v="Factura electrónica"/>
    <s v="b2ffcb6dab38c94649aea133cea1d79153a018c9af828a6f9ce9b8412874a84dec3172601c1ba085f956d81476b59405"/>
    <x v="726"/>
    <n v="-1"/>
    <s v="FVE"/>
    <s v="20-01-2026"/>
    <s v="20-01-2026 15:23:19"/>
    <s v="900800595"/>
    <s v="Provexpress SAS"/>
    <s v="800161633"/>
    <x v="414"/>
    <n v="144759.1"/>
    <n v="0"/>
    <n v="0"/>
    <n v="906649.1"/>
    <s v="Aprobado con notificación"/>
    <s v="Emitido"/>
    <x v="0"/>
    <x v="0"/>
    <x v="0"/>
    <x v="0"/>
    <x v="1"/>
    <x v="1"/>
    <s v="PAGA EN EL SISTEMA 2/03/2026"/>
  </r>
  <r>
    <s v="Factura electrónica"/>
    <s v="1b13f0c5e0a15770d416787d4c00b3fbe03a0d873630570371ca97f91738bf33642d18bf99ca22039c560e29a560900a"/>
    <x v="727"/>
    <n v="-1"/>
    <s v="FVE"/>
    <s v="20-01-2026"/>
    <s v="20-01-2026 15:23:31"/>
    <s v="900800595"/>
    <s v="Provexpress SAS"/>
    <s v="800161633"/>
    <x v="414"/>
    <n v="47251.040000000001"/>
    <n v="0"/>
    <n v="0"/>
    <n v="429987.04"/>
    <s v="Aprobado con notificación"/>
    <s v="Emitido"/>
    <x v="0"/>
    <x v="0"/>
    <x v="0"/>
    <x v="0"/>
    <x v="1"/>
    <x v="1"/>
    <s v="FACTURA PAGA EN EL SISTEMA 27/02/2026"/>
  </r>
  <r>
    <s v="Factura electrónica"/>
    <s v="b6bb77714ce1a54eb79e20c1f97469a031d1e955d3754ab03252dd91eee5ed217f422152410401fd70a9d899ca9281ac"/>
    <x v="728"/>
    <n v="-1"/>
    <s v="FVE"/>
    <s v="20-01-2026"/>
    <s v="20-01-2026 15:40:25"/>
    <s v="900800595"/>
    <s v="Provexpress SAS"/>
    <s v="900577140"/>
    <x v="415"/>
    <n v="116783.5"/>
    <n v="0"/>
    <n v="0"/>
    <n v="731433.5"/>
    <s v="Aprobado con notificación"/>
    <s v="Emitido"/>
    <x v="0"/>
    <x v="0"/>
    <x v="0"/>
    <x v="0"/>
    <x v="1"/>
    <x v="0"/>
    <m/>
  </r>
  <r>
    <s v="Factura electrónica"/>
    <s v="6d7ee410ad07a8a7e53ed659e7dbcc8d3afd8e77e252cd4612ffce56a5a91aebed27752b9ddfc42951185718b11f774a"/>
    <x v="729"/>
    <n v="-1"/>
    <s v="FVE"/>
    <s v="20-01-2026"/>
    <s v="20-01-2026 15:40:22"/>
    <s v="900800595"/>
    <s v="Provexpress SAS"/>
    <s v="830094312"/>
    <x v="416"/>
    <n v="30286"/>
    <n v="0"/>
    <n v="0"/>
    <n v="2512036"/>
    <s v="Aprobado con notificación"/>
    <s v="Emitido"/>
    <x v="0"/>
    <x v="0"/>
    <x v="0"/>
    <x v="0"/>
    <x v="0"/>
    <x v="0"/>
    <m/>
  </r>
  <r>
    <s v="Factura electrónica"/>
    <s v="f7e086123747f9f39420f7476e6d6c5f7e5eb69b76897d75b251beb83e4264ca43867a65472d63e428e707a096a68453"/>
    <x v="730"/>
    <n v="-1"/>
    <s v="FVE"/>
    <s v="20-01-2026"/>
    <s v="20-01-2026 15:40:28"/>
    <s v="900800595"/>
    <s v="Provexpress SAS"/>
    <s v="900682841"/>
    <x v="3"/>
    <n v="3391582.08"/>
    <n v="0"/>
    <n v="0"/>
    <n v="21242014.079999998"/>
    <s v="Aprobado con notificación"/>
    <s v="Emitido"/>
    <x v="0"/>
    <x v="0"/>
    <x v="0"/>
    <x v="1"/>
    <x v="1"/>
    <x v="0"/>
    <m/>
  </r>
  <r>
    <s v="Factura electrónica"/>
    <s v="da1831bad8c58e780662cc7130bf4959aaed854b932abfec0697584e2a9f8880b8d332fb133f11830410b7d8544d6b61"/>
    <x v="731"/>
    <n v="-1"/>
    <s v="FVE"/>
    <s v="20-01-2026"/>
    <s v="20-01-2026 15:40:28"/>
    <s v="900800595"/>
    <s v="Provexpress SAS"/>
    <s v="860025596"/>
    <x v="180"/>
    <n v="12698460.6"/>
    <n v="0"/>
    <n v="0"/>
    <n v="79532463.75"/>
    <s v="Aprobado con notificación"/>
    <s v="Emitido"/>
    <x v="0"/>
    <x v="0"/>
    <x v="0"/>
    <x v="0"/>
    <x v="1"/>
    <x v="1"/>
    <s v="PAGA EN EL SISTEMA 2/03/2026"/>
  </r>
  <r>
    <s v="Factura electrónica"/>
    <s v="2780b81b1b4a4d75fb4a4e428b9a72782fea933d3ee8a919102494e7d92a17ad059156e3d61b1d931e33949f1c6c7d46"/>
    <x v="732"/>
    <n v="-1"/>
    <s v="FVE"/>
    <s v="20-01-2026"/>
    <s v="20-01-2026 15:40:30"/>
    <s v="900800595"/>
    <s v="Provexpress SAS"/>
    <s v="800024265"/>
    <x v="4"/>
    <n v="209000"/>
    <n v="0"/>
    <n v="0"/>
    <n v="5301594"/>
    <s v="Aprobado con notificación"/>
    <s v="Emitido"/>
    <x v="1"/>
    <x v="0"/>
    <x v="0"/>
    <x v="0"/>
    <x v="1"/>
    <x v="0"/>
    <m/>
  </r>
  <r>
    <s v="Factura electrónica"/>
    <s v="58192a29776d5570a5340635f77e674dfc9a0ec937611cc0ab595f52ee7a3ca65822294c4190f7b0165700b014d4d09e"/>
    <x v="733"/>
    <n v="-1"/>
    <s v="FVE"/>
    <s v="20-01-2026"/>
    <s v="20-01-2026 15:40:31"/>
    <s v="900800595"/>
    <s v="Provexpress SAS"/>
    <s v="900682841"/>
    <x v="3"/>
    <n v="2079420.04"/>
    <n v="0"/>
    <n v="0"/>
    <n v="13023736.039999999"/>
    <s v="Aprobado con notificación"/>
    <s v="Emitido"/>
    <x v="1"/>
    <x v="0"/>
    <x v="0"/>
    <x v="0"/>
    <x v="1"/>
    <x v="0"/>
    <m/>
  </r>
  <r>
    <s v="Factura electrónica"/>
    <s v="3db5f0bb7fc12776d83b0d52ef22e4b4baa3dfd887d174f39ef4a0340decf4a086c1445ef9467aa26ce7ed8395422059"/>
    <x v="734"/>
    <n v="-1"/>
    <s v="FVE"/>
    <s v="20-01-2026"/>
    <s v="20-01-2026 15:40:41"/>
    <s v="900800595"/>
    <s v="Provexpress SAS"/>
    <s v="900387076"/>
    <x v="417"/>
    <n v="17653.28"/>
    <n v="0"/>
    <n v="0"/>
    <n v="110565.28"/>
    <s v="Aprobado con notificación"/>
    <s v="Emitido"/>
    <x v="0"/>
    <x v="0"/>
    <x v="0"/>
    <x v="0"/>
    <x v="1"/>
    <x v="1"/>
    <s v="FACTURA PAGA EN EL SISTEMA 18/02/2026"/>
  </r>
  <r>
    <s v="Factura electrónica"/>
    <s v="aa05329397519ad9d36d77631b362c538a43b16da517d46ff96c23f2c3c0138b854faa400cf29754de88da9339b7fc32"/>
    <x v="735"/>
    <n v="-1"/>
    <s v="FVE"/>
    <s v="20-01-2026"/>
    <s v="20-01-2026 15:40:35"/>
    <s v="900800595"/>
    <s v="Provexpress SAS"/>
    <s v="830115738"/>
    <x v="418"/>
    <n v="307903.19"/>
    <n v="0"/>
    <n v="0"/>
    <n v="2521338.19"/>
    <s v="Aprobado con notificación"/>
    <s v="Emitido"/>
    <x v="0"/>
    <x v="0"/>
    <x v="0"/>
    <x v="0"/>
    <x v="0"/>
    <x v="0"/>
    <m/>
  </r>
  <r>
    <s v="Factura electrónica"/>
    <s v="f9132b74846ad996c1eaef0057fe6b7adec746b73c3a4b2ded7bed675dbfd5e20b58d0031c6294151832d40824e1a54e"/>
    <x v="736"/>
    <n v="-1"/>
    <s v="FVE"/>
    <s v="20-01-2026"/>
    <s v="20-01-2026 15:40:39"/>
    <s v="900800595"/>
    <s v="Provexpress SAS"/>
    <s v="800201307"/>
    <x v="419"/>
    <n v="52112.83"/>
    <n v="0"/>
    <n v="0"/>
    <n v="407607.83"/>
    <s v="Aprobado con notificación"/>
    <s v="Emitido"/>
    <x v="1"/>
    <x v="0"/>
    <x v="0"/>
    <x v="0"/>
    <x v="1"/>
    <x v="0"/>
    <m/>
  </r>
  <r>
    <s v="Factura electrónica"/>
    <s v="314244e10774d44a8296a12072ca4fc02ebf26a79c865c723a2fe0877570acb87dfc61e16fe316cb26b86823f67fb982"/>
    <x v="737"/>
    <n v="-1"/>
    <s v="FVE"/>
    <s v="20-01-2026"/>
    <s v="20-01-2026 15:54:30"/>
    <s v="900800595"/>
    <s v="Provexpress SAS"/>
    <s v="830000844"/>
    <x v="420"/>
    <n v="83770.81"/>
    <n v="0"/>
    <n v="0"/>
    <n v="542269.81000000006"/>
    <s v="Aprobado con notificación"/>
    <s v="Emitido"/>
    <x v="0"/>
    <x v="0"/>
    <x v="1"/>
    <x v="0"/>
    <x v="1"/>
    <x v="0"/>
    <m/>
  </r>
  <r>
    <s v="Factura electrónica"/>
    <s v="0be9afc98e4330c08d9a7f54b759eaa95f76ec7373af3204253f4e9f7bb5bebe00e362b410f0bcbe98b22d27cf3ae15b"/>
    <x v="738"/>
    <n v="-1"/>
    <s v="FVE"/>
    <s v="20-01-2026"/>
    <s v="20-01-2026 15:54:35"/>
    <s v="900800595"/>
    <s v="Provexpress SAS"/>
    <s v="900132714"/>
    <x v="224"/>
    <n v="125400"/>
    <n v="0"/>
    <n v="0"/>
    <n v="3268859"/>
    <s v="Aprobado con notificación"/>
    <s v="Emitido"/>
    <x v="0"/>
    <x v="0"/>
    <x v="0"/>
    <x v="0"/>
    <x v="1"/>
    <x v="1"/>
    <s v="PAGA EN EL SISTEMA 2/03/2026"/>
  </r>
  <r>
    <s v="Factura electrónica"/>
    <s v="5f862d74112c8cefec227a79c1a2e0931f72cb2765d87c6d37a0451e5e3ffdc1645583e7d8e5639b2acc0cc48807bf21"/>
    <x v="739"/>
    <n v="-1"/>
    <s v="FVE"/>
    <s v="20-01-2026"/>
    <s v="20-01-2026 15:54:39"/>
    <s v="900800595"/>
    <s v="Provexpress SAS"/>
    <s v="900132714"/>
    <x v="224"/>
    <n v="52440"/>
    <n v="0"/>
    <n v="0"/>
    <n v="328440"/>
    <s v="Aprobado con notificación"/>
    <s v="Emitido"/>
    <x v="0"/>
    <x v="0"/>
    <x v="0"/>
    <x v="0"/>
    <x v="1"/>
    <x v="1"/>
    <s v="PAGA EN EL SISTEMA 2/03/2026"/>
  </r>
  <r>
    <s v="Factura electrónica"/>
    <s v="23c9d743e575768f7a911e05291cff044bdb7baee28166320af2b82d46b261da93dd49585f2bab6d423a6ea87b36db9a"/>
    <x v="740"/>
    <n v="-1"/>
    <s v="FVE"/>
    <s v="20-01-2026"/>
    <s v="20-01-2026 15:54:44"/>
    <s v="900800595"/>
    <s v="Provexpress SAS"/>
    <s v="900132714"/>
    <x v="224"/>
    <n v="145369"/>
    <n v="0"/>
    <n v="0"/>
    <n v="910469"/>
    <s v="Aprobado con notificación"/>
    <s v="Emitido"/>
    <x v="0"/>
    <x v="0"/>
    <x v="0"/>
    <x v="0"/>
    <x v="1"/>
    <x v="1"/>
    <s v="PAGA EN EL SISTEMA 2/03/2026"/>
  </r>
  <r>
    <s v="Factura electrónica"/>
    <s v="6ab6b041bece6236ac82a835da0a10992929304ddbcec91788eb1e73ca7c18a5019dc3b7047c385debdaf6d4219ac897"/>
    <x v="741"/>
    <n v="-1"/>
    <s v="FVE"/>
    <s v="20-01-2026"/>
    <s v="20-01-2026 15:54:49"/>
    <s v="900800595"/>
    <s v="Provexpress SAS"/>
    <s v="860402847"/>
    <x v="421"/>
    <n v="21660"/>
    <n v="0"/>
    <n v="0"/>
    <n v="135660"/>
    <s v="Aprobado con notificación"/>
    <s v="Emitido"/>
    <x v="0"/>
    <x v="0"/>
    <x v="0"/>
    <x v="0"/>
    <x v="1"/>
    <x v="1"/>
    <s v="PAGA EN EL SISTEMA 9/02/2026"/>
  </r>
  <r>
    <s v="Factura electrónica"/>
    <s v="93ffb86be9dbd37231db86748cdd6d0eb8b7e4d1cc7d0c00f6caa7d485d07b289fff49cabc6150e7efe4c18c9205183b"/>
    <x v="742"/>
    <n v="-1"/>
    <s v="FVE"/>
    <s v="20-01-2026"/>
    <s v="20-01-2026 15:54:53"/>
    <s v="900800595"/>
    <s v="Provexpress SAS"/>
    <s v="900237820"/>
    <x v="422"/>
    <n v="3192000"/>
    <n v="0"/>
    <n v="0"/>
    <n v="19992000"/>
    <s v="Aprobado con notificación"/>
    <s v="Emitido"/>
    <x v="0"/>
    <x v="0"/>
    <x v="0"/>
    <x v="0"/>
    <x v="1"/>
    <x v="1"/>
    <s v="FACTURA PAGA EN EL SISTEMA 9/02/2026"/>
  </r>
  <r>
    <s v="Factura electrónica"/>
    <s v="9d7555fa17d3b40be17abaa2f05dea320c7cb8e5c642a674b617cc57811aa1b20b5aac54249d0619f5c7dadb147c7c62"/>
    <x v="743"/>
    <n v="-1"/>
    <s v="FVE"/>
    <s v="20-01-2026"/>
    <s v="20-01-2026 15:54:59"/>
    <s v="900800595"/>
    <s v="Provexpress SAS"/>
    <s v="52730350"/>
    <x v="423"/>
    <n v="20650.72"/>
    <n v="0"/>
    <n v="0"/>
    <n v="140599.72"/>
    <s v="Aprobado con notificación"/>
    <s v="Emitido"/>
    <x v="0"/>
    <x v="0"/>
    <x v="0"/>
    <x v="0"/>
    <x v="1"/>
    <x v="1"/>
    <s v="FACTURA PAGA EN EL SISTEMA 30/01/2026"/>
  </r>
  <r>
    <s v="Factura electrónica"/>
    <s v="a4199d2edbcc7e6e2f0c9c2e34706d58009c4a04c60d651c97add8a3c189ac55b3430895f1cc3a751f02386188d5f04f"/>
    <x v="744"/>
    <n v="-1"/>
    <s v="FVE"/>
    <s v="20-01-2026"/>
    <s v="20-01-2026 16:10:09"/>
    <s v="900800595"/>
    <s v="Provexpress SAS"/>
    <s v="901681272"/>
    <x v="141"/>
    <n v="2564254.25"/>
    <n v="0"/>
    <n v="0"/>
    <n v="97260329.25"/>
    <s v="Aprobado con notificación"/>
    <s v="Emitido"/>
    <x v="0"/>
    <x v="0"/>
    <x v="0"/>
    <x v="0"/>
    <x v="1"/>
    <x v="1"/>
    <s v="FACTURA PAGA EN EL SISTEMA 30/01/2026"/>
  </r>
  <r>
    <s v="Factura electrónica"/>
    <s v="d0da2050036e09030a189b4386a3fcd3d686e657ba4516d411a5416b46e9df6e5ae214c18bf02e22d3d28c847389565d"/>
    <x v="745"/>
    <n v="-1"/>
    <s v="FVE"/>
    <s v="21-01-2026"/>
    <s v="21-01-2026 07:47:01"/>
    <s v="900800595"/>
    <s v="Provexpress SAS"/>
    <s v="800172871"/>
    <x v="424"/>
    <n v="303728.38"/>
    <n v="0"/>
    <n v="0"/>
    <n v="1960730.38"/>
    <s v="Aprobado con notificación"/>
    <s v="Emitido"/>
    <x v="0"/>
    <x v="0"/>
    <x v="0"/>
    <x v="0"/>
    <x v="0"/>
    <x v="0"/>
    <m/>
  </r>
  <r>
    <s v="Factura electrónica"/>
    <s v="0a6baf424e3f1f5a15d893d73e4b9648f48a407414481041efc6f4c7943ae1f24bc2a9250df9b2d305405f9046d2051e"/>
    <x v="746"/>
    <n v="-1"/>
    <s v="FVE"/>
    <s v="21-01-2026"/>
    <s v="21-01-2026 07:47:05"/>
    <s v="900800595"/>
    <s v="Provexpress SAS"/>
    <s v="860066942"/>
    <x v="66"/>
    <n v="117230"/>
    <n v="0"/>
    <n v="0"/>
    <n v="734230"/>
    <s v="Aprobado con notificación"/>
    <s v="Emitido"/>
    <x v="0"/>
    <x v="0"/>
    <x v="0"/>
    <x v="0"/>
    <x v="1"/>
    <x v="1"/>
    <s v="FACTURA PAGA EN EL SISTEMA 23/02/2026"/>
  </r>
  <r>
    <s v="Factura electrónica"/>
    <s v="4cee4cc7ecd736ec7d2cd0ad48f521eb92262d75bdd1033a817baa63ef16d0018826463f4944b26e1c452e470bc476f8"/>
    <x v="747"/>
    <n v="-1"/>
    <s v="FVE"/>
    <s v="21-01-2026"/>
    <s v="21-01-2026 07:47:10"/>
    <s v="900800595"/>
    <s v="Provexpress SAS"/>
    <s v="860066942"/>
    <x v="66"/>
    <n v="12730"/>
    <n v="0"/>
    <n v="0"/>
    <n v="79730"/>
    <s v="Aprobado con notificación"/>
    <s v="Emitido"/>
    <x v="0"/>
    <x v="0"/>
    <x v="0"/>
    <x v="0"/>
    <x v="1"/>
    <x v="1"/>
    <s v="FACTURA PAGA EN EL SISTEMA 23/02/2026"/>
  </r>
  <r>
    <s v="Factura electrónica"/>
    <s v="4168eb33d3fe812ab2dc55403c0e0b5b4f307acb7ef94c28ed72b3d825052eea55a5909763bc486ac45a8b941b1a6d43"/>
    <x v="748"/>
    <n v="-1"/>
    <s v="FVE"/>
    <s v="21-01-2026"/>
    <s v="21-01-2026 07:47:16"/>
    <s v="900800595"/>
    <s v="Provexpress SAS"/>
    <s v="860066942"/>
    <x v="66"/>
    <n v="114570"/>
    <n v="0"/>
    <n v="0"/>
    <n v="717570"/>
    <s v="Aprobado con notificación"/>
    <s v="Emitido"/>
    <x v="0"/>
    <x v="0"/>
    <x v="0"/>
    <x v="0"/>
    <x v="1"/>
    <x v="1"/>
    <s v="FACTURA PAGA EN EL SISTEMA 23/02/2026"/>
  </r>
  <r>
    <s v="Factura electrónica"/>
    <s v="9bad28bb026fa20fead634efba070b6ed830c96a38abdf7c9619ff6218066e5ef175343dcab9ae494073bf914c06e72c"/>
    <x v="749"/>
    <n v="-1"/>
    <s v="FVE"/>
    <s v="21-01-2026"/>
    <s v="21-01-2026 07:47:20"/>
    <s v="900800595"/>
    <s v="Provexpress SAS"/>
    <s v="860066942"/>
    <x v="66"/>
    <n v="327750"/>
    <n v="0"/>
    <n v="0"/>
    <n v="2052750"/>
    <s v="Aprobado con notificación"/>
    <s v="Emitido"/>
    <x v="0"/>
    <x v="0"/>
    <x v="0"/>
    <x v="0"/>
    <x v="1"/>
    <x v="1"/>
    <s v="FACTURA PAGA EN EL SISTEMA 23/02/2026"/>
  </r>
  <r>
    <s v="Factura electrónica"/>
    <s v="93962dc8c41b0771bee71ab5488a0a253fb57565dae1aa032793cf5a3d57e47c6249eded68bb826b23d20ce3080373b8"/>
    <x v="750"/>
    <n v="-1"/>
    <s v="FVE"/>
    <s v="21-01-2026"/>
    <s v="21-01-2026 07:47:25"/>
    <s v="900800595"/>
    <s v="Provexpress SAS"/>
    <s v="860066942"/>
    <x v="66"/>
    <n v="68400"/>
    <n v="0"/>
    <n v="0"/>
    <n v="428400"/>
    <s v="Aprobado con notificación"/>
    <s v="Emitido"/>
    <x v="0"/>
    <x v="0"/>
    <x v="0"/>
    <x v="0"/>
    <x v="1"/>
    <x v="1"/>
    <s v="FACTURA PAGA EN EL SISTEMA 23/02/2026"/>
  </r>
  <r>
    <s v="Factura electrónica"/>
    <s v="b317fb2d66cc98670631b3e2c725da20d0029a6f5aed7b56d27cbab0657c918b38b059dffc2328b8f7a1511e62e298f8"/>
    <x v="751"/>
    <n v="-1"/>
    <s v="FVE"/>
    <s v="21-01-2026"/>
    <s v="21-01-2026 07:47:30"/>
    <s v="900800595"/>
    <s v="Provexpress SAS"/>
    <s v="860066942"/>
    <x v="66"/>
    <n v="304000"/>
    <n v="0"/>
    <n v="0"/>
    <n v="1904000"/>
    <s v="Aprobado con notificación"/>
    <s v="Emitido"/>
    <x v="0"/>
    <x v="0"/>
    <x v="0"/>
    <x v="0"/>
    <x v="1"/>
    <x v="1"/>
    <s v="FACTURA PAGA EN EL SISTEMA 23/02/2026"/>
  </r>
  <r>
    <s v="Factura electrónica"/>
    <s v="b9858ecf808e52ac90580b083598923f4f8098e6416f1b5dd0b42ee4c13b76f1e8d26812af60bed43597ed9d387624ad"/>
    <x v="752"/>
    <n v="-1"/>
    <s v="FVE"/>
    <s v="21-01-2026"/>
    <s v="21-01-2026 08:32:53"/>
    <s v="900800595"/>
    <s v="Provexpress SAS"/>
    <s v="832003882"/>
    <x v="425"/>
    <n v="3315500"/>
    <n v="0"/>
    <n v="0"/>
    <n v="20765500"/>
    <s v="Aprobado con notificación"/>
    <s v="Emitido"/>
    <x v="0"/>
    <x v="0"/>
    <x v="0"/>
    <x v="0"/>
    <x v="1"/>
    <x v="1"/>
    <s v="PAGA EN EL SISTEMA 27/02/2026"/>
  </r>
  <r>
    <s v="Factura electrónica"/>
    <s v="0df8131bdf86379d58a13e16c1480803427a5b6eab7f7ec16b595fba07c3a0837d4948c1d90d92447d96cdecb8f5ac8e"/>
    <x v="753"/>
    <n v="-1"/>
    <s v="FVE"/>
    <s v="21-01-2026"/>
    <s v="21-01-2026 08:32:59"/>
    <s v="900800595"/>
    <s v="Provexpress SAS"/>
    <s v="901598294"/>
    <x v="426"/>
    <n v="6840"/>
    <n v="0"/>
    <n v="0"/>
    <n v="42840"/>
    <s v="Aprobado con notificación"/>
    <s v="Emitido"/>
    <x v="0"/>
    <x v="0"/>
    <x v="0"/>
    <x v="0"/>
    <x v="1"/>
    <x v="1"/>
    <s v="FACTURA PAGA EN EL SISTEMA 30/01/2026"/>
  </r>
  <r>
    <s v="Factura electrónica"/>
    <s v="1485db10b955b5556f5e49e555a4142fc8aaa68c7af0f49101d4a11773c4e8ad5a90bf12610ec6854a7ac9d9fd77614e"/>
    <x v="754"/>
    <n v="-1"/>
    <s v="FVE"/>
    <s v="21-01-2026"/>
    <s v="21-01-2026 09:18:28"/>
    <s v="900800595"/>
    <s v="Provexpress SAS"/>
    <s v="860055583"/>
    <x v="427"/>
    <n v="546972"/>
    <n v="0"/>
    <n v="0"/>
    <n v="3425772"/>
    <s v="Aprobado con notificación"/>
    <s v="Emitido"/>
    <x v="0"/>
    <x v="0"/>
    <x v="0"/>
    <x v="0"/>
    <x v="1"/>
    <x v="1"/>
    <s v="FACTURA PAGA EN EL SISTEMA 23/02/2026"/>
  </r>
  <r>
    <s v="Factura electrónica"/>
    <s v="6b44a698953425a43282364f1eb0b78aa80340f7b97d80d25b8f1f6e6a0621796d0e3c0f343c195cfa2e432f652524ff"/>
    <x v="755"/>
    <n v="-1"/>
    <s v="FVE"/>
    <s v="21-01-2026"/>
    <s v="21-01-2026 09:18:32"/>
    <s v="900800595"/>
    <s v="Provexpress SAS"/>
    <s v="830037893"/>
    <x v="428"/>
    <n v="28500"/>
    <n v="0"/>
    <n v="0"/>
    <n v="178500"/>
    <s v="Aprobado con notificación"/>
    <s v="Emitido"/>
    <x v="0"/>
    <x v="0"/>
    <x v="0"/>
    <x v="0"/>
    <x v="1"/>
    <x v="1"/>
    <s v="PAGA EN SISTEMA 24/02/2026"/>
  </r>
  <r>
    <s v="Factura electrónica"/>
    <s v="54c6233b480f86cf20effcaa0a762a4035f2a5b17485599fdd056cee2627b224493ec4cceb024e5d1b9474c531b1b466"/>
    <x v="756"/>
    <n v="-1"/>
    <s v="FVE"/>
    <s v="21-01-2026"/>
    <s v="21-01-2026 09:18:37"/>
    <s v="900800595"/>
    <s v="Provexpress SAS"/>
    <s v="900324784"/>
    <x v="429"/>
    <n v="7837.5"/>
    <n v="0"/>
    <n v="0"/>
    <n v="49087.5"/>
    <s v="Aprobado con notificación"/>
    <s v="Emitido"/>
    <x v="0"/>
    <x v="0"/>
    <x v="1"/>
    <x v="0"/>
    <x v="1"/>
    <x v="0"/>
    <m/>
  </r>
  <r>
    <s v="Factura electrónica"/>
    <s v="a2bd5691fc1e82f8265c6b1efc8e3905e7469360ef920d23ad27ebcb755ab91e60657de35933750965a69d6306835f6e"/>
    <x v="757"/>
    <n v="-1"/>
    <s v="FVE"/>
    <s v="21-01-2026"/>
    <s v="21-01-2026 09:18:41"/>
    <s v="900800595"/>
    <s v="Provexpress SAS"/>
    <s v="860533413"/>
    <x v="194"/>
    <n v="215156"/>
    <n v="0"/>
    <n v="0"/>
    <n v="1347556"/>
    <s v="Aprobado con notificación"/>
    <s v="Emitido"/>
    <x v="1"/>
    <x v="0"/>
    <x v="0"/>
    <x v="0"/>
    <x v="1"/>
    <x v="0"/>
    <m/>
  </r>
  <r>
    <s v="Factura electrónica"/>
    <s v="9499125f23a60a4b752a0f91c9e6c2286a2bef84b7c376308c484dd6807d8d66247ef02ac20c51871220e3a4bcfd92e9"/>
    <x v="758"/>
    <n v="-1"/>
    <s v="FVE"/>
    <s v="21-01-2026"/>
    <s v="21-01-2026 09:18:46"/>
    <s v="900800595"/>
    <s v="Provexpress SAS"/>
    <s v="901337070"/>
    <x v="430"/>
    <n v="11400"/>
    <n v="0"/>
    <n v="0"/>
    <n v="71400"/>
    <s v="Aprobado con notificación"/>
    <s v="Emitido"/>
    <x v="0"/>
    <x v="0"/>
    <x v="0"/>
    <x v="0"/>
    <x v="1"/>
    <x v="1"/>
    <s v="PAGA EN EL SISTEMA 24/02/2026"/>
  </r>
  <r>
    <s v="Factura electrónica"/>
    <s v="6b38e4714437e318bb2e2c43ef99f20986a53966c283ac38061f09fef9d9bac2f2eb5293489bb7991bc06a3054feb05a"/>
    <x v="759"/>
    <n v="-1"/>
    <s v="FVE"/>
    <s v="21-01-2026"/>
    <s v="21-01-2026 09:33:58"/>
    <s v="900800595"/>
    <s v="Provexpress SAS"/>
    <s v="830059718"/>
    <x v="431"/>
    <n v="1176860"/>
    <n v="0"/>
    <n v="0"/>
    <n v="7370860"/>
    <s v="Aprobado con notificación"/>
    <s v="Emitido"/>
    <x v="0"/>
    <x v="0"/>
    <x v="0"/>
    <x v="1"/>
    <x v="1"/>
    <x v="0"/>
    <m/>
  </r>
  <r>
    <s v="Factura electrónica"/>
    <s v="8c3a74272ef74718ab87cc7e6f519f0f0cac61cac72934b4f64466412042675836c088b16ddec94d51317a8fd3dd0e4d"/>
    <x v="760"/>
    <n v="-1"/>
    <s v="FVE"/>
    <s v="21-01-2026"/>
    <s v="21-01-2026 09:34:42"/>
    <s v="900800595"/>
    <s v="Provexpress SAS"/>
    <s v="52785000"/>
    <x v="432"/>
    <n v="0"/>
    <n v="0"/>
    <n v="0"/>
    <n v="472826"/>
    <s v="Aprobado con notificación"/>
    <s v="Emitido"/>
    <x v="0"/>
    <x v="0"/>
    <x v="0"/>
    <x v="0"/>
    <x v="1"/>
    <x v="1"/>
    <s v="FACTURA PAGA EN EL SISTEMA 30/01/2026"/>
  </r>
  <r>
    <s v="Factura electrónica"/>
    <s v="5da708cd5fe7684b450546dd7db4f35f616cb8bdf45067135c60902cffac29fcfd0e944557226621ed8623d4ed3c7e19"/>
    <x v="761"/>
    <n v="-1"/>
    <s v="FVE"/>
    <s v="21-01-2026"/>
    <s v="21-01-2026 09:34:44"/>
    <s v="900800595"/>
    <s v="Provexpress SAS"/>
    <s v="891700037"/>
    <x v="409"/>
    <n v="1060200"/>
    <n v="0"/>
    <n v="0"/>
    <n v="6640200"/>
    <s v="Aprobado con notificación"/>
    <s v="Emitido"/>
    <x v="0"/>
    <x v="0"/>
    <x v="0"/>
    <x v="0"/>
    <x v="1"/>
    <x v="1"/>
    <s v="FACTURA PAGA EN EL SISTEMA 19/02/2026"/>
  </r>
  <r>
    <s v="Factura electrónica"/>
    <s v="3872c35e679c0498e0b0b56b263ee29089afe2d71b86472c3962235605c58343c12c6bdab278dd8c027324e7c05ffcb6"/>
    <x v="762"/>
    <n v="-1"/>
    <s v="FVE"/>
    <s v="21-01-2026"/>
    <s v="21-01-2026 09:49:18"/>
    <s v="900800595"/>
    <s v="Provexpress SAS"/>
    <s v="830047411"/>
    <x v="242"/>
    <n v="57000"/>
    <n v="0"/>
    <n v="0"/>
    <n v="357000"/>
    <s v="Aprobado con notificación"/>
    <s v="Emitido"/>
    <x v="0"/>
    <x v="0"/>
    <x v="0"/>
    <x v="0"/>
    <x v="1"/>
    <x v="1"/>
    <s v="PAGA EN EL SISTEMA 27/02/2026"/>
  </r>
  <r>
    <s v="Factura electrónica"/>
    <s v="b55c2c53bf37689bf44e2cdc17cf43b8a8baadda35f7741b6a16bd981ecf98eac2517916d1056046e6447cf71030111a"/>
    <x v="763"/>
    <n v="-1"/>
    <s v="FVE"/>
    <s v="21-01-2026"/>
    <s v="21-01-2026 09:49:23"/>
    <s v="900800595"/>
    <s v="Provexpress SAS"/>
    <s v="830047411"/>
    <x v="242"/>
    <n v="5700"/>
    <n v="0"/>
    <n v="0"/>
    <n v="35700"/>
    <s v="Aprobado con notificación"/>
    <s v="Emitido"/>
    <x v="0"/>
    <x v="0"/>
    <x v="0"/>
    <x v="0"/>
    <x v="1"/>
    <x v="1"/>
    <s v="PAGA EN EL SISTEMA 27/02/2026"/>
  </r>
  <r>
    <s v="Factura electrónica"/>
    <s v="da1b242fa7014307c0262259bd25496ffd192377bc5610e5e6655f9c456b1c69ced493f78cf4eab26a05813f5b65c853"/>
    <x v="764"/>
    <n v="-1"/>
    <s v="FVE"/>
    <s v="21-01-2026"/>
    <s v="21-01-2026 09:49:28"/>
    <s v="900800595"/>
    <s v="Provexpress SAS"/>
    <s v="860510863"/>
    <x v="243"/>
    <n v="62130"/>
    <n v="0"/>
    <n v="0"/>
    <n v="416156"/>
    <s v="Aprobado con notificación"/>
    <s v="Emitido"/>
    <x v="0"/>
    <x v="0"/>
    <x v="0"/>
    <x v="0"/>
    <x v="1"/>
    <x v="1"/>
    <s v="PAGA EN EL SISTEMA 27/02/2026"/>
  </r>
  <r>
    <s v="Factura electrónica"/>
    <s v="14ad16a29d50f72e30cb56071a0164bf98076c6c0ef7412f9a03598bf43ef412c425531238fc7d00ba1c86bb37c22dac"/>
    <x v="765"/>
    <n v="-1"/>
    <s v="FVE"/>
    <s v="21-01-2026"/>
    <s v="21-01-2026 09:49:33"/>
    <s v="900800595"/>
    <s v="Provexpress SAS"/>
    <s v="900262511"/>
    <x v="433"/>
    <n v="207573.1"/>
    <n v="0"/>
    <n v="0"/>
    <n v="1384623.1"/>
    <s v="Aprobado con notificación"/>
    <s v="Emitido"/>
    <x v="0"/>
    <x v="0"/>
    <x v="0"/>
    <x v="0"/>
    <x v="1"/>
    <x v="1"/>
    <s v="FACTURA PAGA EN EL SISTEMA 27/01/2026"/>
  </r>
  <r>
    <s v="Factura electrónica"/>
    <s v="fa08dba0b9fa86cd281d6d4cdb405e3df7b78830e8b67004c4c2d18ab193001b823476b2c7485b164b2e8657a1794c7d"/>
    <x v="766"/>
    <n v="-1"/>
    <s v="FVE"/>
    <s v="21-01-2026"/>
    <s v="21-01-2026 10:05:25"/>
    <s v="900800595"/>
    <s v="Provexpress SAS"/>
    <s v="900422533"/>
    <x v="413"/>
    <n v="156883"/>
    <n v="0"/>
    <n v="0"/>
    <n v="982583"/>
    <s v="Aprobado con notificación"/>
    <s v="Emitido"/>
    <x v="0"/>
    <x v="0"/>
    <x v="1"/>
    <x v="0"/>
    <x v="1"/>
    <x v="0"/>
    <m/>
  </r>
  <r>
    <s v="Factura electrónica"/>
    <s v="0fc68aaa50c6a99decb99cdd53e865cfbeee6605ea882c484db1da9f7d36e0cdf4f3dc2b4b425efeda0a9efde4a5b747"/>
    <x v="767"/>
    <n v="-1"/>
    <s v="FVE"/>
    <s v="21-01-2026"/>
    <s v="21-01-2026 10:20:59"/>
    <s v="900800595"/>
    <s v="Provexpress SAS"/>
    <s v="860033227"/>
    <x v="356"/>
    <n v="91143"/>
    <n v="0"/>
    <n v="0"/>
    <n v="570843"/>
    <s v="Aprobado con notificación"/>
    <s v="Emitido"/>
    <x v="0"/>
    <x v="0"/>
    <x v="0"/>
    <x v="0"/>
    <x v="1"/>
    <x v="1"/>
    <s v="FACTURA PAGA EN EL SISTEMA 30/01/2026"/>
  </r>
  <r>
    <s v="Factura electrónica"/>
    <s v="9e19a0f7e236f60b6d75b55d420e199608bd606cf7a56f58795641f029efa1999c8489b3b02b8055b18dfc6bf89c86c3"/>
    <x v="768"/>
    <n v="-1"/>
    <s v="FVE"/>
    <s v="21-01-2026"/>
    <s v="21-01-2026 10:20:43"/>
    <s v="900800595"/>
    <s v="Provexpress SAS"/>
    <s v="860045210"/>
    <x v="323"/>
    <n v="28500"/>
    <n v="0"/>
    <n v="0"/>
    <n v="178500"/>
    <s v="Aprobado con notificación"/>
    <s v="Emitido"/>
    <x v="0"/>
    <x v="0"/>
    <x v="1"/>
    <x v="0"/>
    <x v="1"/>
    <x v="0"/>
    <m/>
  </r>
  <r>
    <s v="Factura electrónica"/>
    <s v="03046f065345f447ca9cbe9efc054412f6ea079dc407520c2768b06e8aef7390819572b6f75c80d0e4b1f38c6ab60b39"/>
    <x v="769"/>
    <n v="-1"/>
    <s v="FVE"/>
    <s v="21-01-2026"/>
    <s v="21-01-2026 10:20:45"/>
    <s v="900800595"/>
    <s v="Provexpress SAS"/>
    <s v="900422533"/>
    <x v="413"/>
    <n v="755562.55"/>
    <n v="0"/>
    <n v="0"/>
    <n v="6078207.5499999998"/>
    <s v="Aprobado con notificación"/>
    <s v="Emitido"/>
    <x v="0"/>
    <x v="0"/>
    <x v="1"/>
    <x v="0"/>
    <x v="1"/>
    <x v="0"/>
    <m/>
  </r>
  <r>
    <s v="Factura electrónica"/>
    <s v="30a22cee8b49cf90ec78a5fc3e57065925533c900d58918392966d39193eb8c4a70b5fa74aa9913c892c45f0c63539b2"/>
    <x v="770"/>
    <n v="-1"/>
    <s v="FVE"/>
    <s v="21-01-2026"/>
    <s v="21-01-2026 10:20:58"/>
    <s v="900800595"/>
    <s v="Provexpress SAS"/>
    <s v="900422533"/>
    <x v="413"/>
    <n v="2736037.62"/>
    <n v="0"/>
    <n v="0"/>
    <n v="20012385.989999998"/>
    <s v="Aprobado con notificación"/>
    <s v="Emitido"/>
    <x v="0"/>
    <x v="0"/>
    <x v="1"/>
    <x v="0"/>
    <x v="1"/>
    <x v="0"/>
    <m/>
  </r>
  <r>
    <s v="Factura electrónica"/>
    <s v="49a21ebda3ed173846f1141c5e1310fb88805654d18422c186453bd482770be82377a5fe34f6696428b91a59c56b6cf3"/>
    <x v="771"/>
    <n v="-1"/>
    <s v="FVE"/>
    <s v="21-01-2026"/>
    <s v="21-01-2026 10:20:52"/>
    <s v="900800595"/>
    <s v="Provexpress SAS"/>
    <s v="860516806"/>
    <x v="16"/>
    <n v="517092.98"/>
    <n v="0"/>
    <n v="0"/>
    <n v="3238634.98"/>
    <s v="Aprobado con notificación"/>
    <s v="Emitido"/>
    <x v="0"/>
    <x v="0"/>
    <x v="0"/>
    <x v="0"/>
    <x v="1"/>
    <x v="1"/>
    <s v="FACTURA PAGA EN EL SISTEMA 25/02/2026"/>
  </r>
  <r>
    <s v="Factura electrónica"/>
    <s v="11650ea66262a3ff5933f63497fcf70f8f9be2b608e7356b079647d9208bee7b35ce2f09aa80bb47f7f9abbd2ac745a5"/>
    <x v="772"/>
    <n v="-1"/>
    <s v="FVE"/>
    <s v="21-01-2026"/>
    <s v="21-01-2026 10:41:57"/>
    <s v="900800595"/>
    <s v="Provexpress SAS"/>
    <s v="860055557"/>
    <x v="128"/>
    <n v="732450"/>
    <n v="0"/>
    <n v="0"/>
    <n v="4587450"/>
    <s v="Aprobado con notificación"/>
    <s v="Emitido"/>
    <x v="0"/>
    <x v="0"/>
    <x v="0"/>
    <x v="0"/>
    <x v="1"/>
    <x v="1"/>
    <s v="FACTURA PAGA EN EL SISTEMA 13/02/2026"/>
  </r>
  <r>
    <s v="Factura electrónica"/>
    <s v="9ef18bad15e021ad05315afe1e447a0115ce2ec4871dfa8add9142c4c34d772990531dfc46f1c85aafaabcc143fecc2f"/>
    <x v="773"/>
    <n v="-1"/>
    <s v="FVE"/>
    <s v="21-01-2026"/>
    <s v="21-01-2026 10:42:01"/>
    <s v="900800595"/>
    <s v="Provexpress SAS"/>
    <s v="830502282"/>
    <x v="434"/>
    <n v="95418"/>
    <n v="0"/>
    <n v="0"/>
    <n v="597618"/>
    <s v="Aprobado con notificación"/>
    <s v="Emitido"/>
    <x v="0"/>
    <x v="0"/>
    <x v="0"/>
    <x v="0"/>
    <x v="1"/>
    <x v="1"/>
    <s v="FACTURA PAGA EN EL SISTEMA 19/02/2026"/>
  </r>
  <r>
    <s v="Factura electrónica"/>
    <s v="d922f1c7ff2d16ed388510bdf0fa1ede90a8c6834b993a30034e7cadf2d9f7a667c0062e92a06cbddeec67399383e9b9"/>
    <x v="774"/>
    <n v="-1"/>
    <s v="FVE"/>
    <s v="21-01-2026"/>
    <s v="21-01-2026 10:43:08"/>
    <s v="900800595"/>
    <s v="Provexpress SAS"/>
    <s v="860053966"/>
    <x v="275"/>
    <n v="34931.5"/>
    <n v="0"/>
    <n v="0"/>
    <n v="218781.5"/>
    <s v="Aprobado con notificación"/>
    <s v="Emitido"/>
    <x v="1"/>
    <x v="0"/>
    <x v="0"/>
    <x v="0"/>
    <x v="1"/>
    <x v="0"/>
    <m/>
  </r>
  <r>
    <s v="Factura electrónica"/>
    <s v="eccf2b106195d1ab7a7769aac25c826998d4b74282cc2b5aebf1095e9fbb9b51070874b6fe139863d4d8c3c0d038be24"/>
    <x v="775"/>
    <n v="-1"/>
    <s v="FVE"/>
    <s v="21-01-2026"/>
    <s v="21-01-2026 10:42:06"/>
    <s v="900800595"/>
    <s v="Provexpress SAS"/>
    <s v="860053966"/>
    <x v="275"/>
    <n v="1102"/>
    <n v="0"/>
    <n v="0"/>
    <n v="6902"/>
    <s v="Aprobado con notificación"/>
    <s v="Emitido"/>
    <x v="1"/>
    <x v="0"/>
    <x v="0"/>
    <x v="0"/>
    <x v="1"/>
    <x v="0"/>
    <m/>
  </r>
  <r>
    <s v="Factura electrónica"/>
    <s v="df4e9e9a9897947706309eb96e412191657ae2bb7ede08c266ab12caff980440a25ae6b8fff1267bd6960ace3bbc15e8"/>
    <x v="776"/>
    <n v="-1"/>
    <s v="FVE"/>
    <s v="21-01-2026"/>
    <s v="21-01-2026 10:42:10"/>
    <s v="900800595"/>
    <s v="Provexpress SAS"/>
    <s v="860053966"/>
    <x v="275"/>
    <n v="1102000"/>
    <n v="0"/>
    <n v="0"/>
    <n v="6902000"/>
    <s v="Aprobado con notificación"/>
    <s v="Emitido"/>
    <x v="1"/>
    <x v="0"/>
    <x v="0"/>
    <x v="0"/>
    <x v="1"/>
    <x v="0"/>
    <m/>
  </r>
  <r>
    <s v="Factura electrónica"/>
    <s v="8024fef851c317cf189886cd6cf3818cb7f91028678e3ac65f49b61aaa12ff47d6752c35bfd57aae6cf9a0f017303af0"/>
    <x v="777"/>
    <n v="-1"/>
    <s v="FVE"/>
    <s v="21-01-2026"/>
    <s v="21-01-2026 11:02:00"/>
    <s v="900800595"/>
    <s v="Provexpress SAS"/>
    <s v="1073510389"/>
    <x v="435"/>
    <n v="29245.759999999998"/>
    <n v="0"/>
    <n v="0"/>
    <n v="183170.81"/>
    <s v="Aprobado con notificación"/>
    <s v="Emitido"/>
    <x v="0"/>
    <x v="0"/>
    <x v="0"/>
    <x v="0"/>
    <x v="1"/>
    <x v="1"/>
    <s v="FACTURA PAGA EN EL SISTEMA 30/01/2026"/>
  </r>
  <r>
    <s v="Factura electrónica"/>
    <s v="28197adf7ab978bf9be9629aece850adc29c4e6fb2666b76de8179678a1c66c4c52ee4f965f1672284d1420c32e925e1"/>
    <x v="778"/>
    <n v="-1"/>
    <s v="FVE"/>
    <s v="21-01-2026"/>
    <s v="21-01-2026 11:03:00"/>
    <s v="900800595"/>
    <s v="Provexpress SAS"/>
    <s v="830099238"/>
    <x v="436"/>
    <n v="1300230.02"/>
    <n v="0"/>
    <n v="0"/>
    <n v="11119012.02"/>
    <s v="Aprobado con notificación"/>
    <s v="Emitido"/>
    <x v="0"/>
    <x v="0"/>
    <x v="0"/>
    <x v="0"/>
    <x v="0"/>
    <x v="0"/>
    <m/>
  </r>
  <r>
    <s v="Factura electrónica"/>
    <s v="261aa877d8eeed2234ca6199c1e05f60feb2f9b8034df9f87f62c153c3239d0e706eba54cc7ed4f1fcb61bdf7cc57db4"/>
    <x v="779"/>
    <n v="-1"/>
    <s v="FVE"/>
    <s v="21-01-2026"/>
    <s v="21-01-2026 11:15:01"/>
    <s v="900800595"/>
    <s v="Provexpress SAS"/>
    <s v="1014296137"/>
    <x v="437"/>
    <n v="3692.56"/>
    <n v="0"/>
    <n v="0"/>
    <n v="23127.279999999999"/>
    <s v="Aprobado con notificación"/>
    <s v="Emitido"/>
    <x v="0"/>
    <x v="0"/>
    <x v="0"/>
    <x v="0"/>
    <x v="1"/>
    <x v="1"/>
    <s v="FACTURA PAGA EN EL SISTEMA 30/01/2026"/>
  </r>
  <r>
    <s v="Factura electrónica"/>
    <s v="3ca0bfe1b33a3aa0aec3049690203efcda595febee70c58581615f27a28e6c25fea33b089cfbbf7ffc2fe426dd9b598c"/>
    <x v="780"/>
    <n v="-1"/>
    <s v="FVE"/>
    <s v="21-01-2026"/>
    <s v="21-01-2026 11:26:54"/>
    <s v="900800595"/>
    <s v="Provexpress SAS"/>
    <s v="830117370"/>
    <x v="438"/>
    <n v="711505.92000000004"/>
    <n v="0"/>
    <n v="0"/>
    <n v="7064968.9199999999"/>
    <s v="Aprobado con notificación"/>
    <s v="Emitido"/>
    <x v="0"/>
    <x v="0"/>
    <x v="1"/>
    <x v="0"/>
    <x v="1"/>
    <x v="0"/>
    <m/>
  </r>
  <r>
    <s v="Factura electrónica"/>
    <s v="912a62c62d1e26124cb12984fbf730d075791049f1547c4201f3e3ae955e7a686304bfc68c032fdad0af82a73dc0a343"/>
    <x v="781"/>
    <n v="-1"/>
    <s v="FVE"/>
    <s v="21-01-2026"/>
    <s v="21-01-2026 11:51:49"/>
    <s v="900800595"/>
    <s v="Provexpress SAS"/>
    <s v="901819545"/>
    <x v="330"/>
    <n v="794274.67"/>
    <n v="0"/>
    <n v="0"/>
    <n v="5479667.6699999999"/>
    <s v="Aprobado con notificación"/>
    <s v="Emitido"/>
    <x v="0"/>
    <x v="0"/>
    <x v="0"/>
    <x v="0"/>
    <x v="0"/>
    <x v="0"/>
    <m/>
  </r>
  <r>
    <s v="Factura electrónica"/>
    <s v="6c30177e8cecdf51b7f18084c9ff8563f5bfb43431bd5a46ea049fbdecd9aee5d170ce5e179da71bda82d9d8a1af2125"/>
    <x v="782"/>
    <n v="-1"/>
    <s v="FVE"/>
    <s v="21-01-2026"/>
    <s v="21-01-2026 11:52:08"/>
    <s v="900800595"/>
    <s v="Provexpress SAS"/>
    <s v="900532450"/>
    <x v="18"/>
    <n v="136925.97"/>
    <n v="0"/>
    <n v="0"/>
    <n v="857588.97"/>
    <s v="Aprobado con notificación"/>
    <s v="Emitido"/>
    <x v="0"/>
    <x v="0"/>
    <x v="1"/>
    <x v="0"/>
    <x v="1"/>
    <x v="0"/>
    <m/>
  </r>
  <r>
    <s v="Factura electrónica"/>
    <s v="a2909d02eb079285efede09ae000dd6c78f371a4a27a52026134c09d084731f9eb25d1e66d2fa32c389d72226983cc0a"/>
    <x v="783"/>
    <n v="-1"/>
    <s v="FVE"/>
    <s v="21-01-2026"/>
    <s v="21-01-2026 11:51:57"/>
    <s v="900800595"/>
    <s v="Provexpress SAS"/>
    <s v="901689684"/>
    <x v="218"/>
    <n v="11268.14"/>
    <n v="0"/>
    <n v="0"/>
    <n v="70574.14"/>
    <s v="Aprobado con notificación"/>
    <s v="Emitido"/>
    <x v="1"/>
    <x v="0"/>
    <x v="0"/>
    <x v="0"/>
    <x v="1"/>
    <x v="0"/>
    <m/>
  </r>
  <r>
    <s v="Factura electrónica"/>
    <s v="75965671a6b4a50256bfbf0c39d66d187a014bec1e0ae783479b65ce8f1782c538f8380a1a6fa73d09d3546880e70340"/>
    <x v="784"/>
    <n v="-1"/>
    <s v="FVE"/>
    <s v="21-01-2026"/>
    <s v="21-01-2026 11:52:02"/>
    <s v="900800595"/>
    <s v="Provexpress SAS"/>
    <s v="860010799"/>
    <x v="207"/>
    <n v="0"/>
    <n v="0"/>
    <n v="0"/>
    <n v="7231500"/>
    <s v="Aprobado con notificación"/>
    <s v="Emitido"/>
    <x v="0"/>
    <x v="0"/>
    <x v="1"/>
    <x v="0"/>
    <x v="1"/>
    <x v="0"/>
    <m/>
  </r>
  <r>
    <s v="Factura electrónica"/>
    <s v="9e0bfed028d5df13f7990aea8e92751f4b2143c3cb7467e46f49213cca269ac8c0a8961a0bd39388542d35bee0e17f99"/>
    <x v="785"/>
    <n v="-1"/>
    <s v="FVE"/>
    <s v="21-01-2026"/>
    <s v="21-01-2026 11:52:09"/>
    <s v="900800595"/>
    <s v="Provexpress SAS"/>
    <s v="900966568"/>
    <x v="439"/>
    <n v="344280"/>
    <n v="0"/>
    <n v="0"/>
    <n v="2156280"/>
    <s v="Aprobado con notificación"/>
    <s v="Emitido"/>
    <x v="1"/>
    <x v="0"/>
    <x v="0"/>
    <x v="0"/>
    <x v="1"/>
    <x v="0"/>
    <m/>
  </r>
  <r>
    <s v="Factura electrónica"/>
    <s v="f55721ac39e38f50e8302245060c94b9eea6bf632022312537e8a2d730feb43b08457d856ded8d570958a72b807c8ce6"/>
    <x v="786"/>
    <n v="-1"/>
    <s v="FVE"/>
    <s v="21-01-2026"/>
    <s v="21-01-2026 11:52:11"/>
    <s v="900800595"/>
    <s v="Provexpress SAS"/>
    <s v="900966568"/>
    <x v="439"/>
    <n v="178980"/>
    <n v="0"/>
    <n v="0"/>
    <n v="1120980"/>
    <s v="Aprobado con notificación"/>
    <s v="Emitido"/>
    <x v="1"/>
    <x v="0"/>
    <x v="0"/>
    <x v="0"/>
    <x v="1"/>
    <x v="0"/>
    <m/>
  </r>
  <r>
    <s v="Factura electrónica"/>
    <s v="f44ba78f342c9c950d531500cfa75a44103b288a077b8c725126324606a051821743f3ddc28ebd8ce52b4386fc49535b"/>
    <x v="787"/>
    <n v="-1"/>
    <s v="FVE"/>
    <s v="21-01-2026"/>
    <s v="21-01-2026 11:52:15"/>
    <s v="900800595"/>
    <s v="Provexpress SAS"/>
    <s v="900966568"/>
    <x v="439"/>
    <n v="1539000"/>
    <n v="0"/>
    <n v="0"/>
    <n v="9639000"/>
    <s v="Aprobado con notificación"/>
    <s v="Emitido"/>
    <x v="1"/>
    <x v="0"/>
    <x v="0"/>
    <x v="0"/>
    <x v="1"/>
    <x v="0"/>
    <m/>
  </r>
  <r>
    <s v="Factura electrónica"/>
    <s v="dcf00eb072ad813416755d9480ad0c1a2c5b9c8c77840da11b68ac37b0b1538316dde48fcd2d176b7c9f03eb553fc68f"/>
    <x v="788"/>
    <n v="-1"/>
    <s v="FVE"/>
    <s v="21-01-2026"/>
    <s v="21-01-2026 11:52:21"/>
    <s v="900800595"/>
    <s v="Provexpress SAS"/>
    <s v="800155413"/>
    <x v="103"/>
    <n v="0"/>
    <n v="0"/>
    <n v="0"/>
    <n v="1219150"/>
    <s v="Aprobado con notificación"/>
    <s v="Emitido"/>
    <x v="0"/>
    <x v="0"/>
    <x v="0"/>
    <x v="0"/>
    <x v="1"/>
    <x v="1"/>
    <s v="FACTURA PAGA EN EL SISTEMA 28/01/2026"/>
  </r>
  <r>
    <s v="Factura electrónica"/>
    <s v="6895f6e1eabd2801537f3b74aa6ae1833b22387ccd4d2708b36b12bf09e0ee9badab71927edadf4d6632120d2e6f6038"/>
    <x v="789"/>
    <n v="-1"/>
    <s v="FVE"/>
    <s v="21-01-2026"/>
    <s v="21-01-2026 12:22:41"/>
    <s v="900800595"/>
    <s v="Provexpress SAS"/>
    <s v="901301865"/>
    <x v="440"/>
    <n v="77290.100000000006"/>
    <n v="0"/>
    <n v="0"/>
    <n v="484080.1"/>
    <s v="Aprobado con notificación"/>
    <s v="Emitido"/>
    <x v="0"/>
    <x v="0"/>
    <x v="0"/>
    <x v="0"/>
    <x v="1"/>
    <x v="1"/>
    <s v="PAGA EN EL SISTEMA 23/02/2026"/>
  </r>
  <r>
    <s v="Factura electrónica"/>
    <s v="feaa94f6d08a03cff531d071f83e617f98c6c66348b13f1c2e9ab6ce3fe1b0f307a8e58481252e97c3c7930052f0b401"/>
    <x v="790"/>
    <n v="-1"/>
    <s v="FVE"/>
    <s v="21-01-2026"/>
    <s v="21-01-2026 12:22:47"/>
    <s v="900800595"/>
    <s v="Provexpress SAS"/>
    <s v="900842071"/>
    <x v="349"/>
    <n v="369360"/>
    <n v="0"/>
    <n v="0"/>
    <n v="2313360"/>
    <s v="Aprobado con notificación"/>
    <s v="Emitido"/>
    <x v="0"/>
    <x v="0"/>
    <x v="0"/>
    <x v="0"/>
    <x v="1"/>
    <x v="1"/>
    <s v="PAGA EN EL SISTEMA 5/02/2026"/>
  </r>
  <r>
    <s v="Factura electrónica"/>
    <s v="4d7d3e90df04f1b106888960453c60b05fc3ed490bcafb7593af94e5eca04214cdf9d701f0a0749733af9f8a508c2400"/>
    <x v="791"/>
    <n v="-1"/>
    <s v="FVE"/>
    <s v="21-01-2026"/>
    <s v="21-01-2026 12:22:50"/>
    <s v="900800595"/>
    <s v="Provexpress SAS"/>
    <s v="800081833"/>
    <x v="441"/>
    <n v="7790"/>
    <n v="0"/>
    <n v="0"/>
    <n v="48790"/>
    <s v="Aprobado con notificación"/>
    <s v="Emitido"/>
    <x v="0"/>
    <x v="0"/>
    <x v="0"/>
    <x v="0"/>
    <x v="1"/>
    <x v="1"/>
    <s v="FACTURA PAGA EN EL SISTEMA 25/02/2026"/>
  </r>
  <r>
    <s v="Factura electrónica"/>
    <s v="2e83b800d037c64ce8bde4d44a710846bb5543c0264c4d0e22a60a100fb92878298e6fd0f65c9f6b153fd7511311d761"/>
    <x v="792"/>
    <n v="-1"/>
    <s v="FVE"/>
    <s v="21-01-2026"/>
    <s v="21-01-2026 12:22:55"/>
    <s v="900800595"/>
    <s v="Provexpress SAS"/>
    <s v="830096376"/>
    <x v="350"/>
    <n v="16511"/>
    <n v="0"/>
    <n v="0"/>
    <n v="103411"/>
    <s v="Aprobado con notificación"/>
    <s v="Emitido"/>
    <x v="0"/>
    <x v="0"/>
    <x v="0"/>
    <x v="0"/>
    <x v="1"/>
    <x v="1"/>
    <s v="FACTURA PAGA EN EL SISTEMA 24/02/2026"/>
  </r>
  <r>
    <s v="Factura electrónica"/>
    <s v="bd8004fb8dd9e8e0064a54f255cb441cc950f00306d08f74fc2609c772712f979e834979afccc3951640cf558b033eda"/>
    <x v="793"/>
    <n v="-1"/>
    <s v="FVE"/>
    <s v="21-01-2026"/>
    <s v="21-01-2026 12:53:13"/>
    <s v="900800595"/>
    <s v="Provexpress SAS"/>
    <s v="900224814"/>
    <x v="442"/>
    <n v="27445.5"/>
    <n v="0"/>
    <n v="0"/>
    <n v="171895.5"/>
    <s v="Aprobado con notificación"/>
    <s v="Emitido"/>
    <x v="0"/>
    <x v="0"/>
    <x v="0"/>
    <x v="0"/>
    <x v="1"/>
    <x v="1"/>
    <s v="PAGA EN EL SISTEMA 24/02/2026"/>
  </r>
  <r>
    <s v="Factura electrónica"/>
    <s v="2182d876563d0222ff7b33b43d9fde019aaffaa2e1a2c08d58a1153f9f83ce8d0d6856c926c8e46dfbf906e694f60460"/>
    <x v="794"/>
    <n v="-1"/>
    <s v="FVE"/>
    <s v="21-01-2026"/>
    <s v="21-01-2026 12:53:17"/>
    <s v="900800595"/>
    <s v="Provexpress SAS"/>
    <s v="830122431"/>
    <x v="443"/>
    <n v="124450"/>
    <n v="0"/>
    <n v="0"/>
    <n v="779450"/>
    <s v="Aprobado con notificación"/>
    <s v="Emitido"/>
    <x v="0"/>
    <x v="0"/>
    <x v="0"/>
    <x v="0"/>
    <x v="1"/>
    <x v="1"/>
    <s v="PAGA EN EL SISTEMA 2/03/2026"/>
  </r>
  <r>
    <s v="Factura electrónica"/>
    <s v="7a19bba7e3e9475c1ccb1e993891a86be09abb85fe2c5bffcf72784347bdd80f3eeb181551794a361c362fe6942341f0"/>
    <x v="795"/>
    <n v="-1"/>
    <s v="FVE"/>
    <s v="21-01-2026"/>
    <s v="21-01-2026 12:53:23"/>
    <s v="900800595"/>
    <s v="Provexpress SAS"/>
    <s v="800016635"/>
    <x v="406"/>
    <n v="133209"/>
    <n v="0"/>
    <n v="0"/>
    <n v="834309"/>
    <s v="Aprobado con notificación"/>
    <s v="Emitido"/>
    <x v="0"/>
    <x v="0"/>
    <x v="0"/>
    <x v="0"/>
    <x v="1"/>
    <x v="1"/>
    <s v="FACTURA PAGA EN EL SISTEMA 3/02/2026"/>
  </r>
  <r>
    <s v="Factura electrónica"/>
    <s v="81ed042a50c1929c2457efb14317edac15d750c2658c894e76d5b32c0abe390453f89532ed5a4422f6f1096292fb13a2"/>
    <x v="796"/>
    <n v="-1"/>
    <s v="FVE"/>
    <s v="21-01-2026"/>
    <s v="21-01-2026 12:53:27"/>
    <s v="900800595"/>
    <s v="Provexpress SAS"/>
    <s v="832000957"/>
    <x v="444"/>
    <n v="3260400"/>
    <n v="0"/>
    <n v="0"/>
    <n v="20420400"/>
    <s v="Aprobado con notificación"/>
    <s v="Emitido"/>
    <x v="0"/>
    <x v="0"/>
    <x v="0"/>
    <x v="0"/>
    <x v="1"/>
    <x v="1"/>
    <s v="FACTURA PAGA EN EL SISTEMA 16/02/2026"/>
  </r>
  <r>
    <s v="Factura electrónica"/>
    <s v="f32a8f4c59c3bae9716330d8c4e7ad4d92ab5fbb20d9c72b168254634b42f8cb7b2fe3a4b074b7fe514b90d1206ef174"/>
    <x v="797"/>
    <n v="-1"/>
    <s v="FVE"/>
    <s v="21-01-2026"/>
    <s v="21-01-2026 12:53:31"/>
    <s v="900800595"/>
    <s v="Provexpress SAS"/>
    <s v="800204652"/>
    <x v="445"/>
    <n v="52288"/>
    <n v="0"/>
    <n v="0"/>
    <n v="327488"/>
    <s v="Aprobado con notificación"/>
    <s v="Emitido"/>
    <x v="0"/>
    <x v="0"/>
    <x v="0"/>
    <x v="0"/>
    <x v="1"/>
    <x v="1"/>
    <s v="FACTURA PAGA EN EL SISTEMA 10/02/2026"/>
  </r>
  <r>
    <s v="Factura electrónica"/>
    <s v="ba2c046f93c9eb9d037151f4481c611746f5d80c269aa1e5c4cb1bc7f541fde3171f85d36d8ef3a6f02758dfe7fa68e3"/>
    <x v="798"/>
    <n v="-1"/>
    <s v="FVE"/>
    <s v="21-01-2026"/>
    <s v="21-01-2026 13:08:45"/>
    <s v="900800595"/>
    <s v="Provexpress SAS"/>
    <s v="900195878"/>
    <x v="446"/>
    <n v="62432.95"/>
    <n v="0"/>
    <n v="0"/>
    <n v="476535.95"/>
    <s v="Aprobado con notificación"/>
    <s v="Emitido"/>
    <x v="1"/>
    <x v="0"/>
    <x v="0"/>
    <x v="0"/>
    <x v="1"/>
    <x v="0"/>
    <m/>
  </r>
  <r>
    <s v="Factura electrónica"/>
    <s v="9dc37d241d61ab8ec8ab4f85cabbcbf1dcc4c8959113f80edc8c65be7de695a71a9aa03677fd38b12b81c865991b961b"/>
    <x v="799"/>
    <n v="-1"/>
    <s v="FVE"/>
    <s v="21-01-2026"/>
    <s v="21-01-2026 15:17:58"/>
    <s v="900800595"/>
    <s v="Provexpress SAS"/>
    <s v="900148177"/>
    <x v="124"/>
    <n v="160286.16"/>
    <n v="0"/>
    <n v="0"/>
    <n v="1003897.56"/>
    <s v="Aprobado con notificación"/>
    <s v="Emitido"/>
    <x v="0"/>
    <x v="0"/>
    <x v="0"/>
    <x v="0"/>
    <x v="0"/>
    <x v="0"/>
    <m/>
  </r>
  <r>
    <s v="Factura electrónica"/>
    <s v="3c0ca07b518cec5f375bdc8ff343edd689f49131ec523d4bbd5f3cc57465048d9143b07496445e4bf58c52675445ff34"/>
    <x v="800"/>
    <n v="-1"/>
    <s v="FVE"/>
    <s v="21-01-2026"/>
    <s v="21-01-2026 15:18:15"/>
    <s v="900800595"/>
    <s v="Provexpress SAS"/>
    <s v="900647719"/>
    <x v="338"/>
    <n v="3391582.08"/>
    <n v="0"/>
    <n v="0"/>
    <n v="21242014.079999998"/>
    <s v="Aprobado con notificación"/>
    <s v="Emitido"/>
    <x v="1"/>
    <x v="0"/>
    <x v="0"/>
    <x v="0"/>
    <x v="1"/>
    <x v="0"/>
    <m/>
  </r>
  <r>
    <s v="Factura electrónica"/>
    <s v="70cafe20424f44c37ae795e372727622a066f4eba57491235d5723df5f569652675b0db62d557264f5c5c519081cec22"/>
    <x v="801"/>
    <n v="-1"/>
    <s v="FVE"/>
    <s v="21-01-2026"/>
    <s v="21-01-2026 15:39:24"/>
    <s v="900800595"/>
    <s v="Provexpress SAS"/>
    <s v="811282261"/>
    <x v="447"/>
    <n v="12920"/>
    <n v="0"/>
    <n v="0"/>
    <n v="80920"/>
    <s v="Aprobado con notificación"/>
    <s v="Emitido"/>
    <x v="0"/>
    <x v="0"/>
    <x v="0"/>
    <x v="0"/>
    <x v="0"/>
    <x v="0"/>
    <m/>
  </r>
  <r>
    <s v="Factura electrónica"/>
    <s v="20452a2c83a7c817da393ed37793fbdd569f6aff51fa24781e7996aa308896d461ee3ffdc05c1a352b661f6ba547cde4"/>
    <x v="802"/>
    <n v="-1"/>
    <s v="FVE"/>
    <s v="21-01-2026"/>
    <s v="21-01-2026 15:38:29"/>
    <s v="900800595"/>
    <s v="Provexpress SAS"/>
    <s v="900532450"/>
    <x v="18"/>
    <n v="595976.80000000005"/>
    <n v="0"/>
    <n v="0"/>
    <n v="3732696.8"/>
    <s v="Aprobado con notificación"/>
    <s v="Emitido"/>
    <x v="0"/>
    <x v="0"/>
    <x v="1"/>
    <x v="0"/>
    <x v="1"/>
    <x v="0"/>
    <m/>
  </r>
  <r>
    <s v="Factura electrónica"/>
    <s v="5634a4c509c5ab958dd5f19c1940621fdd14a927b5cf50d8443295f038bb7ecc998cbe7cd4396d9f9cfd390776ccfe7c"/>
    <x v="803"/>
    <n v="-1"/>
    <s v="FVE"/>
    <s v="21-01-2026"/>
    <s v="21-01-2026 15:39:23"/>
    <s v="900800595"/>
    <s v="Provexpress SAS"/>
    <s v="900842071"/>
    <x v="349"/>
    <n v="39957"/>
    <n v="0"/>
    <n v="0"/>
    <n v="250257"/>
    <s v="Aprobado con notificación"/>
    <s v="Emitido"/>
    <x v="0"/>
    <x v="0"/>
    <x v="0"/>
    <x v="0"/>
    <x v="1"/>
    <x v="1"/>
    <s v="PAGA EN EL SISTEMA 5/02/2026"/>
  </r>
  <r>
    <s v="Factura electrónica"/>
    <s v="5f1d937de87729c0346a03e0529b3aba33e7732254b0b296e8d06091f19f5848b17794fd04b032c79e0e6fc46c439521"/>
    <x v="804"/>
    <n v="-1"/>
    <s v="FVE"/>
    <s v="21-01-2026"/>
    <s v="21-01-2026 15:57:15"/>
    <s v="900800595"/>
    <s v="Provexpress SAS"/>
    <s v="901295223"/>
    <x v="448"/>
    <n v="411730"/>
    <n v="0"/>
    <n v="0"/>
    <n v="2578730"/>
    <s v="Aprobado con notificación"/>
    <s v="Emitido"/>
    <x v="0"/>
    <x v="0"/>
    <x v="0"/>
    <x v="0"/>
    <x v="1"/>
    <x v="1"/>
    <s v="FACTURA PAGA EN EL SISTEMA 29/01/2026"/>
  </r>
  <r>
    <s v="Factura electrónica"/>
    <s v="bf52111d1a5923ff44eeebcaa69e4639ba05ef0c7f11a854b5d43c74a453abfa4aa3d8a75c5f2901e5b7afb91abab3fa"/>
    <x v="805"/>
    <n v="-1"/>
    <s v="FVE"/>
    <s v="21-01-2026"/>
    <s v="21-01-2026 15:56:10"/>
    <s v="900800595"/>
    <s v="Provexpress SAS"/>
    <s v="900521357"/>
    <x v="449"/>
    <n v="41531"/>
    <n v="0"/>
    <n v="0"/>
    <n v="349531"/>
    <s v="Aprobado con notificación"/>
    <s v="Emitido"/>
    <x v="0"/>
    <x v="0"/>
    <x v="0"/>
    <x v="0"/>
    <x v="1"/>
    <x v="1"/>
    <s v="PAGA EN SISTEMA 24/02/2026"/>
  </r>
  <r>
    <s v="Factura electrónica"/>
    <s v="672d0b758628f8a2091e05d3b10dd2b901382fb3a0d267ede7b774cfabe8bc22e76a8818905ec3617efa2df419f33b03"/>
    <x v="806"/>
    <n v="-1"/>
    <s v="FVE"/>
    <s v="21-01-2026"/>
    <s v="21-01-2026 16:12:19"/>
    <s v="900800595"/>
    <s v="Provexpress SAS"/>
    <s v="800227333"/>
    <x v="352"/>
    <n v="310700.73"/>
    <n v="0"/>
    <n v="0"/>
    <n v="2077467.73"/>
    <s v="Aprobado con notificación"/>
    <s v="Emitido"/>
    <x v="0"/>
    <x v="0"/>
    <x v="0"/>
    <x v="0"/>
    <x v="0"/>
    <x v="0"/>
    <m/>
  </r>
  <r>
    <s v="Factura electrónica"/>
    <s v="5041dd5ee1f423e5591ddb860e3d94d5cfeee65cc8644ae0259acda8646b2250cad16bf9006f3b2070dcf2a1519dacef"/>
    <x v="807"/>
    <n v="-1"/>
    <s v="FVE"/>
    <s v="21-01-2026"/>
    <s v="21-01-2026 16:26:53"/>
    <s v="900800595"/>
    <s v="Provexpress SAS"/>
    <s v="900106694"/>
    <x v="450"/>
    <n v="8224150"/>
    <n v="0"/>
    <n v="0"/>
    <n v="51509150"/>
    <s v="Aprobado con notificación"/>
    <s v="Emitido"/>
    <x v="0"/>
    <x v="0"/>
    <x v="1"/>
    <x v="0"/>
    <x v="1"/>
    <x v="0"/>
    <m/>
  </r>
  <r>
    <s v="Factura electrónica"/>
    <s v="7f052a6d2c632bb8917d7792787f97a2d34d48f230ade2d170cdc69a8d7b66b2a6432f76d769f3f42631a1c5f7312819"/>
    <x v="808"/>
    <n v="-1"/>
    <s v="FVE"/>
    <s v="21-01-2026"/>
    <s v="21-01-2026 16:26:56"/>
    <s v="900800595"/>
    <s v="Provexpress SAS"/>
    <s v="800103903"/>
    <x v="451"/>
    <n v="136800"/>
    <n v="0"/>
    <n v="0"/>
    <n v="856800"/>
    <s v="Aprobado con notificación"/>
    <s v="Emitido"/>
    <x v="0"/>
    <x v="0"/>
    <x v="0"/>
    <x v="1"/>
    <x v="1"/>
    <x v="0"/>
    <m/>
  </r>
  <r>
    <s v="Factura electrónica"/>
    <s v="76660c50e227ff7952ed59ab9ed21ec656c4a2cf550044b51b58ba43fcff5fa790f969dd03e23fce17ea9276ee76eba4"/>
    <x v="809"/>
    <n v="-1"/>
    <s v="FVE"/>
    <s v="22-01-2026"/>
    <s v="22-01-2026 07:17:33"/>
    <s v="900800595"/>
    <s v="Provexpress SAS"/>
    <s v="830055467"/>
    <x v="90"/>
    <n v="20330"/>
    <n v="0"/>
    <n v="0"/>
    <n v="127330"/>
    <s v="Aprobado con notificación"/>
    <s v="Emitido"/>
    <x v="0"/>
    <x v="0"/>
    <x v="0"/>
    <x v="0"/>
    <x v="1"/>
    <x v="1"/>
    <s v="PAGA EN SISTEMA 27/02/2026"/>
  </r>
  <r>
    <s v="Factura electrónica"/>
    <s v="6d50e70386ede3ddc8c89156b9d57c556ec29ea7361e9bd9e797e67d8c36e1f7920be6072471ff44639060079d4053b0"/>
    <x v="810"/>
    <n v="-1"/>
    <s v="FVE"/>
    <s v="22-01-2026"/>
    <s v="22-01-2026 07:17:39"/>
    <s v="900800595"/>
    <s v="Provexpress SAS"/>
    <s v="830055467"/>
    <x v="90"/>
    <n v="40660"/>
    <n v="0"/>
    <n v="0"/>
    <n v="254660"/>
    <s v="Aprobado con notificación"/>
    <s v="Emitido"/>
    <x v="0"/>
    <x v="0"/>
    <x v="0"/>
    <x v="0"/>
    <x v="1"/>
    <x v="1"/>
    <s v="PAGA EN SISTEMA 27/02/2026"/>
  </r>
  <r>
    <s v="Factura electrónica"/>
    <s v="100e4f12d4059d87978ae66fbdd837a95388988a654e8072b2734ac16a923fd84402343756dfebd4f0c0fc9670ccb65c"/>
    <x v="811"/>
    <n v="-1"/>
    <s v="FVE"/>
    <s v="22-01-2026"/>
    <s v="22-01-2026 07:32:51"/>
    <s v="900800595"/>
    <s v="Provexpress SAS"/>
    <s v="901041691"/>
    <x v="14"/>
    <n v="78553.600000000006"/>
    <n v="0"/>
    <n v="0"/>
    <n v="491993.59999999998"/>
    <s v="Aprobado con notificación"/>
    <s v="Emitido"/>
    <x v="0"/>
    <x v="0"/>
    <x v="1"/>
    <x v="0"/>
    <x v="1"/>
    <x v="0"/>
    <m/>
  </r>
  <r>
    <s v="Factura electrónica"/>
    <s v="88e1002428efb0bbdd1b3352ad46e946660f473e04cdbaf7cad77d966006aff9f4352d490855b45be19a8f12175a813b"/>
    <x v="812"/>
    <n v="-1"/>
    <s v="FVE"/>
    <s v="22-01-2026"/>
    <s v="22-01-2026 07:32:55"/>
    <s v="900800595"/>
    <s v="Provexpress SAS"/>
    <s v="901041691"/>
    <x v="14"/>
    <n v="39276.800000000003"/>
    <n v="0"/>
    <n v="0"/>
    <n v="245996.79999999999"/>
    <s v="Aprobado con notificación"/>
    <s v="Emitido"/>
    <x v="0"/>
    <x v="1"/>
    <x v="0"/>
    <x v="0"/>
    <x v="1"/>
    <x v="0"/>
    <m/>
  </r>
  <r>
    <s v="Factura electrónica"/>
    <s v="92103db67381a805efb43a2f8bf04d8e82a48970cd3c836c6b6c4dc50e8e5d66bdcbebd5520bfdaa316f0348cb77d537"/>
    <x v="813"/>
    <n v="-1"/>
    <s v="FVE"/>
    <s v="22-01-2026"/>
    <s v="22-01-2026 07:48:06"/>
    <s v="900800595"/>
    <s v="Provexpress SAS"/>
    <s v="860078828"/>
    <x v="8"/>
    <n v="39276.800000000003"/>
    <n v="0"/>
    <n v="0"/>
    <n v="245996.79999999999"/>
    <s v="Aprobado con notificación"/>
    <s v="Emitido"/>
    <x v="0"/>
    <x v="0"/>
    <x v="1"/>
    <x v="0"/>
    <x v="1"/>
    <x v="0"/>
    <m/>
  </r>
  <r>
    <s v="Factura electrónica"/>
    <s v="a002b08730fa43a73b73c5b27f5a0efeea584992c0f99c8ae83285b9b19cf1c77707b4562ddd90ceb2fdf9dd8707c6f2"/>
    <x v="814"/>
    <n v="-1"/>
    <s v="FVE"/>
    <s v="22-01-2026"/>
    <s v="22-01-2026 07:48:11"/>
    <s v="900800595"/>
    <s v="Provexpress SAS"/>
    <s v="860078828"/>
    <x v="8"/>
    <n v="39276.800000000003"/>
    <n v="0"/>
    <n v="0"/>
    <n v="245996.79999999999"/>
    <s v="Aprobado con notificación"/>
    <s v="Emitido"/>
    <x v="0"/>
    <x v="0"/>
    <x v="1"/>
    <x v="0"/>
    <x v="1"/>
    <x v="0"/>
    <m/>
  </r>
  <r>
    <s v="Factura electrónica"/>
    <s v="efa6ef4eb0e650d905eef6c77e52be0f3d1a8d01cccbc957bda255f82278506fb16b6df11f30fdb7ffe63a263f22bc84"/>
    <x v="815"/>
    <n v="-1"/>
    <s v="FVE"/>
    <s v="22-01-2026"/>
    <s v="22-01-2026 07:48:15"/>
    <s v="900800595"/>
    <s v="Provexpress SAS"/>
    <s v="830130106"/>
    <x v="23"/>
    <n v="152000"/>
    <n v="0"/>
    <n v="0"/>
    <n v="952000"/>
    <s v="Aprobado con notificación"/>
    <s v="Emitido"/>
    <x v="0"/>
    <x v="0"/>
    <x v="0"/>
    <x v="0"/>
    <x v="0"/>
    <x v="0"/>
    <m/>
  </r>
  <r>
    <s v="Factura electrónica"/>
    <s v="5b4e88a6286ec00f3ad2f6370a112385eca69c4ef81ff07f188b37c7f1d71d1966ddbd93bbef125c441202ed7449d5e7"/>
    <x v="816"/>
    <n v="-1"/>
    <s v="FVE"/>
    <s v="22-01-2026"/>
    <s v="22-01-2026 08:48:46"/>
    <s v="900800595"/>
    <s v="Provexpress SAS"/>
    <s v="890101681"/>
    <x v="158"/>
    <n v="735300"/>
    <n v="0"/>
    <n v="0"/>
    <n v="4605300"/>
    <s v="Aprobado con notificación"/>
    <s v="Emitido"/>
    <x v="0"/>
    <x v="0"/>
    <x v="0"/>
    <x v="0"/>
    <x v="1"/>
    <x v="1"/>
    <s v="FACTURA PAGA EN EL SISTEMA 23/01/2026"/>
  </r>
  <r>
    <s v="Factura electrónica"/>
    <s v="3c33fd1a3a2662c03c16f3b821fe3ca935c8727d4a470372ae6a4a26a0e89d8076c2006ccb721130567810e2d7f85fbf"/>
    <x v="817"/>
    <n v="-1"/>
    <s v="FVE"/>
    <s v="22-01-2026"/>
    <s v="22-01-2026 08:48:51"/>
    <s v="900800595"/>
    <s v="Provexpress SAS"/>
    <s v="900774333"/>
    <x v="412"/>
    <n v="1442632"/>
    <n v="0"/>
    <n v="0"/>
    <n v="9035432"/>
    <s v="Aprobado con notificación"/>
    <s v="Emitido"/>
    <x v="0"/>
    <x v="0"/>
    <x v="0"/>
    <x v="0"/>
    <x v="1"/>
    <x v="1"/>
    <s v="FACTURA PAGA EN EL SISTEMA 4/02/2026"/>
  </r>
  <r>
    <s v="Factura electrónica"/>
    <s v="28e70971711aea4188bd7ddc23d9a4d84df568b817d6a2785839186b3df89e5e54c525787f62c1bac3f0eca7d15dbc6f"/>
    <x v="818"/>
    <n v="-1"/>
    <s v="FVE"/>
    <s v="22-01-2026"/>
    <s v="22-01-2026 08:48:56"/>
    <s v="900800595"/>
    <s v="Provexpress SAS"/>
    <s v="860072172"/>
    <x v="452"/>
    <n v="56145"/>
    <n v="0"/>
    <n v="0"/>
    <n v="351645"/>
    <s v="Aprobado con notificación"/>
    <s v="Emitido"/>
    <x v="0"/>
    <x v="0"/>
    <x v="0"/>
    <x v="0"/>
    <x v="1"/>
    <x v="1"/>
    <s v="FACTURA PAGA EN EL SISTEMA 22/01/2026"/>
  </r>
  <r>
    <s v="Factura electrónica"/>
    <s v="875752bcf09fa2e40f51bba34fb26bff763a6bde782592b18737703b7d0b2b1584b9177eee697135086b1325679e5e28"/>
    <x v="819"/>
    <n v="-1"/>
    <s v="FVE"/>
    <s v="22-01-2026"/>
    <s v="22-01-2026 09:04:07"/>
    <s v="900800595"/>
    <s v="Provexpress SAS"/>
    <s v="900736003"/>
    <x v="453"/>
    <n v="195700"/>
    <n v="0"/>
    <n v="0"/>
    <n v="1225700"/>
    <s v="Aprobado con notificación"/>
    <s v="Emitido"/>
    <x v="1"/>
    <x v="0"/>
    <x v="0"/>
    <x v="0"/>
    <x v="1"/>
    <x v="0"/>
    <m/>
  </r>
  <r>
    <s v="Factura electrónica"/>
    <s v="e52962290d36ac1d8966db03b9d58b40a7a1d4bbb38b2d2e3d7ff82abbdeb59be4157728bf99676166ba29c23e7f87cf"/>
    <x v="820"/>
    <n v="-1"/>
    <s v="FVE"/>
    <s v="22-01-2026"/>
    <s v="22-01-2026 09:34:25"/>
    <s v="900800595"/>
    <s v="Provexpress SAS"/>
    <s v="830030945"/>
    <x v="454"/>
    <n v="16150"/>
    <n v="0"/>
    <n v="0"/>
    <n v="101150"/>
    <s v="Aprobado con notificación"/>
    <s v="Emitido"/>
    <x v="0"/>
    <x v="0"/>
    <x v="0"/>
    <x v="0"/>
    <x v="0"/>
    <x v="0"/>
    <m/>
  </r>
  <r>
    <s v="Factura electrónica"/>
    <s v="42ecb85e57ce078d360234107c16108e6f2ea4aea6644f66edec15b99f868a4480d831a6f0dbe27dc5755f96e0dfae2c"/>
    <x v="821"/>
    <n v="-1"/>
    <s v="FVE"/>
    <s v="22-01-2026"/>
    <s v="22-01-2026 09:34:29"/>
    <s v="900800595"/>
    <s v="Provexpress SAS"/>
    <s v="830094312"/>
    <x v="416"/>
    <n v="64134.5"/>
    <n v="0"/>
    <n v="0"/>
    <n v="401684.5"/>
    <s v="Aprobado con notificación"/>
    <s v="Emitido"/>
    <x v="0"/>
    <x v="0"/>
    <x v="0"/>
    <x v="0"/>
    <x v="0"/>
    <x v="0"/>
    <m/>
  </r>
  <r>
    <s v="Factura electrónica"/>
    <s v="c3c6ecd8fe67bdc17b99a15e500492f58917be4163f89ec7c403a3df60134324badb72e3643672dddee9374471e47106"/>
    <x v="822"/>
    <n v="-1"/>
    <s v="FVE"/>
    <s v="22-01-2026"/>
    <s v="22-01-2026 09:49:41"/>
    <s v="900800595"/>
    <s v="Provexpress SAS"/>
    <s v="860071562"/>
    <x v="376"/>
    <n v="124091.85"/>
    <n v="0"/>
    <n v="0"/>
    <n v="777206.85"/>
    <s v="Aprobado con notificación"/>
    <s v="Emitido"/>
    <x v="0"/>
    <x v="0"/>
    <x v="0"/>
    <x v="0"/>
    <x v="1"/>
    <x v="1"/>
    <s v="FACTURA PAGA EN EL SISTEMA 19/02/2026"/>
  </r>
  <r>
    <s v="Factura electrónica"/>
    <s v="00c1bb9438331b48930264f1731c6a38b1368bc88e27873fe7961d889e1a2c0d553493dd52a69143d2f806a1e2f3f1c4"/>
    <x v="823"/>
    <n v="-1"/>
    <s v="FVE"/>
    <s v="22-01-2026"/>
    <s v="22-01-2026 09:49:46"/>
    <s v="900800595"/>
    <s v="Provexpress SAS"/>
    <s v="900521357"/>
    <x v="449"/>
    <n v="53326.5"/>
    <n v="0"/>
    <n v="0"/>
    <n v="471376.5"/>
    <s v="Aprobado con notificación"/>
    <s v="Emitido"/>
    <x v="0"/>
    <x v="0"/>
    <x v="0"/>
    <x v="0"/>
    <x v="1"/>
    <x v="1"/>
    <s v="PAGA EN SISTEMA 24/02/2026"/>
  </r>
  <r>
    <s v="Factura electrónica"/>
    <s v="43e117b952b7bf198b61c057c66022f0e61d289e1a005a311967d5e517766eba53a3f371a8dfba54f4737a63184926fd"/>
    <x v="824"/>
    <n v="-1"/>
    <s v="FVE"/>
    <s v="22-01-2026"/>
    <s v="22-01-2026 09:49:50"/>
    <s v="900800595"/>
    <s v="Provexpress SAS"/>
    <s v="900521357"/>
    <x v="449"/>
    <n v="40628"/>
    <n v="0"/>
    <n v="0"/>
    <n v="354928"/>
    <s v="Aprobado con notificación"/>
    <s v="Emitido"/>
    <x v="0"/>
    <x v="0"/>
    <x v="0"/>
    <x v="0"/>
    <x v="1"/>
    <x v="1"/>
    <s v="PAGA EN SISTEMA 24/02/2026"/>
  </r>
  <r>
    <s v="Factura electrónica"/>
    <s v="75c8d7f9086026c1a9dda0a685b86811ca3fa11c7b770f34d40ab9d5825a18a130b3466fd815b504f2ccc7e405cbeb34"/>
    <x v="825"/>
    <n v="-1"/>
    <s v="FVE"/>
    <s v="22-01-2026"/>
    <s v="22-01-2026 09:49:55"/>
    <s v="900800595"/>
    <s v="Provexpress SAS"/>
    <s v="860029846"/>
    <x v="455"/>
    <n v="68770.7"/>
    <n v="0"/>
    <n v="0"/>
    <n v="616700.69999999995"/>
    <s v="Aprobado con notificación"/>
    <s v="Emitido"/>
    <x v="0"/>
    <x v="0"/>
    <x v="0"/>
    <x v="0"/>
    <x v="0"/>
    <x v="0"/>
    <m/>
  </r>
  <r>
    <s v="Factura electrónica"/>
    <s v="e16989c9f3898a39ee13f8508d75cfb5c176aff8b119891e5123085d2609637ad3b9f0dec76488d9c4147c6f1215a9b3"/>
    <x v="826"/>
    <n v="-1"/>
    <s v="FVE"/>
    <s v="22-01-2026"/>
    <s v="22-01-2026 09:50:00"/>
    <s v="900800595"/>
    <s v="Provexpress SAS"/>
    <s v="901248246"/>
    <x v="28"/>
    <n v="52163.6"/>
    <n v="0"/>
    <n v="0"/>
    <n v="376983.6"/>
    <s v="Aprobado con notificación"/>
    <s v="Emitido"/>
    <x v="0"/>
    <x v="0"/>
    <x v="1"/>
    <x v="0"/>
    <x v="1"/>
    <x v="0"/>
    <m/>
  </r>
  <r>
    <s v="Factura electrónica"/>
    <s v="d88e6edbf982ecc05f921dcdb10f5ae1025c92811a858f3ef149b388b274453977142dad54a85cdb9af319092fad8d0c"/>
    <x v="827"/>
    <n v="-1"/>
    <s v="FVE"/>
    <s v="22-01-2026"/>
    <s v="22-01-2026 09:50:05"/>
    <s v="900800595"/>
    <s v="Provexpress SAS"/>
    <s v="901248246"/>
    <x v="28"/>
    <n v="57044.08"/>
    <n v="0"/>
    <n v="0"/>
    <n v="357276.08"/>
    <s v="Aprobado con notificación"/>
    <s v="Emitido"/>
    <x v="0"/>
    <x v="0"/>
    <x v="1"/>
    <x v="0"/>
    <x v="1"/>
    <x v="0"/>
    <m/>
  </r>
  <r>
    <s v="Factura electrónica"/>
    <s v="c6878220fe65718f92a463bb239f07dd85c5cce48e48714d2e8e9ad078dd6bbabf6d8e6b97a0cc5d3cae296e73ed4b16"/>
    <x v="828"/>
    <n v="-1"/>
    <s v="FVE"/>
    <s v="22-01-2026"/>
    <s v="22-01-2026 09:50:09"/>
    <s v="900800595"/>
    <s v="Provexpress SAS"/>
    <s v="901248246"/>
    <x v="28"/>
    <n v="39407.9"/>
    <n v="0"/>
    <n v="0"/>
    <n v="246817.9"/>
    <s v="Aprobado con notificación"/>
    <s v="Emitido"/>
    <x v="0"/>
    <x v="0"/>
    <x v="1"/>
    <x v="0"/>
    <x v="1"/>
    <x v="0"/>
    <m/>
  </r>
  <r>
    <s v="Factura electrónica"/>
    <s v="fce60e2e8a223c4c1a7181767f626e04c31fcabe3115e390d28356907869b22bbccd4302c0f0d82dc9068b2250a6e098"/>
    <x v="829"/>
    <n v="-1"/>
    <s v="FVE"/>
    <s v="22-01-2026"/>
    <s v="22-01-2026 09:50:13"/>
    <s v="900800595"/>
    <s v="Provexpress SAS"/>
    <s v="901248246"/>
    <x v="28"/>
    <n v="86475"/>
    <n v="0"/>
    <n v="0"/>
    <n v="554295"/>
    <s v="Aprobado con notificación"/>
    <s v="Emitido"/>
    <x v="0"/>
    <x v="0"/>
    <x v="1"/>
    <x v="0"/>
    <x v="1"/>
    <x v="0"/>
    <m/>
  </r>
  <r>
    <s v="Factura electrónica"/>
    <s v="eb88381ae9b78518cbd554915a7e1b0eac11599c0b5d8673a95fd5a54caf093f3b95766f7365e6f16564eb8e42a91ae2"/>
    <x v="830"/>
    <n v="-1"/>
    <s v="FVE"/>
    <s v="22-01-2026"/>
    <s v="22-01-2026 10:05:28"/>
    <s v="900800595"/>
    <s v="Provexpress SAS"/>
    <s v="901248246"/>
    <x v="28"/>
    <n v="51974.7"/>
    <n v="0"/>
    <n v="0"/>
    <n v="382144.7"/>
    <s v="Aprobado con notificación"/>
    <s v="Emitido"/>
    <x v="0"/>
    <x v="0"/>
    <x v="1"/>
    <x v="0"/>
    <x v="1"/>
    <x v="0"/>
    <m/>
  </r>
  <r>
    <s v="Factura electrónica"/>
    <s v="b36dac8e3c36afe8eff789cb2223df02c528ad0b766b8a05ef32966f3951204edb6e62013b69a9c79e03cd0e6e7439af"/>
    <x v="831"/>
    <n v="-1"/>
    <s v="FVE"/>
    <s v="22-01-2026"/>
    <s v="22-01-2026 10:20:40"/>
    <s v="900800595"/>
    <s v="Provexpress SAS"/>
    <s v="860059851"/>
    <x v="270"/>
    <n v="87400"/>
    <n v="0"/>
    <n v="0"/>
    <n v="547400"/>
    <s v="Aprobado con notificación"/>
    <s v="Emitido"/>
    <x v="0"/>
    <x v="0"/>
    <x v="0"/>
    <x v="0"/>
    <x v="0"/>
    <x v="0"/>
    <m/>
  </r>
  <r>
    <s v="Factura electrónica"/>
    <s v="74ea61dcd9ef53533042c8bf3a0d356046eeecf09193545d115d4c7c554c4096b5a3340ac7a5a53eafebc92a2071ae39"/>
    <x v="832"/>
    <n v="-1"/>
    <s v="FVE"/>
    <s v="22-01-2026"/>
    <s v="22-01-2026 10:20:44"/>
    <s v="900800595"/>
    <s v="Provexpress SAS"/>
    <s v="860007336"/>
    <x v="187"/>
    <n v="125970"/>
    <n v="0"/>
    <n v="0"/>
    <n v="788970"/>
    <s v="Aprobado con notificación"/>
    <s v="Emitido"/>
    <x v="0"/>
    <x v="0"/>
    <x v="1"/>
    <x v="0"/>
    <x v="1"/>
    <x v="0"/>
    <m/>
  </r>
  <r>
    <s v="Factura electrónica"/>
    <s v="18a4a9a689a70e3ab80f90263e768d1c2e31971227883f9c07439368c036520157ada9a2269463007763a5eb9c130d5d"/>
    <x v="833"/>
    <n v="-1"/>
    <s v="FVE"/>
    <s v="22-01-2026"/>
    <s v="22-01-2026 10:20:48"/>
    <s v="900800595"/>
    <s v="Provexpress SAS"/>
    <s v="860007336"/>
    <x v="187"/>
    <n v="35549"/>
    <n v="0"/>
    <n v="0"/>
    <n v="222649"/>
    <s v="Aprobado con notificación"/>
    <s v="Emitido"/>
    <x v="0"/>
    <x v="0"/>
    <x v="1"/>
    <x v="0"/>
    <x v="1"/>
    <x v="0"/>
    <m/>
  </r>
  <r>
    <s v="Factura electrónica"/>
    <s v="77a16d0514717eaf6bb1e0817cef0221f85419674d937f8abfe824540e7395169c161bb7b4f72c6d95bb5eea7fdcf3b6"/>
    <x v="834"/>
    <n v="-1"/>
    <s v="FVE"/>
    <s v="22-01-2026"/>
    <s v="22-01-2026 10:20:53"/>
    <s v="900800595"/>
    <s v="Provexpress SAS"/>
    <s v="830075451"/>
    <x v="55"/>
    <n v="689643"/>
    <n v="0"/>
    <n v="0"/>
    <n v="4319343"/>
    <s v="Aprobado con notificación"/>
    <s v="Emitido"/>
    <x v="0"/>
    <x v="0"/>
    <x v="0"/>
    <x v="0"/>
    <x v="1"/>
    <x v="1"/>
    <s v="FACTURA PAGA EN EL SISTEMA 24/02/2026"/>
  </r>
  <r>
    <s v="Factura electrónica"/>
    <s v="959b147ba8ff4f67305cde9335286e11450e46b99fba790739fd10963b92e0ab9aded82f2258c50630cda177ed02957c"/>
    <x v="835"/>
    <n v="-1"/>
    <s v="FVE"/>
    <s v="22-01-2026"/>
    <s v="22-01-2026 10:51:19"/>
    <s v="900800595"/>
    <s v="Provexpress SAS"/>
    <s v="900611019"/>
    <x v="336"/>
    <n v="0"/>
    <n v="0"/>
    <n v="0"/>
    <n v="7590000"/>
    <s v="Aprobado con notificación"/>
    <s v="Emitido"/>
    <x v="1"/>
    <x v="0"/>
    <x v="0"/>
    <x v="0"/>
    <x v="1"/>
    <x v="0"/>
    <m/>
  </r>
  <r>
    <s v="Factura electrónica"/>
    <s v="22ff6a08738fcc75d8d4e8c4bbba70d2afc5ee63fc146eafb39d697a0dfc87a6b2164e63c67f6563729a65f906ba7723"/>
    <x v="836"/>
    <n v="-1"/>
    <s v="FVE"/>
    <s v="22-01-2026"/>
    <s v="22-01-2026 11:06:30"/>
    <s v="900800595"/>
    <s v="Provexpress SAS"/>
    <s v="860501145"/>
    <x v="227"/>
    <n v="0"/>
    <n v="0"/>
    <n v="0"/>
    <n v="3210000"/>
    <s v="Aprobado con notificación"/>
    <s v="Emitido"/>
    <x v="0"/>
    <x v="0"/>
    <x v="1"/>
    <x v="0"/>
    <x v="1"/>
    <x v="0"/>
    <m/>
  </r>
  <r>
    <s v="Factura electrónica"/>
    <s v="be94d04bae34d0c943fab719410f97156d593b7a2d6ec536d38d0b8498b7d63c0f78970efda2e9573d109e4a2667e599"/>
    <x v="837"/>
    <n v="-1"/>
    <s v="FVE"/>
    <s v="22-01-2026"/>
    <s v="22-01-2026 11:06:35"/>
    <s v="900800595"/>
    <s v="Provexpress SAS"/>
    <s v="901371316"/>
    <x v="25"/>
    <n v="946200"/>
    <n v="0"/>
    <n v="0"/>
    <n v="6783200"/>
    <s v="Aprobado con notificación"/>
    <s v="Emitido"/>
    <x v="1"/>
    <x v="0"/>
    <x v="0"/>
    <x v="0"/>
    <x v="1"/>
    <x v="0"/>
    <m/>
  </r>
  <r>
    <s v="Factura electrónica"/>
    <s v="d9f9700f28e9ea96cf3693b6af740ca22b27300f0312d6f09a8b3662e20156b8b24257e52c89b23bc3e0e18ed4525502"/>
    <x v="838"/>
    <n v="-1"/>
    <s v="FVE"/>
    <s v="22-01-2026"/>
    <s v="22-01-2026 11:06:40"/>
    <s v="900800595"/>
    <s v="Provexpress SAS"/>
    <s v="860021786"/>
    <x v="456"/>
    <n v="96900"/>
    <n v="0"/>
    <n v="0"/>
    <n v="606900"/>
    <s v="Aprobado con notificación"/>
    <s v="Emitido"/>
    <x v="0"/>
    <x v="0"/>
    <x v="0"/>
    <x v="0"/>
    <x v="1"/>
    <x v="1"/>
    <s v="FACTURA PAGA EN EL SISTEMA 26/01/2026"/>
  </r>
  <r>
    <s v="Factura electrónica"/>
    <s v="da44831905f3ffc063b217a948355c0338d1d14a1ba036ad3ff34bade79ca5952b3be8663284b10a5ff5cfd5576846de"/>
    <x v="839"/>
    <n v="-1"/>
    <s v="FVE"/>
    <s v="22-01-2026"/>
    <s v="22-01-2026 11:06:45"/>
    <s v="900800595"/>
    <s v="Provexpress SAS"/>
    <s v="900935262"/>
    <x v="457"/>
    <n v="238477.6"/>
    <n v="0"/>
    <n v="0"/>
    <n v="1493622.88"/>
    <s v="Aprobado con notificación"/>
    <s v="Emitido"/>
    <x v="0"/>
    <x v="0"/>
    <x v="0"/>
    <x v="0"/>
    <x v="1"/>
    <x v="1"/>
    <s v="FACTURA PAGA EN EL SISTEMA 23/01/2026"/>
  </r>
  <r>
    <s v="Factura electrónica"/>
    <s v="81425485252c2bafdaffab947f2e3de1a37fd0b33e6fbb4e5afdf78a75ddb7c378c617402d9d3f4fc8f8f08daf4ffab2"/>
    <x v="840"/>
    <n v="-1"/>
    <s v="FVE"/>
    <s v="22-01-2026"/>
    <s v="22-01-2026 11:06:49"/>
    <s v="900800595"/>
    <s v="Provexpress SAS"/>
    <s v="860501145"/>
    <x v="227"/>
    <n v="0"/>
    <n v="0"/>
    <n v="0"/>
    <n v="535000"/>
    <s v="Aprobado con notificación"/>
    <s v="Emitido"/>
    <x v="0"/>
    <x v="0"/>
    <x v="1"/>
    <x v="0"/>
    <x v="1"/>
    <x v="0"/>
    <m/>
  </r>
  <r>
    <s v="Factura electrónica"/>
    <s v="9671f1bc6db811678114bccfd178f85e3769ce12d59a6f14d00bcead7e64f3dbb04054fce8e1d2195d417a1fd7d373d9"/>
    <x v="841"/>
    <n v="-1"/>
    <s v="FVE"/>
    <s v="22-01-2026"/>
    <s v="22-01-2026 11:22:03"/>
    <s v="900800595"/>
    <s v="Provexpress SAS"/>
    <s v="860513970"/>
    <x v="36"/>
    <n v="324761.3"/>
    <n v="0"/>
    <n v="0"/>
    <n v="2034031.3"/>
    <s v="Aprobado con notificación"/>
    <s v="Emitido"/>
    <x v="1"/>
    <x v="0"/>
    <x v="0"/>
    <x v="0"/>
    <x v="1"/>
    <x v="0"/>
    <m/>
  </r>
  <r>
    <s v="Factura electrónica"/>
    <s v="2f5932bc0d3fbafafda38672d5084a7b9eaf389fb85e4961f9a387636bc49cadc9389cf368eaab68ee46231e7ce5d2d0"/>
    <x v="842"/>
    <n v="-1"/>
    <s v="FVE"/>
    <s v="22-01-2026"/>
    <s v="22-01-2026 11:22:54"/>
    <s v="900800595"/>
    <s v="Provexpress SAS"/>
    <s v="900355936"/>
    <x v="458"/>
    <n v="63753.55"/>
    <n v="0"/>
    <n v="0"/>
    <n v="399298.55"/>
    <s v="Aprobado con notificación"/>
    <s v="Emitido"/>
    <x v="0"/>
    <x v="0"/>
    <x v="0"/>
    <x v="0"/>
    <x v="1"/>
    <x v="1"/>
    <s v="FACTURA PAGA EN EL SISTEMA 29/01/2026"/>
  </r>
  <r>
    <s v="Factura electrónica"/>
    <s v="93cc2e17bced7ffbdb8478256e90eb0d35ee1f44c5604a8916bbea659d569474ec8e0e516772424c3d0bdd73720659fe"/>
    <x v="843"/>
    <n v="-1"/>
    <s v="FVE"/>
    <s v="22-01-2026"/>
    <s v="22-01-2026 11:22:54"/>
    <s v="900800595"/>
    <s v="Provexpress SAS"/>
    <s v="900355936"/>
    <x v="458"/>
    <n v="20562.75"/>
    <n v="0"/>
    <n v="0"/>
    <n v="128787.75"/>
    <s v="Aprobado con notificación"/>
    <s v="Emitido"/>
    <x v="0"/>
    <x v="0"/>
    <x v="0"/>
    <x v="0"/>
    <x v="1"/>
    <x v="1"/>
    <s v="FACTURA PAGA EN EL SISTEMA 29/01/2026"/>
  </r>
  <r>
    <s v="Factura electrónica"/>
    <s v="62f01c7699a96a8d5ad4ee616c212e67ea69d8d0bd89f24eb922d21e0dd1e89373f438b395e312178bdd29b207463461"/>
    <x v="844"/>
    <n v="-1"/>
    <s v="FVE"/>
    <s v="22-01-2026"/>
    <s v="22-01-2026 11:22:53"/>
    <s v="900800595"/>
    <s v="Provexpress SAS"/>
    <s v="830067414"/>
    <x v="289"/>
    <n v="112229.05"/>
    <n v="0"/>
    <n v="0"/>
    <n v="735064.05"/>
    <s v="Aprobado con notificación"/>
    <s v="Emitido"/>
    <x v="1"/>
    <x v="0"/>
    <x v="0"/>
    <x v="0"/>
    <x v="1"/>
    <x v="0"/>
    <m/>
  </r>
  <r>
    <s v="Factura electrónica"/>
    <s v="089b1951c1d0120bc3c125d245ef85d9931aeb3e712204104731cd9c51bb477d07dd1d072908bd2e082de883185176f5"/>
    <x v="845"/>
    <n v="-1"/>
    <s v="FVE"/>
    <s v="22-01-2026"/>
    <s v="22-01-2026 11:22:25"/>
    <s v="900800595"/>
    <s v="Provexpress SAS"/>
    <s v="830067414"/>
    <x v="289"/>
    <n v="1489768.75"/>
    <n v="0"/>
    <n v="0"/>
    <n v="9368493.75"/>
    <s v="Aprobado con notificación"/>
    <s v="Emitido"/>
    <x v="1"/>
    <x v="0"/>
    <x v="0"/>
    <x v="0"/>
    <x v="1"/>
    <x v="0"/>
    <m/>
  </r>
  <r>
    <s v="Factura electrónica"/>
    <s v="86de108f311e2275bc5f2e02228dd15fb067749dfe3b86e98b17116baf0886328b8fe8b55a835ae29845a2aecb60ced8"/>
    <x v="846"/>
    <n v="-1"/>
    <s v="FVE"/>
    <s v="22-01-2026"/>
    <s v="22-01-2026 11:22:31"/>
    <s v="900800595"/>
    <s v="Provexpress SAS"/>
    <s v="830067414"/>
    <x v="289"/>
    <n v="228395.2"/>
    <n v="0"/>
    <n v="0"/>
    <n v="1430475.2"/>
    <s v="Aprobado con notificación"/>
    <s v="Emitido"/>
    <x v="1"/>
    <x v="0"/>
    <x v="0"/>
    <x v="0"/>
    <x v="1"/>
    <x v="0"/>
    <m/>
  </r>
  <r>
    <s v="Factura electrónica"/>
    <s v="73c9744102f6d731b672843535052f298a743de79c72ada81bc6a9daee79a05128ae55beccdb2c0610771cb6dfb7a97a"/>
    <x v="847"/>
    <n v="-1"/>
    <s v="FVE"/>
    <s v="22-01-2026"/>
    <s v="22-01-2026 11:37:42"/>
    <s v="900800595"/>
    <s v="Provexpress SAS"/>
    <s v="830067414"/>
    <x v="289"/>
    <n v="215867.55"/>
    <n v="0"/>
    <n v="0"/>
    <n v="1352012.55"/>
    <s v="Aprobado con notificación"/>
    <s v="Emitido"/>
    <x v="1"/>
    <x v="0"/>
    <x v="0"/>
    <x v="0"/>
    <x v="1"/>
    <x v="0"/>
    <m/>
  </r>
  <r>
    <s v="Factura electrónica"/>
    <s v="713156ac2ca02b461eabd751a43e24fe6eff6ad6e0c73c639f3016428b7e0684405178981623b3411b25292603eb9d50"/>
    <x v="848"/>
    <n v="-1"/>
    <s v="FVE"/>
    <s v="22-01-2026"/>
    <s v="22-01-2026 11:37:46"/>
    <s v="900800595"/>
    <s v="Provexpress SAS"/>
    <s v="830067414"/>
    <x v="289"/>
    <n v="71093.2"/>
    <n v="0"/>
    <n v="0"/>
    <n v="555083.19999999995"/>
    <s v="Aprobado con notificación"/>
    <s v="Emitido"/>
    <x v="1"/>
    <x v="0"/>
    <x v="0"/>
    <x v="0"/>
    <x v="1"/>
    <x v="0"/>
    <m/>
  </r>
  <r>
    <s v="Factura electrónica"/>
    <s v="402ed13369e37275c9e7bed44531d2c36a74e05aa9963065a4cbed96e903bbbfa933695c70d1295d2f0d2e90bf6a2f85"/>
    <x v="849"/>
    <n v="-1"/>
    <s v="FVE"/>
    <s v="22-01-2026"/>
    <s v="22-01-2026 11:37:51"/>
    <s v="900800595"/>
    <s v="Provexpress SAS"/>
    <s v="830067414"/>
    <x v="289"/>
    <n v="186339.05"/>
    <n v="0"/>
    <n v="0"/>
    <n v="1208684.05"/>
    <s v="Aprobado con notificación"/>
    <s v="Emitido"/>
    <x v="1"/>
    <x v="0"/>
    <x v="0"/>
    <x v="0"/>
    <x v="1"/>
    <x v="0"/>
    <m/>
  </r>
  <r>
    <s v="Factura electrónica"/>
    <s v="791df2078d82808765f0cd8275dfb4396abdd3bf4f15c589f82531370c1fa9b00de20650011f0938ea6ea03c78cac0d1"/>
    <x v="850"/>
    <n v="-1"/>
    <s v="FVE"/>
    <s v="22-01-2026"/>
    <s v="22-01-2026 11:37:56"/>
    <s v="900800595"/>
    <s v="Provexpress SAS"/>
    <s v="8102386"/>
    <x v="265"/>
    <n v="13996.35"/>
    <n v="0"/>
    <n v="0"/>
    <n v="87661.35"/>
    <s v="Aprobado con notificación"/>
    <s v="Emitido"/>
    <x v="0"/>
    <x v="0"/>
    <x v="0"/>
    <x v="0"/>
    <x v="0"/>
    <x v="0"/>
    <m/>
  </r>
  <r>
    <s v="Factura electrónica"/>
    <s v="b3d0c7004ab73ab9c5f91f3ffdf608cfc069a9fada582828b61524cae0c4def3f2e05b9a8d8548c009509d98fde8971b"/>
    <x v="851"/>
    <n v="-1"/>
    <s v="FVE"/>
    <s v="22-01-2026"/>
    <s v="22-01-2026 11:38:01"/>
    <s v="900800595"/>
    <s v="Provexpress SAS"/>
    <s v="860072172"/>
    <x v="452"/>
    <n v="488379.3"/>
    <n v="0"/>
    <n v="0"/>
    <n v="3058796.58"/>
    <s v="Aprobado con notificación"/>
    <s v="Emitido"/>
    <x v="0"/>
    <x v="0"/>
    <x v="0"/>
    <x v="0"/>
    <x v="0"/>
    <x v="0"/>
    <m/>
  </r>
  <r>
    <s v="Factura electrónica"/>
    <s v="51467baf858737bc80ef51f976ab7221a18c152d1d04fc2aecfb320ac943a6efeef1790362bc35b9683e0fb6e633f410"/>
    <x v="852"/>
    <n v="-1"/>
    <s v="FVE"/>
    <s v="22-01-2026"/>
    <s v="22-01-2026 11:38:05"/>
    <s v="900800595"/>
    <s v="Provexpress SAS"/>
    <s v="901197448"/>
    <x v="459"/>
    <n v="120080"/>
    <n v="0"/>
    <n v="0"/>
    <n v="752080"/>
    <s v="Aprobado con notificación"/>
    <s v="Emitido"/>
    <x v="0"/>
    <x v="0"/>
    <x v="0"/>
    <x v="0"/>
    <x v="1"/>
    <x v="1"/>
    <s v="PAGA EN EL SISTEMA 24/02/2026"/>
  </r>
  <r>
    <s v="Factura electrónica"/>
    <s v="fc2160628ebf217eab2d95b7e01ad615cac5d4e8346e91892c478c2204cc86d526670d19c28031f8a1c871403e016a6b"/>
    <x v="853"/>
    <n v="-1"/>
    <s v="FVE"/>
    <s v="22-01-2026"/>
    <s v="22-01-2026 11:38:10"/>
    <s v="900800595"/>
    <s v="Provexpress SAS"/>
    <s v="901598294"/>
    <x v="426"/>
    <n v="62130"/>
    <n v="0"/>
    <n v="0"/>
    <n v="389130"/>
    <s v="Aprobado con notificación"/>
    <s v="Emitido"/>
    <x v="0"/>
    <x v="0"/>
    <x v="0"/>
    <x v="0"/>
    <x v="1"/>
    <x v="1"/>
    <s v="FACTURA PAGA EN EL SISTEMA 30/01/2026"/>
  </r>
  <r>
    <s v="Factura electrónica"/>
    <s v="121c23050ed10ccc1740d8a78803ef2300518ee062fa04efb4b6c99e95c212b56de47970d54f8e57d5607e47164b7702"/>
    <x v="854"/>
    <n v="-1"/>
    <s v="FVE"/>
    <s v="22-01-2026"/>
    <s v="22-01-2026 11:38:14"/>
    <s v="900800595"/>
    <s v="Provexpress SAS"/>
    <s v="860014040"/>
    <x v="339"/>
    <n v="59090"/>
    <n v="0"/>
    <n v="0"/>
    <n v="370090"/>
    <s v="Aprobado con notificación"/>
    <s v="Emitido"/>
    <x v="0"/>
    <x v="0"/>
    <x v="0"/>
    <x v="0"/>
    <x v="1"/>
    <x v="1"/>
    <s v="FACTURA PAGA EN EL SISTEMA 6/02/2026"/>
  </r>
  <r>
    <s v="Factura electrónica"/>
    <s v="018647186221bda7f1aec95d8430a8a2c00ecf0d0e7f181561e0c9cd3f0d02ff38da24ba4391dbf8ff179b4bb60defff"/>
    <x v="855"/>
    <n v="-1"/>
    <s v="FVE"/>
    <s v="22-01-2026"/>
    <s v="22-01-2026 11:53:26"/>
    <s v="900800595"/>
    <s v="Provexpress SAS"/>
    <s v="830031886"/>
    <x v="460"/>
    <n v="13110"/>
    <n v="0"/>
    <n v="0"/>
    <n v="82110"/>
    <s v="Aprobado con notificación"/>
    <s v="Emitido"/>
    <x v="0"/>
    <x v="1"/>
    <x v="0"/>
    <x v="0"/>
    <x v="1"/>
    <x v="0"/>
    <m/>
  </r>
  <r>
    <s v="Factura electrónica"/>
    <s v="bbf4b1e00dfe92d7f9d7de1b972d1857ce19a2b972fca69733fc4fd0bbb46526ce76e9f476124c9dd2d4de0a2c8b997b"/>
    <x v="856"/>
    <n v="-1"/>
    <s v="FVE"/>
    <s v="22-01-2026"/>
    <s v="22-01-2026 11:53:31"/>
    <s v="900800595"/>
    <s v="Provexpress SAS"/>
    <s v="830031886"/>
    <x v="460"/>
    <n v="270664.5"/>
    <n v="0"/>
    <n v="0"/>
    <n v="1695214.5"/>
    <s v="Aprobado con notificación"/>
    <s v="Emitido"/>
    <x v="0"/>
    <x v="0"/>
    <x v="1"/>
    <x v="0"/>
    <x v="1"/>
    <x v="0"/>
    <m/>
  </r>
  <r>
    <s v="Factura electrónica"/>
    <s v="38797630b88da66109bd935016d6126e47e3b5d6190b7eede9389a35c365c2b05056f3114efbfe4490f944eef9ab51a0"/>
    <x v="857"/>
    <n v="-1"/>
    <s v="FVE"/>
    <s v="22-01-2026"/>
    <s v="22-01-2026 11:53:35"/>
    <s v="900800595"/>
    <s v="Provexpress SAS"/>
    <s v="830000324"/>
    <x v="461"/>
    <n v="55252"/>
    <n v="0"/>
    <n v="0"/>
    <n v="346052"/>
    <s v="Aprobado con notificación"/>
    <s v="Emitido"/>
    <x v="0"/>
    <x v="0"/>
    <x v="0"/>
    <x v="0"/>
    <x v="1"/>
    <x v="1"/>
    <s v="FACTURA PAGA EN EL SISTEMA 24/02/2026"/>
  </r>
  <r>
    <s v="Factura electrónica"/>
    <s v="fadedb69675c683637201da41c2e44f5250c23cffdd830b79ec2b057c047f7777da51576cc45d88294a1e39f32a3b81c"/>
    <x v="858"/>
    <n v="-1"/>
    <s v="FVE"/>
    <s v="22-01-2026"/>
    <s v="22-01-2026 11:53:41"/>
    <s v="900800595"/>
    <s v="Provexpress SAS"/>
    <s v="901239345"/>
    <x v="462"/>
    <n v="181560.2"/>
    <n v="0"/>
    <n v="0"/>
    <n v="1137140.2"/>
    <s v="Aprobado con notificación"/>
    <s v="Emitido"/>
    <x v="0"/>
    <x v="0"/>
    <x v="0"/>
    <x v="0"/>
    <x v="0"/>
    <x v="0"/>
    <m/>
  </r>
  <r>
    <s v="Factura electrónica"/>
    <s v="8e0e49bb6298121f3ae443c9eba6041c0628d5e66add14fdef2c2bf46dda4f6b971485259848296db0b6d76a3d46bea5"/>
    <x v="859"/>
    <n v="-1"/>
    <s v="FVE"/>
    <s v="22-01-2026"/>
    <s v="22-01-2026 12:08:52"/>
    <s v="900800595"/>
    <s v="Provexpress SAS"/>
    <s v="900319696"/>
    <x v="463"/>
    <n v="170240"/>
    <n v="0"/>
    <n v="0"/>
    <n v="1066240"/>
    <s v="Aprobado con notificación"/>
    <s v="Emitido"/>
    <x v="0"/>
    <x v="0"/>
    <x v="0"/>
    <x v="0"/>
    <x v="1"/>
    <x v="1"/>
    <s v="FACTURA PAGA EN EL SISTEMA 27/01/2026"/>
  </r>
  <r>
    <s v="Factura electrónica"/>
    <s v="1974de70fdbc4f08b2a892472b7f9a276ff44f56b755ac7ab02643ca5bb7e9ac225784791fd52be47726a83575e1d4ff"/>
    <x v="860"/>
    <n v="-1"/>
    <s v="FVE"/>
    <s v="22-01-2026"/>
    <s v="22-01-2026 12:08:56"/>
    <s v="900800595"/>
    <s v="Provexpress SAS"/>
    <s v="900966568"/>
    <x v="439"/>
    <n v="115710"/>
    <n v="0"/>
    <n v="0"/>
    <n v="724710"/>
    <s v="Aprobado con notificación"/>
    <s v="Emitido"/>
    <x v="1"/>
    <x v="0"/>
    <x v="0"/>
    <x v="0"/>
    <x v="1"/>
    <x v="0"/>
    <m/>
  </r>
  <r>
    <s v="Factura electrónica"/>
    <s v="99b88e279e959a945896528a50e521eac78f91cb76327e27a4deee7d1c58b7819b9811c04254e7c249a6c7e5560efc84"/>
    <x v="861"/>
    <n v="-1"/>
    <s v="FVE"/>
    <s v="22-01-2026"/>
    <s v="22-01-2026 12:09:02"/>
    <s v="900800595"/>
    <s v="Provexpress SAS"/>
    <s v="860017005"/>
    <x v="464"/>
    <n v="25270"/>
    <n v="0"/>
    <n v="0"/>
    <n v="158270"/>
    <s v="Aprobado con notificación"/>
    <s v="Emitido"/>
    <x v="1"/>
    <x v="0"/>
    <x v="0"/>
    <x v="0"/>
    <x v="1"/>
    <x v="0"/>
    <m/>
  </r>
  <r>
    <s v="Factura electrónica"/>
    <s v="3f7c2b968e80dd58296dea74cacf3b238e688d2d7c9669e54e872c4930de3d00faea02736c5d18248e8f6834ab1af786"/>
    <x v="862"/>
    <n v="-1"/>
    <s v="FVE"/>
    <s v="22-01-2026"/>
    <s v="22-01-2026 12:09:06"/>
    <s v="900800595"/>
    <s v="Provexpress SAS"/>
    <s v="900706422"/>
    <x v="465"/>
    <n v="874698.47"/>
    <n v="0"/>
    <n v="0"/>
    <n v="5808951.4699999997"/>
    <s v="Aprobado con notificación"/>
    <s v="Emitido"/>
    <x v="0"/>
    <x v="0"/>
    <x v="0"/>
    <x v="0"/>
    <x v="0"/>
    <x v="0"/>
    <m/>
  </r>
  <r>
    <s v="Factura electrónica"/>
    <s v="cee46b5389ce32c9580f817ad098b5b6e652768fe162a060924071e468619accd9fe1725d22b54ede677350a39b8ff30"/>
    <x v="863"/>
    <n v="-1"/>
    <s v="FVE"/>
    <s v="22-01-2026"/>
    <s v="22-01-2026 12:24:17"/>
    <s v="900800595"/>
    <s v="Provexpress SAS"/>
    <s v="860509514"/>
    <x v="146"/>
    <n v="292959.09999999998"/>
    <n v="0"/>
    <n v="0"/>
    <n v="1834849.1"/>
    <s v="Aprobado con notificación"/>
    <s v="Emitido"/>
    <x v="0"/>
    <x v="0"/>
    <x v="0"/>
    <x v="0"/>
    <x v="1"/>
    <x v="1"/>
    <s v="FACTURA PAGA EN EL SISTEMA 19/02/2026"/>
  </r>
  <r>
    <s v="Factura electrónica"/>
    <s v="1856063c532ac02f3c7c057dc6e43fa108ef7d18641a1fe96e05de3aa9f259f79b149bdda5f587c8bdbfc229476543f8"/>
    <x v="864"/>
    <n v="-1"/>
    <s v="FVE"/>
    <s v="22-01-2026"/>
    <s v="22-01-2026 12:24:32"/>
    <s v="900800595"/>
    <s v="Provexpress SAS"/>
    <s v="800042119"/>
    <x v="147"/>
    <n v="143334.67000000001"/>
    <n v="0"/>
    <n v="0"/>
    <n v="897727.67"/>
    <s v="Aprobado con notificación"/>
    <s v="Emitido"/>
    <x v="0"/>
    <x v="0"/>
    <x v="0"/>
    <x v="1"/>
    <x v="1"/>
    <x v="0"/>
    <m/>
  </r>
  <r>
    <s v="Factura electrónica"/>
    <s v="c5c42dfdc14b03d2c989adcdc7d908fb2d82207eb047931e1e3a07e5fc1b803156ecb987a87b88a2f23573d557c94101"/>
    <x v="865"/>
    <n v="-1"/>
    <s v="FVE"/>
    <s v="22-01-2026"/>
    <s v="22-01-2026 12:24:27"/>
    <s v="900800595"/>
    <s v="Provexpress SAS"/>
    <s v="830130106"/>
    <x v="23"/>
    <n v="716775"/>
    <n v="0"/>
    <n v="0"/>
    <n v="4489275"/>
    <s v="Aprobado con notificación"/>
    <s v="Emitido"/>
    <x v="0"/>
    <x v="0"/>
    <x v="0"/>
    <x v="0"/>
    <x v="0"/>
    <x v="0"/>
    <m/>
  </r>
  <r>
    <s v="Factura electrónica"/>
    <s v="f8735d4327fa7797ad294185218193b84eb22148bd817c4b6a5daaeda5f7e16589366cc54536c6502e333b58bab5df81"/>
    <x v="866"/>
    <n v="-1"/>
    <s v="FVE"/>
    <s v="22-01-2026"/>
    <s v="22-01-2026 12:24:31"/>
    <s v="900800595"/>
    <s v="Provexpress SAS"/>
    <s v="830130106"/>
    <x v="23"/>
    <n v="1397064.87"/>
    <n v="0"/>
    <n v="0"/>
    <n v="8750037.8699999992"/>
    <s v="Aprobado con notificación"/>
    <s v="Emitido"/>
    <x v="0"/>
    <x v="0"/>
    <x v="0"/>
    <x v="0"/>
    <x v="0"/>
    <x v="0"/>
    <m/>
  </r>
  <r>
    <s v="Factura electrónica"/>
    <s v="e84112ea46cfe4a9c33e17953d2709dfeaf0f29f115aa128249884e3a349c902f1154e60298f707519aabba31f995034"/>
    <x v="867"/>
    <n v="-1"/>
    <s v="FVE"/>
    <s v="22-01-2026"/>
    <s v="22-01-2026 12:39:43"/>
    <s v="900800595"/>
    <s v="Provexpress SAS"/>
    <s v="830112250"/>
    <x v="466"/>
    <n v="907493.07"/>
    <n v="0"/>
    <n v="0"/>
    <n v="5683772.2699999996"/>
    <s v="Aprobado con notificación"/>
    <s v="Emitido"/>
    <x v="0"/>
    <x v="0"/>
    <x v="0"/>
    <x v="0"/>
    <x v="1"/>
    <x v="1"/>
    <s v="FACTURA PAGA EN EL SISTEMA 6/02/2026"/>
  </r>
  <r>
    <s v="Factura electrónica"/>
    <s v="2c7717c645c81225538f6397129907e3de6203ed03d3a586561d2875be68b90a039192bf1b4571f3c6834a759d7a155e"/>
    <x v="868"/>
    <n v="-1"/>
    <s v="FVE"/>
    <s v="22-01-2026"/>
    <s v="22-01-2026 12:39:47"/>
    <s v="900800595"/>
    <s v="Provexpress SAS"/>
    <s v="800247814"/>
    <x v="92"/>
    <n v="112100"/>
    <n v="0"/>
    <n v="0"/>
    <n v="702100"/>
    <s v="Aprobado con notificación"/>
    <s v="Emitido"/>
    <x v="0"/>
    <x v="0"/>
    <x v="0"/>
    <x v="0"/>
    <x v="1"/>
    <x v="1"/>
    <s v="FACTURA PAGA EN EL SISTEMA 18/02/2026"/>
  </r>
  <r>
    <s v="Factura electrónica"/>
    <s v="01db4569c9398b1e2eded7d0f845acab415f9ed1eb66a89fa496c6b7902d9a373b18b25b2b7bf5a99d2b57f24b6f0b6e"/>
    <x v="869"/>
    <n v="-1"/>
    <s v="FVE"/>
    <s v="22-01-2026"/>
    <s v="22-01-2026 12:39:52"/>
    <s v="900800595"/>
    <s v="Provexpress SAS"/>
    <s v="901916856"/>
    <x v="467"/>
    <n v="471023.3"/>
    <n v="0"/>
    <n v="0"/>
    <n v="2950093.3"/>
    <s v="Aprobado con notificación"/>
    <s v="Emitido"/>
    <x v="0"/>
    <x v="0"/>
    <x v="0"/>
    <x v="0"/>
    <x v="0"/>
    <x v="0"/>
    <m/>
  </r>
  <r>
    <s v="Factura electrónica"/>
    <s v="e2ff313823114e9bc41b443fc715281921d5e9dd7c49ffac7dfe0a24455b9978244290cee5e141c30d8ba55c354fef53"/>
    <x v="870"/>
    <n v="-1"/>
    <s v="FVE"/>
    <s v="22-01-2026"/>
    <s v="22-01-2026 12:39:57"/>
    <s v="900800595"/>
    <s v="Provexpress SAS"/>
    <s v="901034380"/>
    <x v="408"/>
    <n v="22610"/>
    <n v="0"/>
    <n v="0"/>
    <n v="141610"/>
    <s v="Aprobado con notificación"/>
    <s v="Emitido"/>
    <x v="0"/>
    <x v="1"/>
    <x v="0"/>
    <x v="0"/>
    <x v="1"/>
    <x v="0"/>
    <m/>
  </r>
  <r>
    <s v="Factura electrónica"/>
    <s v="7d7c65ee2f891dbea040021456c70f46c6ee114a1665adc2a694c29eff25458972ad78cfb0a6dfe77d56749ff8090d3e"/>
    <x v="871"/>
    <n v="-1"/>
    <s v="FVE"/>
    <s v="22-01-2026"/>
    <s v="22-01-2026 12:55:10"/>
    <s v="900800595"/>
    <s v="Provexpress SAS"/>
    <s v="901916856"/>
    <x v="467"/>
    <n v="900790"/>
    <n v="0"/>
    <n v="0"/>
    <n v="5641790"/>
    <s v="Aprobado con notificación"/>
    <s v="Emitido"/>
    <x v="0"/>
    <x v="0"/>
    <x v="0"/>
    <x v="0"/>
    <x v="0"/>
    <x v="0"/>
    <m/>
  </r>
  <r>
    <s v="Factura electrónica"/>
    <s v="81a153fe1493fed31f7eb1f540c2e3f3c00bd8003d660c0259cd1ece9ecdf23ce19932d4725a7c202824439932fcce03"/>
    <x v="872"/>
    <n v="-1"/>
    <s v="FVE"/>
    <s v="22-01-2026"/>
    <s v="22-01-2026 12:55:13"/>
    <s v="900800595"/>
    <s v="Provexpress SAS"/>
    <s v="901116616"/>
    <x v="468"/>
    <n v="17670"/>
    <n v="0"/>
    <n v="0"/>
    <n v="110670"/>
    <s v="Aprobado con notificación"/>
    <s v="Emitido"/>
    <x v="0"/>
    <x v="0"/>
    <x v="0"/>
    <x v="0"/>
    <x v="0"/>
    <x v="0"/>
    <m/>
  </r>
  <r>
    <s v="Factura electrónica"/>
    <s v="b22bc898e0f25941af0de3c3dd44134e40e83acffcb71264ce3cea79e2bc05edc7434d7ff49d358d8e2111c1ed3f4554"/>
    <x v="873"/>
    <n v="-1"/>
    <s v="FVE"/>
    <s v="22-01-2026"/>
    <s v="22-01-2026 12:55:19"/>
    <s v="900800595"/>
    <s v="Provexpress SAS"/>
    <s v="900283577"/>
    <x v="469"/>
    <n v="58370"/>
    <n v="0"/>
    <n v="0"/>
    <n v="601370"/>
    <s v="Aprobado con notificación"/>
    <s v="Emitido"/>
    <x v="0"/>
    <x v="0"/>
    <x v="0"/>
    <x v="0"/>
    <x v="0"/>
    <x v="0"/>
    <m/>
  </r>
  <r>
    <s v="Factura electrónica"/>
    <s v="9e6f71cb03dcf02286c72a77bc3f37de2542d8de8be0b06f52f0cc4151d850427e0ad46e73e805db6748f4ca50186dc7"/>
    <x v="874"/>
    <n v="-1"/>
    <s v="FVE"/>
    <s v="22-01-2026"/>
    <s v="22-01-2026 14:42:09"/>
    <s v="900800595"/>
    <s v="Provexpress SAS"/>
    <s v="800127780"/>
    <x v="470"/>
    <n v="165300"/>
    <n v="0"/>
    <n v="0"/>
    <n v="1035300"/>
    <s v="Aprobado con notificación"/>
    <s v="Emitido"/>
    <x v="0"/>
    <x v="0"/>
    <x v="0"/>
    <x v="0"/>
    <x v="1"/>
    <x v="1"/>
    <s v="FACTURA PAGA EN EL SISTEMA 30/01/2026"/>
  </r>
  <r>
    <s v="Factura electrónica"/>
    <s v="a7279b20a72333569ac9e601828e0e14ff29cbd7523a66a8402508b0c2d4d096f994254a48b9d86436fa7e5dbcdbf02b"/>
    <x v="875"/>
    <n v="-1"/>
    <s v="FVE"/>
    <s v="22-01-2026"/>
    <s v="22-01-2026 14:42:09"/>
    <s v="900800595"/>
    <s v="Provexpress SAS"/>
    <s v="860072172"/>
    <x v="452"/>
    <n v="84284"/>
    <n v="0"/>
    <n v="0"/>
    <n v="527884"/>
    <s v="Aprobado con notificación"/>
    <s v="Emitido"/>
    <x v="0"/>
    <x v="0"/>
    <x v="1"/>
    <x v="0"/>
    <x v="1"/>
    <x v="0"/>
    <m/>
  </r>
  <r>
    <s v="Factura electrónica"/>
    <s v="8591232b0951e294b9bf6a12835f1806d2e95dd20a814e6c17125fd31d904faac32464fc93bf496ace6d56dda2e46c5f"/>
    <x v="876"/>
    <n v="-1"/>
    <s v="FVE"/>
    <s v="22-01-2026"/>
    <s v="22-01-2026 14:56:23"/>
    <s v="900800595"/>
    <s v="Provexpress SAS"/>
    <s v="900555485"/>
    <x v="471"/>
    <n v="0"/>
    <n v="0"/>
    <n v="0"/>
    <n v="4094171"/>
    <s v="Aprobado con notificación"/>
    <s v="Emitido"/>
    <x v="0"/>
    <x v="0"/>
    <x v="0"/>
    <x v="0"/>
    <x v="0"/>
    <x v="0"/>
    <m/>
  </r>
  <r>
    <s v="Factura electrónica"/>
    <s v="06be131d32b49ddc2cd8ed73ba52782b115306606b731ad15e9bf6298ac14f8a6a9c3fea37e54e484dbfd8d382e1fe99"/>
    <x v="877"/>
    <n v="-1"/>
    <s v="FVE"/>
    <s v="22-01-2026"/>
    <s v="22-01-2026 14:56:28"/>
    <s v="900800595"/>
    <s v="Provexpress SAS"/>
    <s v="901180401"/>
    <x v="188"/>
    <n v="442181.11"/>
    <n v="0"/>
    <n v="0"/>
    <n v="2769450.11"/>
    <s v="Aprobado con notificación"/>
    <s v="Emitido"/>
    <x v="0"/>
    <x v="0"/>
    <x v="0"/>
    <x v="0"/>
    <x v="1"/>
    <x v="1"/>
    <s v="FACTURA PAGA EN EL SISTEMA 25/02/2026"/>
  </r>
  <r>
    <s v="Factura electrónica"/>
    <s v="53132b48e3bedf474b0e97a1006d54606a92ececb43d6e690bfc730767d7bb024c89db8696eff00cc2a1e49dc7d3366d"/>
    <x v="878"/>
    <n v="-1"/>
    <s v="FVE"/>
    <s v="22-01-2026"/>
    <s v="22-01-2026 15:12:32"/>
    <s v="900800595"/>
    <s v="Provexpress SAS"/>
    <s v="900966568"/>
    <x v="439"/>
    <n v="444980"/>
    <n v="0"/>
    <n v="0"/>
    <n v="2786980"/>
    <s v="Aprobado con notificación"/>
    <s v="Emitido"/>
    <x v="1"/>
    <x v="0"/>
    <x v="0"/>
    <x v="0"/>
    <x v="1"/>
    <x v="0"/>
    <m/>
  </r>
  <r>
    <s v="Factura electrónica"/>
    <s v="a82c27a033412e9f1104657532391d3d57bb84ecd1a6197f0628376a11562ade3eebea9a3c510a53f5b304f715dab1b1"/>
    <x v="879"/>
    <n v="-1"/>
    <s v="FVE"/>
    <s v="22-01-2026"/>
    <s v="22-01-2026 15:12:33"/>
    <s v="900800595"/>
    <s v="Provexpress SAS"/>
    <s v="860020058"/>
    <x v="278"/>
    <n v="57950"/>
    <n v="0"/>
    <n v="0"/>
    <n v="362950"/>
    <s v="Aprobado con notificación"/>
    <s v="Emitido"/>
    <x v="1"/>
    <x v="0"/>
    <x v="0"/>
    <x v="0"/>
    <x v="1"/>
    <x v="0"/>
    <m/>
  </r>
  <r>
    <s v="Factura electrónica"/>
    <s v="53bdbd19e8a36340964dd0782b4fbe093525d0dc1dce574ac35f8d262e4c283bc26301a5d02ef8096c2e84f722afa3cf"/>
    <x v="880"/>
    <n v="-1"/>
    <s v="FVE"/>
    <s v="22-01-2026"/>
    <s v="22-01-2026 15:12:36"/>
    <s v="900800595"/>
    <s v="Provexpress SAS"/>
    <s v="830109997"/>
    <x v="119"/>
    <n v="39900"/>
    <n v="0"/>
    <n v="0"/>
    <n v="249900"/>
    <s v="Aprobado con notificación"/>
    <s v="Emitido"/>
    <x v="0"/>
    <x v="0"/>
    <x v="0"/>
    <x v="1"/>
    <x v="1"/>
    <x v="0"/>
    <s v="FACTURA RECHAZADA 23/01/2026"/>
  </r>
  <r>
    <s v="Factura electrónica"/>
    <s v="c60737cedb0e6457f85e1d59dba0eec43c0ef5251fc2e905fd855f15413ba09641cdd5a28bc9e97901d95084131345eb"/>
    <x v="881"/>
    <n v="-1"/>
    <s v="FVE"/>
    <s v="22-01-2026"/>
    <s v="22-01-2026 15:27:03"/>
    <s v="900800595"/>
    <s v="Provexpress SAS"/>
    <s v="860075558"/>
    <x v="472"/>
    <n v="1194150"/>
    <n v="0"/>
    <n v="0"/>
    <n v="7479150"/>
    <s v="Aprobado con notificación"/>
    <s v="Emitido"/>
    <x v="0"/>
    <x v="0"/>
    <x v="0"/>
    <x v="0"/>
    <x v="1"/>
    <x v="1"/>
    <s v="PAGA EN EL SISTEMA 16/02/2026"/>
  </r>
  <r>
    <s v="Factura electrónica"/>
    <s v="19ba0dd3a8b356b7969294abcc94d90b82beac1846ccf6f0e6f0a0acd179a08e41a7503f7ec4922c9f4d662387f1b4c7"/>
    <x v="882"/>
    <n v="-1"/>
    <s v="FVE"/>
    <s v="22-01-2026"/>
    <s v="22-01-2026 15:27:08"/>
    <s v="900800595"/>
    <s v="Provexpress SAS"/>
    <s v="830060858"/>
    <x v="473"/>
    <n v="214681"/>
    <n v="0"/>
    <n v="0"/>
    <n v="1344581"/>
    <s v="Aprobado con notificación"/>
    <s v="Emitido"/>
    <x v="1"/>
    <x v="0"/>
    <x v="0"/>
    <x v="0"/>
    <x v="1"/>
    <x v="0"/>
    <m/>
  </r>
  <r>
    <s v="Factura electrónica"/>
    <s v="f15fb7440f42225c4f0ddc85d11f5ea30d3ec5e6b97d0a34badae5980f25b2cb17bb12eabb36de571bfbec8f5883f677"/>
    <x v="883"/>
    <n v="-1"/>
    <s v="FVE"/>
    <s v="22-01-2026"/>
    <s v="22-01-2026 15:27:13"/>
    <s v="900800595"/>
    <s v="Provexpress SAS"/>
    <s v="830060858"/>
    <x v="473"/>
    <n v="214681"/>
    <n v="0"/>
    <n v="0"/>
    <n v="1344581"/>
    <s v="Aprobado con notificación"/>
    <s v="Emitido"/>
    <x v="1"/>
    <x v="0"/>
    <x v="0"/>
    <x v="0"/>
    <x v="1"/>
    <x v="0"/>
    <m/>
  </r>
  <r>
    <s v="Factura electrónica"/>
    <s v="ccb60e69c7065037e59a4b670dde86083c11f5302556d8a496daede02b67a9ce9ef545b8a502614950a8be7a08ec72a6"/>
    <x v="884"/>
    <n v="-1"/>
    <s v="FVE"/>
    <s v="22-01-2026"/>
    <s v="22-01-2026 15:43:07"/>
    <s v="900800595"/>
    <s v="Provexpress SAS"/>
    <s v="901689684"/>
    <x v="218"/>
    <n v="81937.5"/>
    <n v="0"/>
    <n v="0"/>
    <n v="513187.5"/>
    <s v="Aprobado con notificación"/>
    <s v="Emitido"/>
    <x v="1"/>
    <x v="0"/>
    <x v="0"/>
    <x v="0"/>
    <x v="1"/>
    <x v="0"/>
    <m/>
  </r>
  <r>
    <s v="Factura electrónica"/>
    <s v="731f22083d0ca5d3736cd1cd262300055fe93cc78c22d84ee76c129c61c54c896cd886e0447b511dc6cd1a0d3ece8b3f"/>
    <x v="885"/>
    <n v="-1"/>
    <s v="FVE"/>
    <s v="22-01-2026"/>
    <s v="22-01-2026 15:42:57"/>
    <s v="900800595"/>
    <s v="Provexpress SAS"/>
    <s v="860026123"/>
    <x v="176"/>
    <n v="5788160"/>
    <n v="0"/>
    <n v="0"/>
    <n v="36252160"/>
    <s v="Aprobado con notificación"/>
    <s v="Emitido"/>
    <x v="0"/>
    <x v="0"/>
    <x v="0"/>
    <x v="0"/>
    <x v="1"/>
    <x v="1"/>
    <s v="FACTURA PAGA EN EL SISTEMA 5/02/2026"/>
  </r>
  <r>
    <s v="Factura electrónica"/>
    <s v="5b50cd97db4f48772ae1796d28c905be3993b2176e4e68c357847c0ce237cad10afd658473d035e920d610e5f7357611"/>
    <x v="886"/>
    <n v="-1"/>
    <s v="FVE"/>
    <s v="22-01-2026"/>
    <s v="22-01-2026 15:57:45"/>
    <s v="900800595"/>
    <s v="Provexpress SAS"/>
    <s v="860017005"/>
    <x v="464"/>
    <n v="182172"/>
    <n v="0"/>
    <n v="0"/>
    <n v="1140972"/>
    <s v="Aprobado con notificación"/>
    <s v="Emitido"/>
    <x v="0"/>
    <x v="0"/>
    <x v="0"/>
    <x v="0"/>
    <x v="1"/>
    <x v="1"/>
    <s v="FACTURA PAGA EN EL SISTEMA 23/01/2026"/>
  </r>
  <r>
    <s v="Factura electrónica"/>
    <s v="b081042ede4076850425b1d1cfbec47f2184fb352a86ff1a358cc9194f57efd90ac4e5f1490178a64cbf333bf394ac01"/>
    <x v="887"/>
    <n v="-1"/>
    <s v="FVE"/>
    <s v="23-01-2026"/>
    <s v="23-01-2026 07:49:41"/>
    <s v="900800595"/>
    <s v="Provexpress SAS"/>
    <s v="830022462"/>
    <x v="474"/>
    <n v="98515.93"/>
    <n v="0"/>
    <n v="0"/>
    <n v="935970.93"/>
    <s v="Aprobado con notificación"/>
    <s v="Emitido"/>
    <x v="0"/>
    <x v="0"/>
    <x v="1"/>
    <x v="0"/>
    <x v="1"/>
    <x v="0"/>
    <m/>
  </r>
  <r>
    <s v="Factura electrónica"/>
    <s v="89a619aafa032ea9e47935c5e8341556a96d03388af33c8aa690c09fc477a3697a2f7eb620b0087d87d6931c2e64e670"/>
    <x v="888"/>
    <n v="-1"/>
    <s v="FVE"/>
    <s v="23-01-2026"/>
    <s v="23-01-2026 08:04:53"/>
    <s v="900800595"/>
    <s v="Provexpress SAS"/>
    <s v="800155413"/>
    <x v="103"/>
    <n v="1348240"/>
    <n v="0"/>
    <n v="0"/>
    <n v="8444240"/>
    <s v="Aprobado con notificación"/>
    <s v="Emitido"/>
    <x v="0"/>
    <x v="0"/>
    <x v="0"/>
    <x v="0"/>
    <x v="1"/>
    <x v="1"/>
    <s v="FACTURA PAGA EN EL SISTEMA 30/01/2026"/>
  </r>
  <r>
    <s v="Factura electrónica"/>
    <s v="b856f399e26d4c445585fd7799b30ca9de1c40b275accb21b4eb4b5e5969636d4b5e47f45f55a95562d89baa5e5537d9"/>
    <x v="889"/>
    <n v="-1"/>
    <s v="FVE"/>
    <s v="23-01-2026"/>
    <s v="23-01-2026 08:35:53"/>
    <s v="900800595"/>
    <s v="Provexpress SAS"/>
    <s v="830092675"/>
    <x v="231"/>
    <n v="1025962"/>
    <n v="0"/>
    <n v="0"/>
    <n v="6425762"/>
    <s v="Aprobado con notificación"/>
    <s v="Emitido"/>
    <x v="0"/>
    <x v="0"/>
    <x v="1"/>
    <x v="0"/>
    <x v="1"/>
    <x v="0"/>
    <m/>
  </r>
  <r>
    <s v="Factura electrónica"/>
    <s v="72ac3122dac15dfbcbb6eb2a27505c09c4bfbf869f9abd7cab2d8b367627f19bce91250741f42fbe0926e561875f7b64"/>
    <x v="890"/>
    <n v="-1"/>
    <s v="FVE"/>
    <s v="23-01-2026"/>
    <s v="23-01-2026 08:35:59"/>
    <s v="900800595"/>
    <s v="Provexpress SAS"/>
    <s v="830092675"/>
    <x v="231"/>
    <n v="0"/>
    <n v="0"/>
    <n v="0"/>
    <n v="4679400"/>
    <s v="Aprobado con notificación"/>
    <s v="Emitido"/>
    <x v="0"/>
    <x v="0"/>
    <x v="1"/>
    <x v="0"/>
    <x v="1"/>
    <x v="0"/>
    <m/>
  </r>
  <r>
    <s v="Factura electrónica"/>
    <s v="e554db3a9ab740ac1fd00f8eee4333151470d75f66cb58175c9cff8b1933f711c9663904940160d1e2d34242ef305a61"/>
    <x v="891"/>
    <n v="-1"/>
    <s v="FVE"/>
    <s v="23-01-2026"/>
    <s v="23-01-2026 08:35:48"/>
    <s v="900800595"/>
    <s v="Provexpress SAS"/>
    <s v="860509265"/>
    <x v="475"/>
    <n v="16910"/>
    <n v="0"/>
    <n v="0"/>
    <n v="105910"/>
    <s v="Aprobado con notificación"/>
    <s v="Emitido"/>
    <x v="0"/>
    <x v="0"/>
    <x v="0"/>
    <x v="0"/>
    <x v="1"/>
    <x v="1"/>
    <s v="FACTURA PAGA EN EL SISTEMA 25/02/2026"/>
  </r>
  <r>
    <s v="Factura electrónica"/>
    <s v="47979ba6897f35170da4a4438e3b6d16be9564fbc42f83ff05b0b4bead3e26fcc58aa11a675e8cedb3b539726fa67b44"/>
    <x v="892"/>
    <n v="-1"/>
    <s v="FVE"/>
    <s v="23-01-2026"/>
    <s v="23-01-2026 08:36:24"/>
    <s v="900800595"/>
    <s v="Provexpress SAS"/>
    <s v="900021547"/>
    <x v="476"/>
    <n v="50856"/>
    <n v="0"/>
    <n v="0"/>
    <n v="550056"/>
    <s v="Aprobado con notificación"/>
    <s v="Emitido"/>
    <x v="0"/>
    <x v="0"/>
    <x v="0"/>
    <x v="0"/>
    <x v="1"/>
    <x v="1"/>
    <s v="PAGA EN EL SISTEMA 2/03/2026"/>
  </r>
  <r>
    <s v="Factura electrónica"/>
    <s v="dde70f34eb54b0e1ace89ae1252b92de135b774cadc236461a62cb456af62cbf6da788bc2f0739cae774782acbe50de4"/>
    <x v="893"/>
    <n v="-1"/>
    <s v="FVE"/>
    <s v="23-01-2026"/>
    <s v="23-01-2026 08:50:35"/>
    <s v="900800595"/>
    <s v="Provexpress SAS"/>
    <s v="900021547"/>
    <x v="476"/>
    <n v="40084"/>
    <n v="0"/>
    <n v="0"/>
    <n v="474484"/>
    <s v="Aprobado con notificación"/>
    <s v="Emitido"/>
    <x v="0"/>
    <x v="0"/>
    <x v="0"/>
    <x v="0"/>
    <x v="1"/>
    <x v="1"/>
    <s v="PAGA EN EL SISTEMA 2/03/2026"/>
  </r>
  <r>
    <s v="Factura electrónica"/>
    <s v="f3ec393cb98690fa383c05d17da83b479692a5be699c8e0f9282415740e09da8b5f8230bf9e7f5899daccd5ae4a34227"/>
    <x v="894"/>
    <n v="-1"/>
    <s v="FVE"/>
    <s v="23-01-2026"/>
    <s v="23-01-2026 08:50:39"/>
    <s v="900800595"/>
    <s v="Provexpress SAS"/>
    <s v="800081833"/>
    <x v="441"/>
    <n v="119700"/>
    <n v="0"/>
    <n v="0"/>
    <n v="749700"/>
    <s v="Aprobado con notificación"/>
    <s v="Emitido"/>
    <x v="0"/>
    <x v="0"/>
    <x v="0"/>
    <x v="0"/>
    <x v="1"/>
    <x v="1"/>
    <s v="FACTURA PAGA EN EL SISTEMA 25/02/2026"/>
  </r>
  <r>
    <s v="Factura electrónica"/>
    <s v="d7e6e93d117e929c594d6afee41a4ae1bf378734537c414a2b4773e6d8fb7bb6c2bd9d3029e3f1347a823400b0d1b62d"/>
    <x v="895"/>
    <n v="-1"/>
    <s v="FVE"/>
    <s v="23-01-2026"/>
    <s v="23-01-2026 08:50:44"/>
    <s v="900800595"/>
    <s v="Provexpress SAS"/>
    <s v="830096376"/>
    <x v="350"/>
    <n v="119700"/>
    <n v="0"/>
    <n v="0"/>
    <n v="749700"/>
    <s v="Aprobado con notificación"/>
    <s v="Emitido"/>
    <x v="0"/>
    <x v="0"/>
    <x v="0"/>
    <x v="0"/>
    <x v="1"/>
    <x v="0"/>
    <m/>
  </r>
  <r>
    <s v="Factura electrónica"/>
    <s v="e09a291c0a020ae23a7c7a21ca3bca45d92ade208c9a99b8c988b61adc9f5be96a1a2560899ed1ec2d2e885f24593515"/>
    <x v="896"/>
    <n v="-1"/>
    <s v="FVE"/>
    <s v="23-01-2026"/>
    <s v="23-01-2026 08:50:49"/>
    <s v="900800595"/>
    <s v="Provexpress SAS"/>
    <s v="830096376"/>
    <x v="350"/>
    <n v="10070"/>
    <n v="0"/>
    <n v="0"/>
    <n v="63070"/>
    <s v="Aprobado con notificación"/>
    <s v="Emitido"/>
    <x v="0"/>
    <x v="0"/>
    <x v="0"/>
    <x v="0"/>
    <x v="1"/>
    <x v="1"/>
    <s v="FACTURA PAGA EN EL SISTEMA 24/02/2026"/>
  </r>
  <r>
    <s v="Factura electrónica"/>
    <s v="010658e2321a2078c0208f806ce48f091ebe767b05d4531f04e9710d82238ee3df38845c5672a3308a031f50b293f862"/>
    <x v="897"/>
    <n v="-1"/>
    <s v="FVE"/>
    <s v="23-01-2026"/>
    <s v="23-01-2026 08:50:53"/>
    <s v="900800595"/>
    <s v="Provexpress SAS"/>
    <s v="817001672"/>
    <x v="374"/>
    <n v="91200"/>
    <n v="0"/>
    <n v="0"/>
    <n v="571200"/>
    <s v="Aprobado con notificación"/>
    <s v="Emitido"/>
    <x v="0"/>
    <x v="0"/>
    <x v="1"/>
    <x v="0"/>
    <x v="1"/>
    <x v="0"/>
    <m/>
  </r>
  <r>
    <s v="Factura electrónica"/>
    <s v="1c0b21256aac8bc10a787bc03589daf73dbe4fa51b14a84a77d8d7c6c8f295bc1b938e0138b9b31995df750971994c21"/>
    <x v="898"/>
    <n v="-1"/>
    <s v="FVE"/>
    <s v="23-01-2026"/>
    <s v="23-01-2026 08:50:59"/>
    <s v="900800595"/>
    <s v="Provexpress SAS"/>
    <s v="900842071"/>
    <x v="349"/>
    <n v="61560"/>
    <n v="0"/>
    <n v="0"/>
    <n v="385560"/>
    <s v="Aprobado con notificación"/>
    <s v="Emitido"/>
    <x v="0"/>
    <x v="0"/>
    <x v="0"/>
    <x v="0"/>
    <x v="1"/>
    <x v="1"/>
    <s v="FACTURA PAGA EN EL SISTEMA 12/02/2026"/>
  </r>
  <r>
    <s v="Factura electrónica"/>
    <s v="9d2bf29f3a64a10906ad770a95a570a2641a4a4fa129f3909462795f2b306e7d83b6e7a54286ad0f8abb64c6f0d76273"/>
    <x v="899"/>
    <n v="-1"/>
    <s v="FVE"/>
    <s v="23-01-2026"/>
    <s v="23-01-2026 08:51:03"/>
    <s v="900800595"/>
    <s v="Provexpress SAS"/>
    <s v="900300055"/>
    <x v="477"/>
    <n v="48899.16"/>
    <n v="0"/>
    <n v="0"/>
    <n v="328239.15999999997"/>
    <s v="Aprobado con notificación"/>
    <s v="Emitido"/>
    <x v="0"/>
    <x v="0"/>
    <x v="1"/>
    <x v="0"/>
    <x v="1"/>
    <x v="0"/>
    <m/>
  </r>
  <r>
    <s v="Factura electrónica"/>
    <s v="d4f432aecbfe83f69423247574e9b508ddc2022aa20104032b0570d6003ef3d72b77dfcaa0f553e6cfc7c0a0e85882d7"/>
    <x v="900"/>
    <n v="-1"/>
    <s v="FVE"/>
    <s v="23-01-2026"/>
    <s v="23-01-2026 09:07:21"/>
    <s v="900800595"/>
    <s v="Provexpress SAS"/>
    <s v="860052634"/>
    <x v="478"/>
    <n v="5141223.3"/>
    <n v="0"/>
    <n v="0"/>
    <n v="32200293.300000001"/>
    <s v="Aprobado con notificación"/>
    <s v="Emitido"/>
    <x v="1"/>
    <x v="0"/>
    <x v="0"/>
    <x v="0"/>
    <x v="1"/>
    <x v="0"/>
    <m/>
  </r>
  <r>
    <s v="Factura electrónica"/>
    <s v="b358df5c2df8208277cdf04e2b99b07e203e8195b01797d2eb6b7f11a27ac4b98e8353d604ef63aa6b2900b914d713e2"/>
    <x v="901"/>
    <n v="-1"/>
    <s v="FVE"/>
    <s v="23-01-2026"/>
    <s v="23-01-2026 09:07:34"/>
    <s v="900800595"/>
    <s v="Provexpress SAS"/>
    <s v="900418860"/>
    <x v="331"/>
    <n v="668796.19999999995"/>
    <n v="0"/>
    <n v="0"/>
    <n v="4693776.2"/>
    <s v="Aprobado con notificación"/>
    <s v="Emitido"/>
    <x v="0"/>
    <x v="0"/>
    <x v="1"/>
    <x v="0"/>
    <x v="1"/>
    <x v="0"/>
    <m/>
  </r>
  <r>
    <s v="Factura electrónica"/>
    <s v="cd64bfeff08162054a37f7a274eedc8f47f67d36340ebbe3927ec6851e26f7c70ecfb6415393812ba57f395890fd6e4f"/>
    <x v="902"/>
    <n v="-1"/>
    <s v="FVE"/>
    <s v="23-01-2026"/>
    <s v="23-01-2026 09:36:36"/>
    <s v="900800595"/>
    <s v="Provexpress SAS"/>
    <s v="860512466"/>
    <x v="479"/>
    <n v="33022"/>
    <n v="0"/>
    <n v="0"/>
    <n v="206822"/>
    <s v="Aprobado con notificación"/>
    <s v="Emitido"/>
    <x v="0"/>
    <x v="0"/>
    <x v="0"/>
    <x v="1"/>
    <x v="1"/>
    <x v="0"/>
    <m/>
  </r>
  <r>
    <s v="Factura electrónica"/>
    <s v="d98e9d918cb969595717d621d9114c552801374f7f065badaf9e9bb92b5be0506ecb6bd33ece9fe13eb6a99af319cc55"/>
    <x v="903"/>
    <n v="-1"/>
    <s v="FVE"/>
    <s v="23-01-2026"/>
    <s v="23-01-2026 09:36:40"/>
    <s v="900800595"/>
    <s v="Provexpress SAS"/>
    <s v="860072172"/>
    <x v="452"/>
    <n v="27493"/>
    <n v="0"/>
    <n v="0"/>
    <n v="172193"/>
    <s v="Aprobado con notificación"/>
    <s v="Emitido"/>
    <x v="0"/>
    <x v="0"/>
    <x v="1"/>
    <x v="0"/>
    <x v="1"/>
    <x v="0"/>
    <m/>
  </r>
  <r>
    <s v="Factura electrónica"/>
    <s v="c6fc66794cebb501304dc3a718bc69b632ee9581e1b8b332f599bec2f1deb1fad0b16a90456e519541ef8bb32f5e855b"/>
    <x v="904"/>
    <n v="-1"/>
    <s v="FVE"/>
    <s v="23-01-2026"/>
    <s v="23-01-2026 09:36:45"/>
    <s v="900800595"/>
    <s v="Provexpress SAS"/>
    <s v="860072172"/>
    <x v="452"/>
    <n v="93708"/>
    <n v="0"/>
    <n v="0"/>
    <n v="586908"/>
    <s v="Aprobado con notificación"/>
    <s v="Emitido"/>
    <x v="0"/>
    <x v="0"/>
    <x v="1"/>
    <x v="0"/>
    <x v="1"/>
    <x v="0"/>
    <m/>
  </r>
  <r>
    <s v="Factura electrónica"/>
    <s v="bb327265193edaaba4f1cca545b4a9b3fa85cf70c6dd64902338cd2ba48b257ce455f9d3d287392611e6188e78d2d4e3"/>
    <x v="905"/>
    <n v="-1"/>
    <s v="FVE"/>
    <s v="23-01-2026"/>
    <s v="23-01-2026 09:36:50"/>
    <s v="900800595"/>
    <s v="Provexpress SAS"/>
    <s v="900250454"/>
    <x v="120"/>
    <n v="13452"/>
    <n v="0"/>
    <n v="0"/>
    <n v="84252"/>
    <s v="Aprobado con notificación"/>
    <s v="Emitido"/>
    <x v="0"/>
    <x v="0"/>
    <x v="1"/>
    <x v="0"/>
    <x v="1"/>
    <x v="0"/>
    <m/>
  </r>
  <r>
    <s v="Factura electrónica"/>
    <s v="3994a8facc3d68585bf4a3baa7d258a14e3a30abc6a2033e552ce5d677dda097e2a6e3f632d7fd5fc4bf479bb4b00ee7"/>
    <x v="906"/>
    <n v="-1"/>
    <s v="FVE"/>
    <s v="23-01-2026"/>
    <s v="23-01-2026 09:52:04"/>
    <s v="900800595"/>
    <s v="Provexpress SAS"/>
    <s v="900283577"/>
    <x v="469"/>
    <n v="133000"/>
    <n v="0"/>
    <n v="0"/>
    <n v="833000"/>
    <s v="Aprobado con notificación"/>
    <s v="Emitido"/>
    <x v="0"/>
    <x v="0"/>
    <x v="0"/>
    <x v="0"/>
    <x v="0"/>
    <x v="0"/>
    <m/>
  </r>
  <r>
    <s v="Factura electrónica"/>
    <s v="e944a701e3b7321a4a424fd48c3ddbfb8a9b7f47a4ba7483b6bd73bbe4b585d9e84f6a3bdfd7f5f1c3e35f5e56136a24"/>
    <x v="907"/>
    <n v="-1"/>
    <s v="FVE"/>
    <s v="23-01-2026"/>
    <s v="23-01-2026 09:52:08"/>
    <s v="900800595"/>
    <s v="Provexpress SAS"/>
    <s v="900348830"/>
    <x v="480"/>
    <n v="600400"/>
    <n v="0"/>
    <n v="0"/>
    <n v="3760400"/>
    <s v="Aprobado con notificación"/>
    <s v="Emitido"/>
    <x v="0"/>
    <x v="0"/>
    <x v="0"/>
    <x v="0"/>
    <x v="0"/>
    <x v="0"/>
    <m/>
  </r>
  <r>
    <s v="Factura electrónica"/>
    <s v="1681217e178404ea832131eef169ae0f6dfd22f4c270a2a7bd05b29be581eb72913531e7c73227d36ce2c1cfa6da769f"/>
    <x v="908"/>
    <n v="-1"/>
    <s v="FVE"/>
    <s v="23-01-2026"/>
    <s v="23-01-2026 10:07:23"/>
    <s v="900800595"/>
    <s v="Provexpress SAS"/>
    <s v="900665411"/>
    <x v="481"/>
    <n v="84564.44"/>
    <n v="0"/>
    <n v="0"/>
    <n v="529640.43999999994"/>
    <s v="Aprobado con notificación"/>
    <s v="Emitido"/>
    <x v="0"/>
    <x v="0"/>
    <x v="0"/>
    <x v="0"/>
    <x v="0"/>
    <x v="0"/>
    <m/>
  </r>
  <r>
    <s v="Factura electrónica"/>
    <s v="03d891f8039a076451788a0474d92d70b9d52a8569e50607938ad725f63c5e4bd62740f78985f1671f1b7bdeefc7ee76"/>
    <x v="909"/>
    <n v="-1"/>
    <s v="FVE"/>
    <s v="23-01-2026"/>
    <s v="23-01-2026 10:07:27"/>
    <s v="900800595"/>
    <s v="Provexpress SAS"/>
    <s v="900665411"/>
    <x v="481"/>
    <n v="165592.6"/>
    <n v="0"/>
    <n v="0"/>
    <n v="1037132.6"/>
    <s v="Aprobado con notificación"/>
    <s v="Emitido"/>
    <x v="0"/>
    <x v="0"/>
    <x v="0"/>
    <x v="0"/>
    <x v="0"/>
    <x v="0"/>
    <m/>
  </r>
  <r>
    <s v="Factura electrónica"/>
    <s v="9f7d4380610ec1d6234b41c16adadf56e9da3dac83798a46f5eae237cdf0b6efa505dec58932d49e0e3b6e2b2e943b60"/>
    <x v="910"/>
    <n v="-1"/>
    <s v="FVE"/>
    <s v="23-01-2026"/>
    <s v="23-01-2026 10:07:33"/>
    <s v="900800595"/>
    <s v="Provexpress SAS"/>
    <s v="900665411"/>
    <x v="481"/>
    <n v="85500"/>
    <n v="0"/>
    <n v="0"/>
    <n v="535500"/>
    <s v="Aprobado con notificación"/>
    <s v="Emitido"/>
    <x v="0"/>
    <x v="0"/>
    <x v="0"/>
    <x v="0"/>
    <x v="0"/>
    <x v="0"/>
    <m/>
  </r>
  <r>
    <s v="Factura electrónica"/>
    <s v="a4044ddb25cb27f2a9c038f23155df34d4221b7973b7b8bb38cd28c167f41a9413e19e8b3db5b8091d43dd7f9fbb31e6"/>
    <x v="911"/>
    <n v="-1"/>
    <s v="FVE"/>
    <s v="23-01-2026"/>
    <s v="23-01-2026 10:23:33"/>
    <s v="900800595"/>
    <s v="Provexpress SAS"/>
    <s v="900842071"/>
    <x v="349"/>
    <n v="114000"/>
    <n v="0"/>
    <n v="0"/>
    <n v="714000"/>
    <s v="Aprobado con notificación"/>
    <s v="Emitido"/>
    <x v="0"/>
    <x v="0"/>
    <x v="0"/>
    <x v="0"/>
    <x v="1"/>
    <x v="1"/>
    <s v="FACTURA PAGA EN EL SISTEMA 12/02/2026"/>
  </r>
  <r>
    <s v="Factura electrónica"/>
    <s v="1d7a8da6bd512616a83a02d9ebcaebc97fcf2706bec963c4d646f709cc434f992af45e72d0b22990a8c560b8c75566e6"/>
    <x v="912"/>
    <n v="-1"/>
    <s v="FVE"/>
    <s v="23-01-2026"/>
    <s v="23-01-2026 10:37:54"/>
    <s v="900800595"/>
    <s v="Provexpress SAS"/>
    <s v="800250763"/>
    <x v="482"/>
    <n v="248292"/>
    <n v="0"/>
    <n v="0"/>
    <n v="1559592"/>
    <s v="Aprobado con notificación"/>
    <s v="Emitido"/>
    <x v="0"/>
    <x v="0"/>
    <x v="0"/>
    <x v="0"/>
    <x v="1"/>
    <x v="1"/>
    <s v="FACTURA PAGA EN EL SISTEMA 30/01/2026"/>
  </r>
  <r>
    <s v="Factura electrónica"/>
    <s v="e698b6acd4cd978508aaa2ebd379a7c48944a4b9e2146dc9e89cfab9a6b24eb84aaab65cc64fe17d8933201ef596c7b0"/>
    <x v="913"/>
    <n v="-1"/>
    <s v="FVE"/>
    <s v="23-01-2026"/>
    <s v="23-01-2026 10:38:19"/>
    <s v="900800595"/>
    <s v="Provexpress SAS"/>
    <s v="900481195"/>
    <x v="483"/>
    <n v="120840"/>
    <n v="0"/>
    <n v="0"/>
    <n v="756840"/>
    <s v="Aprobado con notificación"/>
    <s v="Emitido"/>
    <x v="1"/>
    <x v="0"/>
    <x v="0"/>
    <x v="0"/>
    <x v="1"/>
    <x v="0"/>
    <m/>
  </r>
  <r>
    <s v="Factura electrónica"/>
    <s v="9e2eaf8867d253d6b918fe8415159fa69dff133cb46ea11ea2e8b4613112540f5d281eb8c5d4ec110e2d9db966be9f8e"/>
    <x v="914"/>
    <n v="-1"/>
    <s v="FVE"/>
    <s v="23-01-2026"/>
    <s v="23-01-2026 10:38:28"/>
    <s v="900800595"/>
    <s v="Provexpress SAS"/>
    <s v="830055467"/>
    <x v="90"/>
    <n v="26182"/>
    <n v="0"/>
    <n v="0"/>
    <n v="163982"/>
    <s v="Aprobado con notificación"/>
    <s v="Emitido"/>
    <x v="0"/>
    <x v="0"/>
    <x v="0"/>
    <x v="0"/>
    <x v="0"/>
    <x v="0"/>
    <m/>
  </r>
  <r>
    <s v="Factura electrónica"/>
    <s v="90cd39294df695167b456489cea4464fc61643923beb90dab1f9101df864a24f020d1b09ed0a1a2e0b41e600eba2f69e"/>
    <x v="915"/>
    <n v="-1"/>
    <s v="FVE"/>
    <s v="23-01-2026"/>
    <s v="23-01-2026 10:38:28"/>
    <s v="900800595"/>
    <s v="Provexpress SAS"/>
    <s v="900324784"/>
    <x v="429"/>
    <n v="0"/>
    <n v="0"/>
    <n v="0"/>
    <n v="3450000"/>
    <s v="Aprobado con notificación"/>
    <s v="Emitido"/>
    <x v="0"/>
    <x v="0"/>
    <x v="0"/>
    <x v="0"/>
    <x v="0"/>
    <x v="0"/>
    <m/>
  </r>
  <r>
    <s v="Factura electrónica"/>
    <s v="5899f1559cf8478ccccc578b41cf04bba0f1eeb31bd348872869fbbb203b292bcff7258fe387e0159e557b1d75a8d7d9"/>
    <x v="916"/>
    <n v="-1"/>
    <s v="FVE"/>
    <s v="23-01-2026"/>
    <s v="23-01-2026 10:38:14"/>
    <s v="900800595"/>
    <s v="Provexpress SAS"/>
    <s v="901321010"/>
    <x v="484"/>
    <n v="72200"/>
    <n v="0"/>
    <n v="0"/>
    <n v="452200"/>
    <s v="Aprobado con notificación"/>
    <s v="Emitido"/>
    <x v="0"/>
    <x v="0"/>
    <x v="0"/>
    <x v="0"/>
    <x v="0"/>
    <x v="0"/>
    <m/>
  </r>
  <r>
    <s v="Factura electrónica"/>
    <s v="77c35fb3fc28527c7d459c2bc1cfccd5efbf0518d054f14872b259d8a14035d0e3aa4044544b8acfdb2e769e8ab7439f"/>
    <x v="917"/>
    <n v="-1"/>
    <s v="FVE"/>
    <s v="23-01-2026"/>
    <s v="23-01-2026 10:53:25"/>
    <s v="900800595"/>
    <s v="Provexpress SAS"/>
    <s v="800251087"/>
    <x v="485"/>
    <n v="160196.09"/>
    <n v="0"/>
    <n v="0"/>
    <n v="1228387.0900000001"/>
    <s v="Aprobado con notificación"/>
    <s v="Emitido"/>
    <x v="0"/>
    <x v="0"/>
    <x v="0"/>
    <x v="0"/>
    <x v="0"/>
    <x v="0"/>
    <m/>
  </r>
  <r>
    <s v="Factura electrónica"/>
    <s v="e431633f1bb0ef66aa28d0ad569e77d8f1e3e9e3fea8c644689128ba1990d7df8c02c241cb3518cb4090b89f16e44dcd"/>
    <x v="918"/>
    <n v="-1"/>
    <s v="FVE"/>
    <s v="23-01-2026"/>
    <s v="23-01-2026 10:53:29"/>
    <s v="900800595"/>
    <s v="Provexpress SAS"/>
    <s v="860006333"/>
    <x v="486"/>
    <n v="2163150"/>
    <n v="0"/>
    <n v="0"/>
    <n v="13548150"/>
    <s v="Aprobado con notificación"/>
    <s v="Emitido"/>
    <x v="0"/>
    <x v="0"/>
    <x v="0"/>
    <x v="0"/>
    <x v="1"/>
    <x v="1"/>
    <s v="FACTURA PAGA EN EL SISTEMA 19/02/2026"/>
  </r>
  <r>
    <s v="Factura electrónica"/>
    <s v="5747e093163896eb4d377d2f30785d9b9a4bc2655408bdfe51a84a3fe9ac8783b5275e5889815e2a5df67c2ea2ada33d"/>
    <x v="919"/>
    <n v="-1"/>
    <s v="FVE"/>
    <s v="23-01-2026"/>
    <s v="23-01-2026 11:08:45"/>
    <s v="900800595"/>
    <s v="Provexpress SAS"/>
    <s v="900671249"/>
    <x v="166"/>
    <n v="161813.88"/>
    <n v="0"/>
    <n v="0"/>
    <n v="1013465.88"/>
    <s v="Aprobado con notificación"/>
    <s v="Emitido"/>
    <x v="0"/>
    <x v="0"/>
    <x v="0"/>
    <x v="0"/>
    <x v="0"/>
    <x v="0"/>
    <m/>
  </r>
  <r>
    <s v="Factura electrónica"/>
    <s v="63d8b3a0994624cba0099372f6c2af2a6501d1357f1a9c1cee2f871c0680eea762062e76e7b658e453e85ae0afba91c1"/>
    <x v="920"/>
    <n v="-1"/>
    <s v="FVE"/>
    <s v="23-01-2026"/>
    <s v="23-01-2026 11:08:51"/>
    <s v="900800595"/>
    <s v="Provexpress SAS"/>
    <s v="1019006851"/>
    <x v="487"/>
    <n v="19000"/>
    <n v="0"/>
    <n v="0"/>
    <n v="119000"/>
    <s v="Aprobado con notificación"/>
    <s v="Emitido"/>
    <x v="0"/>
    <x v="0"/>
    <x v="0"/>
    <x v="0"/>
    <x v="1"/>
    <x v="1"/>
    <s v="FACTURA PAGA EN EL SISTEMA 4/02/2026"/>
  </r>
  <r>
    <s v="Factura electrónica"/>
    <s v="f1a5f13568cba27be8e679ce0992ac83fd00f11c9346379c5353fe6d4b832675a64197c783a8a55b8b7ba77a0fa0e003"/>
    <x v="921"/>
    <n v="-1"/>
    <s v="FVE"/>
    <s v="23-01-2026"/>
    <s v="23-01-2026 11:09:53"/>
    <s v="900800595"/>
    <s v="Provexpress SAS"/>
    <s v="860073087"/>
    <x v="488"/>
    <n v="306164.47999999998"/>
    <n v="0"/>
    <n v="0"/>
    <n v="2217556.48"/>
    <s v="Aprobado con notificación"/>
    <s v="Emitido"/>
    <x v="0"/>
    <x v="0"/>
    <x v="0"/>
    <x v="0"/>
    <x v="0"/>
    <x v="0"/>
    <m/>
  </r>
  <r>
    <s v="Factura electrónica"/>
    <s v="aa26435a1eba4832978c0c3cc6bbe93d7d942a25e93a3bb1972e97e6e5b7d2f2432721074951f02900d167e95788d58a"/>
    <x v="922"/>
    <n v="-1"/>
    <s v="FVE"/>
    <s v="23-01-2026"/>
    <s v="23-01-2026 11:24:10"/>
    <s v="900800595"/>
    <s v="Provexpress SAS"/>
    <s v="900860858"/>
    <x v="489"/>
    <n v="14333.22"/>
    <n v="0"/>
    <n v="0"/>
    <n v="89771.22"/>
    <s v="Aprobado con notificación"/>
    <s v="Emitido"/>
    <x v="0"/>
    <x v="0"/>
    <x v="0"/>
    <x v="0"/>
    <x v="1"/>
    <x v="1"/>
    <s v="PAGA EN SISTEMA 25/02/2026"/>
  </r>
  <r>
    <s v="Factura electrónica"/>
    <s v="d7dd752147a9bae815e3e05cca0bbcfe942b6297b7db4f582afe09814ee9367e77d7222481acd7246f464f73ca2b829d"/>
    <x v="923"/>
    <n v="-1"/>
    <s v="FVE"/>
    <s v="23-01-2026"/>
    <s v="23-01-2026 11:24:13"/>
    <s v="900800595"/>
    <s v="Provexpress SAS"/>
    <s v="830020915"/>
    <x v="490"/>
    <n v="161434.99"/>
    <n v="0"/>
    <n v="0"/>
    <n v="1234355.99"/>
    <s v="Aprobado con notificación"/>
    <s v="Emitido"/>
    <x v="0"/>
    <x v="0"/>
    <x v="0"/>
    <x v="0"/>
    <x v="0"/>
    <x v="0"/>
    <m/>
  </r>
  <r>
    <s v="Factura electrónica"/>
    <s v="dba762eef91c12d2f03b5526fced11820419b20f4f8512a4eeadf2da0cb88035d433e5e96ce087932a97289ee6419217"/>
    <x v="924"/>
    <n v="-1"/>
    <s v="FVE"/>
    <s v="23-01-2026"/>
    <s v="23-01-2026 11:24:16"/>
    <s v="900800595"/>
    <s v="Provexpress SAS"/>
    <s v="830015820"/>
    <x v="491"/>
    <n v="267524.67"/>
    <n v="0"/>
    <n v="0"/>
    <n v="1706717.67"/>
    <s v="Aprobado con notificación"/>
    <s v="Emitido"/>
    <x v="0"/>
    <x v="0"/>
    <x v="0"/>
    <x v="0"/>
    <x v="1"/>
    <x v="1"/>
    <s v="FACTURA PAGA EN EL SISTEMA 25/02/2026"/>
  </r>
  <r>
    <s v="Factura electrónica"/>
    <s v="9bd60979c82767e3c595d2106a8e99d3d99a669f63ab534eee4a91202e08faf1357906c306480b21e97742cb385ab934"/>
    <x v="925"/>
    <n v="-1"/>
    <s v="FVE"/>
    <s v="23-01-2026"/>
    <s v="23-01-2026 11:39:27"/>
    <s v="900800595"/>
    <s v="Provexpress SAS"/>
    <s v="900711448"/>
    <x v="492"/>
    <n v="70345.98"/>
    <n v="0"/>
    <n v="0"/>
    <n v="440587.98"/>
    <s v="Aprobado con notificación"/>
    <s v="Emitido"/>
    <x v="0"/>
    <x v="0"/>
    <x v="0"/>
    <x v="1"/>
    <x v="1"/>
    <x v="0"/>
    <m/>
  </r>
  <r>
    <s v="Factura electrónica"/>
    <s v="7f1bebda329167ad73f22ed0bbad8872244612b3ea255d9ddff69465ed79e577dda15e3fd02a8367d95470757b1ac5fa"/>
    <x v="926"/>
    <n v="-1"/>
    <s v="FVE"/>
    <s v="23-01-2026"/>
    <s v="23-01-2026 11:39:32"/>
    <s v="900800595"/>
    <s v="Provexpress SAS"/>
    <s v="860066942"/>
    <x v="66"/>
    <n v="41800"/>
    <n v="0"/>
    <n v="0"/>
    <n v="261800"/>
    <s v="Aprobado con notificación"/>
    <s v="Emitido"/>
    <x v="0"/>
    <x v="0"/>
    <x v="0"/>
    <x v="0"/>
    <x v="1"/>
    <x v="1"/>
    <s v="FACTURA PAGA EN EL SISTEMA 23/02/2026"/>
  </r>
  <r>
    <s v="Factura electrónica"/>
    <s v="35a41a65b3fe21a5e0234d241822509583e2d7f2a7b40b54b2cb77a0694fe4a75b0bd7505e8654eb6594530958cef826"/>
    <x v="927"/>
    <n v="-1"/>
    <s v="FVE"/>
    <s v="23-01-2026"/>
    <s v="23-01-2026 11:54:42"/>
    <s v="900800595"/>
    <s v="Provexpress SAS"/>
    <s v="900383203"/>
    <x v="73"/>
    <n v="6916138.7000000002"/>
    <n v="0"/>
    <n v="0"/>
    <n v="43316868.700000003"/>
    <s v="Aprobado con notificación"/>
    <s v="Emitido"/>
    <x v="0"/>
    <x v="0"/>
    <x v="0"/>
    <x v="0"/>
    <x v="0"/>
    <x v="0"/>
    <m/>
  </r>
  <r>
    <s v="Factura electrónica"/>
    <s v="941ffbb5010065e0b1b1de122c12cdbeb2e8ae630516ff2a1ed9cc809f168eb1d879f16e4960504e1cf9be3689a7323c"/>
    <x v="928"/>
    <n v="-1"/>
    <s v="FVE"/>
    <s v="23-01-2026"/>
    <s v="23-01-2026 11:54:47"/>
    <s v="900800595"/>
    <s v="Provexpress SAS"/>
    <s v="860072172"/>
    <x v="452"/>
    <n v="43700"/>
    <n v="0"/>
    <n v="0"/>
    <n v="273700"/>
    <s v="Aprobado con notificación"/>
    <s v="Emitido"/>
    <x v="0"/>
    <x v="0"/>
    <x v="1"/>
    <x v="0"/>
    <x v="1"/>
    <x v="0"/>
    <m/>
  </r>
  <r>
    <s v="Factura electrónica"/>
    <s v="ecdc2d5fc2d338f5b836b23b58425d53f3c7ffce1968ba6652b5da5531dd0b338bc61ea5a13647c0886d2833130d0c5a"/>
    <x v="929"/>
    <n v="-1"/>
    <s v="FVE"/>
    <s v="23-01-2026"/>
    <s v="23-01-2026 11:54:52"/>
    <s v="900800595"/>
    <s v="Provexpress SAS"/>
    <s v="830124633"/>
    <x v="493"/>
    <n v="15200"/>
    <n v="0"/>
    <n v="0"/>
    <n v="95200"/>
    <s v="Aprobado con notificación"/>
    <s v="Emitido"/>
    <x v="1"/>
    <x v="0"/>
    <x v="0"/>
    <x v="0"/>
    <x v="1"/>
    <x v="0"/>
    <m/>
  </r>
  <r>
    <s v="Factura electrónica"/>
    <s v="a7386342305b14d1570ea649900d21109128f55e8d50099185a8d0374a0ce577beb812e687acdfac93a6873363aae8bc"/>
    <x v="930"/>
    <n v="-1"/>
    <s v="FVE"/>
    <s v="23-01-2026"/>
    <s v="23-01-2026 12:10:16"/>
    <s v="900800595"/>
    <s v="Provexpress SAS"/>
    <s v="830055813"/>
    <x v="494"/>
    <n v="46931.9"/>
    <n v="0"/>
    <n v="0"/>
    <n v="293941.90000000002"/>
    <s v="Aprobado con notificación"/>
    <s v="Emitido"/>
    <x v="0"/>
    <x v="0"/>
    <x v="0"/>
    <x v="0"/>
    <x v="1"/>
    <x v="1"/>
    <s v="FACTURA PAGA EN EL SISTEMA 12/02/2026"/>
  </r>
  <r>
    <s v="Factura electrónica"/>
    <s v="c0b2db6288fe005efdfce43abb4fe5f5c6ef9eaf05175ecfe66d04767acf72edc7c290e5c83214f6f29699e044ed9da6"/>
    <x v="931"/>
    <n v="-1"/>
    <s v="FVE"/>
    <s v="23-01-2026"/>
    <s v="23-01-2026 12:25:32"/>
    <s v="900800595"/>
    <s v="Provexpress SAS"/>
    <s v="860017005"/>
    <x v="464"/>
    <n v="136629"/>
    <n v="0"/>
    <n v="0"/>
    <n v="855729"/>
    <s v="Aprobado con notificación"/>
    <s v="Emitido"/>
    <x v="1"/>
    <x v="0"/>
    <x v="0"/>
    <x v="0"/>
    <x v="1"/>
    <x v="0"/>
    <m/>
  </r>
  <r>
    <s v="Factura electrónica"/>
    <s v="406352a00d4063759a1ec4465725084d6e7d23e0c9e68e4db292782ea9c95b222aa9a392b0a45304a55c27db1abc3110"/>
    <x v="932"/>
    <n v="-1"/>
    <s v="FVE"/>
    <s v="23-01-2026"/>
    <s v="23-01-2026 12:25:37"/>
    <s v="900800595"/>
    <s v="Provexpress SAS"/>
    <s v="800114672"/>
    <x v="154"/>
    <n v="25885.599999999999"/>
    <n v="0"/>
    <n v="0"/>
    <n v="305835.59999999998"/>
    <s v="Aprobado con notificación"/>
    <s v="Emitido"/>
    <x v="0"/>
    <x v="0"/>
    <x v="1"/>
    <x v="0"/>
    <x v="1"/>
    <x v="0"/>
    <m/>
  </r>
  <r>
    <s v="Factura electrónica"/>
    <s v="f118cc6f28fc94d2e90836f0776744bd59cdba3e82c6cfa2f77ae6423c8b4f6558a35d720bfefa62c5396f00ba2df8e6"/>
    <x v="933"/>
    <n v="-1"/>
    <s v="FVE"/>
    <s v="23-01-2026"/>
    <s v="23-01-2026 13:11:07"/>
    <s v="900800595"/>
    <s v="Provexpress SAS"/>
    <s v="830109997"/>
    <x v="119"/>
    <n v="39900"/>
    <n v="0"/>
    <n v="0"/>
    <n v="249900"/>
    <s v="Aprobado con notificación"/>
    <s v="Emitido"/>
    <x v="0"/>
    <x v="0"/>
    <x v="0"/>
    <x v="0"/>
    <x v="1"/>
    <x v="1"/>
    <s v="FACTURA PAGA EN EL SISTEMA 19/02/2026"/>
  </r>
  <r>
    <s v="Factura electrónica"/>
    <s v="c84ae59f8d3cad4348313c7d06b432a795e9399f237938c1d404fb3508fe57e2a1cab2485cd84c3df95cebf4b9c8375b"/>
    <x v="934"/>
    <n v="-1"/>
    <s v="FVE"/>
    <s v="23-01-2026"/>
    <s v="23-01-2026 13:11:12"/>
    <s v="900800595"/>
    <s v="Provexpress SAS"/>
    <s v="860003437"/>
    <x v="495"/>
    <n v="29127"/>
    <n v="0"/>
    <n v="0"/>
    <n v="182427"/>
    <s v="Aprobado con notificación"/>
    <s v="Emitido"/>
    <x v="0"/>
    <x v="0"/>
    <x v="0"/>
    <x v="0"/>
    <x v="1"/>
    <x v="1"/>
    <s v="FACTURA PAGA EN EL SISTEMA 30/01/2026"/>
  </r>
  <r>
    <s v="Factura electrónica"/>
    <s v="5caa2f4a07d7183d388028fcaff5645dbeda498dbc8005c187eb71b188cd384da0f54780c8eda8181e9406765eeca701"/>
    <x v="935"/>
    <n v="-1"/>
    <s v="FVE"/>
    <s v="23-01-2026"/>
    <s v="23-01-2026 14:41:56"/>
    <s v="900800595"/>
    <s v="Provexpress SAS"/>
    <s v="900200435"/>
    <x v="258"/>
    <n v="150714.07999999999"/>
    <n v="0"/>
    <n v="0"/>
    <n v="943946.08"/>
    <s v="Aprobado con notificación"/>
    <s v="Emitido"/>
    <x v="0"/>
    <x v="0"/>
    <x v="0"/>
    <x v="0"/>
    <x v="1"/>
    <x v="1"/>
    <s v="PAGA EN EL SISTEMA 9/02/2026"/>
  </r>
  <r>
    <s v="Factura electrónica"/>
    <s v="759bdda111b866a35e7b76c98971b415a9f3347316fd6b3dd6c87602f3b99d621e55abf3d777ddfb01ed5a8fb31fbd7a"/>
    <x v="936"/>
    <n v="-1"/>
    <s v="FVE"/>
    <s v="23-01-2026"/>
    <s v="23-01-2026 14:42:00"/>
    <s v="900800595"/>
    <s v="Provexpress SAS"/>
    <s v="800149384"/>
    <x v="6"/>
    <n v="373204.65"/>
    <n v="0"/>
    <n v="0"/>
    <n v="2337439.65"/>
    <s v="Aprobado con notificación"/>
    <s v="Emitido"/>
    <x v="0"/>
    <x v="0"/>
    <x v="1"/>
    <x v="0"/>
    <x v="1"/>
    <x v="0"/>
    <m/>
  </r>
  <r>
    <s v="Factura electrónica"/>
    <s v="a523bd366ec2ab8b63d6f1a4f0db1673ea5e3b00ebd5ff63b6588eabf68779d48d041dffd9c07f48b04a73e306b1793f"/>
    <x v="937"/>
    <n v="-1"/>
    <s v="FVE"/>
    <s v="23-01-2026"/>
    <s v="23-01-2026 14:42:05"/>
    <s v="900800595"/>
    <s v="Provexpress SAS"/>
    <s v="800149384"/>
    <x v="6"/>
    <n v="373204.65"/>
    <n v="0"/>
    <n v="0"/>
    <n v="2337439.65"/>
    <s v="Aprobado con notificación"/>
    <s v="Emitido"/>
    <x v="0"/>
    <x v="0"/>
    <x v="1"/>
    <x v="0"/>
    <x v="1"/>
    <x v="0"/>
    <m/>
  </r>
  <r>
    <s v="Factura electrónica"/>
    <s v="dd88bb32874f8437d258fca4b208eff5d8d128af7c612618088ca05c02b28373d3dfea7edefd7ad3831ec68fbb399ed2"/>
    <x v="938"/>
    <n v="-1"/>
    <s v="FVE"/>
    <s v="23-01-2026"/>
    <s v="23-01-2026 14:42:10"/>
    <s v="900800595"/>
    <s v="Provexpress SAS"/>
    <s v="800251440"/>
    <x v="13"/>
    <n v="746409.3"/>
    <n v="0"/>
    <n v="0"/>
    <n v="4674879.3"/>
    <s v="Aprobado con notificación"/>
    <s v="Emitido"/>
    <x v="0"/>
    <x v="0"/>
    <x v="1"/>
    <x v="0"/>
    <x v="1"/>
    <x v="0"/>
    <m/>
  </r>
  <r>
    <s v="Factura electrónica"/>
    <s v="e007b9d62a775e5ab7478aeab351435f0d76d677934737f445bb52c7656b435154c3417b8dbf979591e99826e84f584a"/>
    <x v="939"/>
    <n v="-1"/>
    <s v="FVE"/>
    <s v="23-01-2026"/>
    <s v="23-01-2026 15:12:28"/>
    <s v="900800595"/>
    <s v="Provexpress SAS"/>
    <s v="900255472"/>
    <x v="496"/>
    <n v="383040"/>
    <n v="0"/>
    <n v="0"/>
    <n v="2399040"/>
    <s v="Aprobado con notificación"/>
    <s v="Emitido"/>
    <x v="0"/>
    <x v="0"/>
    <x v="0"/>
    <x v="0"/>
    <x v="1"/>
    <x v="1"/>
    <s v="FACTURA PAGA EN EL SISTEMA 29/01/2026"/>
  </r>
  <r>
    <s v="Factura electrónica"/>
    <s v="9c1815fdf1faba948a10ffed8a1814f92f6ef570a235c19235311d84e3d20c08ffee83630d3f36ef9d0633e977c18262"/>
    <x v="940"/>
    <n v="-1"/>
    <s v="FVE"/>
    <s v="23-01-2026"/>
    <s v="23-01-2026 15:12:33"/>
    <s v="900800595"/>
    <s v="Provexpress SAS"/>
    <s v="900339803"/>
    <x v="497"/>
    <n v="62597.78"/>
    <n v="0"/>
    <n v="0"/>
    <n v="392059.78"/>
    <s v="Aprobado con notificación"/>
    <s v="Emitido"/>
    <x v="0"/>
    <x v="0"/>
    <x v="0"/>
    <x v="0"/>
    <x v="1"/>
    <x v="1"/>
    <s v="PAGA EN SISTEMA 27/02/2026"/>
  </r>
  <r>
    <s v="Factura electrónica"/>
    <s v="e8aa19017e92cae85aa58207bccbf4e42f88dfd0897bb64e548775f50549b31b7a3ff49038603d17f9bb0ee8909f68e9"/>
    <x v="941"/>
    <n v="-1"/>
    <s v="FVE"/>
    <s v="23-01-2026"/>
    <s v="23-01-2026 15:12:37"/>
    <s v="900800595"/>
    <s v="Provexpress SAS"/>
    <s v="900966568"/>
    <x v="439"/>
    <n v="2772670"/>
    <n v="0"/>
    <n v="0"/>
    <n v="17365670"/>
    <s v="Aprobado con notificación"/>
    <s v="Emitido"/>
    <x v="1"/>
    <x v="0"/>
    <x v="0"/>
    <x v="0"/>
    <x v="1"/>
    <x v="0"/>
    <m/>
  </r>
  <r>
    <s v="Factura electrónica"/>
    <s v="e0d455e72be8aafba9b0b62cb281b5c6cfae71c56e34a75ace97f9c2de86326afc91751866526711cb11e80ebf7122d6"/>
    <x v="942"/>
    <n v="-1"/>
    <s v="FVE"/>
    <s v="23-01-2026"/>
    <s v="23-01-2026 15:27:49"/>
    <s v="900800595"/>
    <s v="Provexpress SAS"/>
    <s v="900449844"/>
    <x v="498"/>
    <n v="244625"/>
    <n v="0"/>
    <n v="0"/>
    <n v="1532125"/>
    <s v="Aprobado con notificación"/>
    <s v="Emitido"/>
    <x v="0"/>
    <x v="0"/>
    <x v="0"/>
    <x v="0"/>
    <x v="0"/>
    <x v="0"/>
    <m/>
  </r>
  <r>
    <s v="Factura electrónica"/>
    <s v="06e35df2cef561a5d41ceb9f178b933d494ebf78e9e1f35d8dd6ee29e661be9aae006bea92bdd4cda099f27d4855c854"/>
    <x v="943"/>
    <n v="-1"/>
    <s v="FVE"/>
    <s v="23-01-2026"/>
    <s v="23-01-2026 15:27:54"/>
    <s v="900800595"/>
    <s v="Provexpress SAS"/>
    <s v="830136065"/>
    <x v="499"/>
    <n v="774250"/>
    <n v="0"/>
    <n v="0"/>
    <n v="4849250"/>
    <s v="Aprobado con notificación"/>
    <s v="Emitido"/>
    <x v="1"/>
    <x v="0"/>
    <x v="0"/>
    <x v="0"/>
    <x v="1"/>
    <x v="0"/>
    <m/>
  </r>
  <r>
    <s v="Factura electrónica"/>
    <s v="48ed4093b6121c5169e730ce4649baf1b9e941839dbd3fa992b89d66552458589d47a64f88ddf9a6f4717e9709c2f871"/>
    <x v="944"/>
    <n v="-1"/>
    <s v="FVE"/>
    <s v="23-01-2026"/>
    <s v="23-01-2026 15:43:09"/>
    <s v="900800595"/>
    <s v="Provexpress SAS"/>
    <s v="901541749"/>
    <x v="500"/>
    <n v="22800"/>
    <n v="0"/>
    <n v="0"/>
    <n v="142800"/>
    <s v="Aprobado con notificación"/>
    <s v="Emitido"/>
    <x v="0"/>
    <x v="0"/>
    <x v="0"/>
    <x v="0"/>
    <x v="0"/>
    <x v="0"/>
    <m/>
  </r>
  <r>
    <s v="Factura electrónica"/>
    <s v="fa996f2a24e4b9a457bf2ee8e024ebff4fa2b330581cc4279f8b38cf89763100358ca9f1046bae94425a9aca14e0c617"/>
    <x v="945"/>
    <n v="-1"/>
    <s v="FVE"/>
    <s v="23-01-2026"/>
    <s v="23-01-2026 15:43:14"/>
    <s v="900800595"/>
    <s v="Provexpress SAS"/>
    <s v="860008010"/>
    <x v="501"/>
    <n v="42237"/>
    <n v="0"/>
    <n v="0"/>
    <n v="264537"/>
    <s v="Aprobado con notificación"/>
    <s v="Emitido"/>
    <x v="0"/>
    <x v="0"/>
    <x v="0"/>
    <x v="0"/>
    <x v="1"/>
    <x v="1"/>
    <s v="FACTURA PAGA EN EL SISTEMA 30/01/2026"/>
  </r>
  <r>
    <s v="Factura electrónica"/>
    <s v="6e47bcbdd20d6321a2a0e72f612b92255f77055ea97133318ec1133024b26008502d39a803e9c2aff54b6cc0bdc86881"/>
    <x v="946"/>
    <n v="-1"/>
    <s v="FVE"/>
    <s v="23-01-2026"/>
    <s v="23-01-2026 15:58:27"/>
    <s v="900800595"/>
    <s v="Provexpress SAS"/>
    <s v="830099238"/>
    <x v="436"/>
    <n v="1058286.02"/>
    <n v="0"/>
    <n v="0"/>
    <n v="9668868.3800000008"/>
    <s v="Aprobado con notificación"/>
    <s v="Emitido"/>
    <x v="0"/>
    <x v="0"/>
    <x v="0"/>
    <x v="0"/>
    <x v="0"/>
    <x v="0"/>
    <m/>
  </r>
  <r>
    <s v="Factura electrónica"/>
    <s v="c1f7b3e8c304519f8a28617b9dbfde4f75114c38b482f1a0a41ac8e163e37b077acfa8cc3814d2f744c41f2ba36c8c33"/>
    <x v="947"/>
    <n v="-1"/>
    <s v="FVE"/>
    <s v="23-01-2026"/>
    <s v="23-01-2026 15:58:32"/>
    <s v="900800595"/>
    <s v="Provexpress SAS"/>
    <s v="805001149"/>
    <x v="502"/>
    <n v="138320"/>
    <n v="0"/>
    <n v="0"/>
    <n v="866320"/>
    <s v="Aprobado con notificación"/>
    <s v="Emitido"/>
    <x v="0"/>
    <x v="0"/>
    <x v="0"/>
    <x v="0"/>
    <x v="1"/>
    <x v="1"/>
    <s v="FACTURA PAGA EN EL SISTEMA 26/01/2026"/>
  </r>
  <r>
    <s v="Factura electrónica"/>
    <s v="d39061165dbdf0e94648a981a5f54c7dffee2981a4dda7dee9a9eb40054bba170e8c3b915e1a570d2252aa78bdf5b568"/>
    <x v="948"/>
    <n v="-1"/>
    <s v="FVE"/>
    <s v="23-01-2026"/>
    <s v="23-01-2026 15:58:36"/>
    <s v="900800595"/>
    <s v="Provexpress SAS"/>
    <s v="860007336"/>
    <x v="187"/>
    <n v="31280.46"/>
    <n v="0"/>
    <n v="0"/>
    <n v="195914.46"/>
    <s v="Aprobado con notificación"/>
    <s v="Emitido"/>
    <x v="0"/>
    <x v="0"/>
    <x v="1"/>
    <x v="0"/>
    <x v="1"/>
    <x v="0"/>
    <m/>
  </r>
  <r>
    <s v="Factura electrónica"/>
    <s v="319d8bd4324f55a9e4d390e01557686862ff875d27981f46a89d056fb55af78328377fb695b23ff8312ff8889103955f"/>
    <x v="949"/>
    <n v="-1"/>
    <s v="FVE"/>
    <s v="23-01-2026"/>
    <s v="23-01-2026 15:58:40"/>
    <s v="900800595"/>
    <s v="Provexpress SAS"/>
    <s v="890333023"/>
    <x v="503"/>
    <n v="86309.59"/>
    <n v="0"/>
    <n v="0"/>
    <n v="540570.59"/>
    <s v="Aprobado con notificación"/>
    <s v="Emitido"/>
    <x v="1"/>
    <x v="0"/>
    <x v="0"/>
    <x v="0"/>
    <x v="1"/>
    <x v="0"/>
    <m/>
  </r>
  <r>
    <s v="Factura electrónica"/>
    <s v="1d7f4655a46411abbee38e34e85e866ce93400ed1ffaef02baa18d71179c96ba231faff06be8570f73e8dbf2756954c9"/>
    <x v="950"/>
    <n v="-1"/>
    <s v="FVE"/>
    <s v="23-01-2026"/>
    <s v="23-01-2026 16:13:58"/>
    <s v="900800595"/>
    <s v="Provexpress SAS"/>
    <s v="860001615"/>
    <x v="405"/>
    <n v="31350"/>
    <n v="0"/>
    <n v="0"/>
    <n v="196350"/>
    <s v="Aprobado con notificación"/>
    <s v="Emitido"/>
    <x v="0"/>
    <x v="0"/>
    <x v="0"/>
    <x v="0"/>
    <x v="1"/>
    <x v="1"/>
    <s v="FACTURA PAGA EN EL SISTEMA 19/02/2026"/>
  </r>
  <r>
    <s v="Factura electrónica"/>
    <s v="1f414b6f99427f322686c1ea32d2fda370150726ed619e20937bd34783584636eb6070b985ad9f3b77401046695cda87"/>
    <x v="951"/>
    <n v="-1"/>
    <s v="FVE"/>
    <s v="23-01-2026"/>
    <s v="23-01-2026 16:14:03"/>
    <s v="900800595"/>
    <s v="Provexpress SAS"/>
    <s v="860001615"/>
    <x v="405"/>
    <n v="31350"/>
    <n v="0"/>
    <n v="0"/>
    <n v="196350"/>
    <s v="Aprobado con notificación"/>
    <s v="Emitido"/>
    <x v="0"/>
    <x v="0"/>
    <x v="0"/>
    <x v="0"/>
    <x v="1"/>
    <x v="1"/>
    <s v="FACTURA PAGA EN EL SISTEMA 19/02/2026"/>
  </r>
  <r>
    <s v="Factura electrónica"/>
    <s v="e6b1e3b7b4b951f665b4b4b16bbd5b6c0133d3909a2866e35235c02624fd55f9c5adf1ceabf8cb77e30a6024f05e1ec3"/>
    <x v="952"/>
    <n v="-1"/>
    <s v="FVE"/>
    <s v="23-01-2026"/>
    <s v="23-01-2026 16:14:10"/>
    <s v="900800595"/>
    <s v="Provexpress SAS"/>
    <s v="830099238"/>
    <x v="436"/>
    <n v="2567689.0299999998"/>
    <n v="0"/>
    <n v="0"/>
    <n v="19101995.030000001"/>
    <s v="Aprobado con notificación"/>
    <s v="Emitido"/>
    <x v="0"/>
    <x v="0"/>
    <x v="0"/>
    <x v="0"/>
    <x v="0"/>
    <x v="0"/>
    <m/>
  </r>
  <r>
    <s v="Factura electrónica"/>
    <s v="fe779472864dacffc80b89523bd1307f6f88bcf97ebdb57aeafb232ff750cf242634248a3b31a68721df5e2df9ec798f"/>
    <x v="953"/>
    <n v="-1"/>
    <s v="FVE"/>
    <s v="23-01-2026"/>
    <s v="23-01-2026 16:14:14"/>
    <s v="900800595"/>
    <s v="Provexpress SAS"/>
    <s v="830047497"/>
    <x v="504"/>
    <n v="89110"/>
    <n v="0"/>
    <n v="0"/>
    <n v="558110"/>
    <s v="Aprobado con notificación"/>
    <s v="Emitido"/>
    <x v="0"/>
    <x v="0"/>
    <x v="0"/>
    <x v="0"/>
    <x v="1"/>
    <x v="1"/>
    <s v="FACTURA PAGA EN EL SISTEMA 28/01/2026"/>
  </r>
  <r>
    <s v="Factura electrónica"/>
    <s v="5126b8b24777d1ed831ede46ebebb8c3c57306f49acaac17c2dc8dc1da994bc66dce5b0c8dc87f8e4ea4d9abc54b496b"/>
    <x v="954"/>
    <n v="-1"/>
    <s v="FVE"/>
    <s v="23-01-2026"/>
    <s v="23-01-2026 16:44:33"/>
    <s v="900800595"/>
    <s v="Provexpress SAS"/>
    <s v="830133183"/>
    <x v="505"/>
    <n v="47500"/>
    <n v="0"/>
    <n v="0"/>
    <n v="297500"/>
    <s v="Aprobado con notificación"/>
    <s v="Emitido"/>
    <x v="0"/>
    <x v="0"/>
    <x v="0"/>
    <x v="0"/>
    <x v="1"/>
    <x v="1"/>
    <s v="FACTURA PAGA EN EL SISTEMA 3/02/2026"/>
  </r>
  <r>
    <s v="Factura electrónica"/>
    <s v="21771add16525bbce31a863db9a07a39bd03e32a3e09939260684a3dc60743be86c4a20d1960c54bca8e91bf35d3b528"/>
    <x v="955"/>
    <n v="-1"/>
    <s v="FVE"/>
    <s v="26-01-2026"/>
    <s v="26-01-2026 09:15:31"/>
    <s v="900800595"/>
    <s v="Provexpress SAS"/>
    <s v="860007336"/>
    <x v="187"/>
    <n v="8265"/>
    <n v="0"/>
    <n v="0"/>
    <n v="51765"/>
    <s v="Aprobado con notificación"/>
    <s v="Emitido"/>
    <x v="0"/>
    <x v="0"/>
    <x v="1"/>
    <x v="0"/>
    <x v="1"/>
    <x v="0"/>
    <m/>
  </r>
  <r>
    <s v="Factura electrónica"/>
    <s v="f52402521740d7efbf8cfb77dac27a7d1ee72658c5b30a691fc2835568d08a2ae23b743672e50f01a7a536cefc8138d6"/>
    <x v="956"/>
    <n v="-1"/>
    <s v="FVE"/>
    <s v="26-01-2026"/>
    <s v="26-01-2026 09:44:39"/>
    <s v="900800595"/>
    <s v="Provexpress SAS"/>
    <s v="901101222"/>
    <x v="506"/>
    <n v="2496600"/>
    <n v="0"/>
    <n v="0"/>
    <n v="19675600"/>
    <s v="Aprobado con notificación"/>
    <s v="Emitido"/>
    <x v="0"/>
    <x v="0"/>
    <x v="0"/>
    <x v="0"/>
    <x v="1"/>
    <x v="1"/>
    <s v="PAGA EN SISTEMA 25/02/2026"/>
  </r>
  <r>
    <s v="Factura electrónica"/>
    <s v="c82520f2a4b811159162f860f9b0f57da7139212c4c7c0ce22fcad7ff1a8ad2567966098d8a1becd99af3bbf32f3a0de"/>
    <x v="957"/>
    <n v="-1"/>
    <s v="FVE"/>
    <s v="26-01-2026"/>
    <s v="26-01-2026 09:45:56"/>
    <s v="900800595"/>
    <s v="Provexpress SAS"/>
    <s v="900025140"/>
    <x v="507"/>
    <n v="38760"/>
    <n v="0"/>
    <n v="0"/>
    <n v="242760"/>
    <s v="Aprobado con notificación"/>
    <s v="Emitido"/>
    <x v="0"/>
    <x v="0"/>
    <x v="0"/>
    <x v="0"/>
    <x v="1"/>
    <x v="1"/>
    <s v="PAGA EN SISTEMA 24/02/2026"/>
  </r>
  <r>
    <s v="Factura electrónica"/>
    <s v="fca30257d177a5709fd22a296e10e611266ce2d02f67dfc73434e04f594a87af3781ac53abecd0e4a87361059b486b03"/>
    <x v="958"/>
    <n v="-1"/>
    <s v="FVE"/>
    <s v="26-01-2026"/>
    <s v="26-01-2026 10:00:41"/>
    <s v="900800595"/>
    <s v="Provexpress SAS"/>
    <s v="800200139"/>
    <x v="197"/>
    <n v="149015.48000000001"/>
    <n v="0"/>
    <n v="0"/>
    <n v="933307.48"/>
    <s v="Aprobado con notificación"/>
    <s v="Emitido"/>
    <x v="0"/>
    <x v="0"/>
    <x v="0"/>
    <x v="0"/>
    <x v="0"/>
    <x v="0"/>
    <m/>
  </r>
  <r>
    <s v="Factura electrónica"/>
    <s v="99beaacba3decf3983c044460154f59ae438e8dc5231c7b9d1d779791df7824b27b9caa915ce506aa68836b067d756a1"/>
    <x v="959"/>
    <n v="-1"/>
    <s v="FVE"/>
    <s v="26-01-2026"/>
    <s v="26-01-2026 11:45:54"/>
    <s v="900800595"/>
    <s v="Provexpress SAS"/>
    <s v="860010305"/>
    <x v="508"/>
    <n v="423078.13"/>
    <n v="0"/>
    <n v="0"/>
    <n v="2649805.13"/>
    <s v="Aprobado con notificación"/>
    <s v="Emitido"/>
    <x v="1"/>
    <x v="0"/>
    <x v="0"/>
    <x v="0"/>
    <x v="1"/>
    <x v="0"/>
    <m/>
  </r>
  <r>
    <s v="Factura electrónica"/>
    <s v="b3e0f7371e984584434b93163413c290c2e1d4964480bf0d87538e7a8d9775e6ed93b7cf315585e39fdaab04ce34f2ca"/>
    <x v="960"/>
    <n v="-1"/>
    <s v="FVE"/>
    <s v="26-01-2026"/>
    <s v="26-01-2026 11:45:59"/>
    <s v="900800595"/>
    <s v="Provexpress SAS"/>
    <s v="860513970"/>
    <x v="36"/>
    <n v="397698.5"/>
    <n v="0"/>
    <n v="0"/>
    <n v="2490848.5"/>
    <s v="Aprobado con notificación"/>
    <s v="Emitido"/>
    <x v="1"/>
    <x v="0"/>
    <x v="0"/>
    <x v="0"/>
    <x v="1"/>
    <x v="0"/>
    <m/>
  </r>
  <r>
    <s v="Factura electrónica"/>
    <s v="e43024d6e18fcbcd9f15c8e68688cf50a6da8c46c3a1b8539ea0b0bd0534ce7a35761467dbf24c9a26b6e6f461378c4f"/>
    <x v="961"/>
    <n v="-1"/>
    <s v="FVE"/>
    <s v="26-01-2026"/>
    <s v="26-01-2026 12:01:10"/>
    <s v="900800595"/>
    <s v="Provexpress SAS"/>
    <s v="830088759"/>
    <x v="312"/>
    <n v="114380"/>
    <n v="0"/>
    <n v="0"/>
    <n v="716380"/>
    <s v="Aprobado con notificación"/>
    <s v="Emitido"/>
    <x v="0"/>
    <x v="0"/>
    <x v="0"/>
    <x v="0"/>
    <x v="1"/>
    <x v="1"/>
    <s v="FACTURA PAGA EN EL SISTEMA 19/02/2026"/>
  </r>
  <r>
    <s v="Factura electrónica"/>
    <s v="bd0138b1e3a35118168e68da97ee3f8d30962218d8b47d64adac653a6603193fa81fc1829b76600af77a2da10c169eb7"/>
    <x v="962"/>
    <n v="-1"/>
    <s v="FVE"/>
    <s v="26-01-2026"/>
    <s v="26-01-2026 12:16:21"/>
    <s v="900800595"/>
    <s v="Provexpress SAS"/>
    <s v="900480172"/>
    <x v="509"/>
    <n v="344533.1"/>
    <n v="0"/>
    <n v="0"/>
    <n v="2524223.1"/>
    <s v="Aprobado con notificación"/>
    <s v="Emitido"/>
    <x v="0"/>
    <x v="0"/>
    <x v="0"/>
    <x v="0"/>
    <x v="0"/>
    <x v="0"/>
    <m/>
  </r>
  <r>
    <s v="Factura electrónica"/>
    <s v="210c8b7e044771a3e85f7c04667587e22381d8fc089806e159fe71b9a7f460faa1089f377e8d172f18c18aed36bf7f9a"/>
    <x v="963"/>
    <n v="-1"/>
    <s v="FVE"/>
    <s v="26-01-2026"/>
    <s v="26-01-2026 12:16:26"/>
    <s v="900800595"/>
    <s v="Provexpress SAS"/>
    <s v="900148177"/>
    <x v="124"/>
    <n v="181260"/>
    <n v="0"/>
    <n v="0"/>
    <n v="1135260"/>
    <s v="Aprobado con notificación"/>
    <s v="Emitido"/>
    <x v="0"/>
    <x v="0"/>
    <x v="0"/>
    <x v="0"/>
    <x v="0"/>
    <x v="0"/>
    <m/>
  </r>
  <r>
    <s v="Factura electrónica"/>
    <s v="e8cbe7e54812ff7444f719d489aabb4621c63618cf25929f511b93a86c24d0a8b6823c933a18b8e9e81c98d21955cd3c"/>
    <x v="964"/>
    <n v="-1"/>
    <s v="FVE"/>
    <s v="26-01-2026"/>
    <s v="26-01-2026 12:31:40"/>
    <s v="900800595"/>
    <s v="Provexpress SAS"/>
    <s v="900555485"/>
    <x v="471"/>
    <n v="138033.48000000001"/>
    <n v="0"/>
    <n v="0"/>
    <n v="864525.48"/>
    <s v="Aprobado con notificación"/>
    <s v="Emitido"/>
    <x v="0"/>
    <x v="0"/>
    <x v="0"/>
    <x v="0"/>
    <x v="0"/>
    <x v="0"/>
    <m/>
  </r>
  <r>
    <s v="Factura electrónica"/>
    <s v="b55fde64a85783787aa7a5c219b7e63999a8540b5dc4910f373d975ab6fac515e5640d83bdff9132a3822bd5dea80872"/>
    <x v="965"/>
    <n v="-1"/>
    <s v="FVE"/>
    <s v="26-01-2026"/>
    <s v="26-01-2026 12:31:46"/>
    <s v="900800595"/>
    <s v="Provexpress SAS"/>
    <s v="901043512"/>
    <x v="104"/>
    <n v="50350"/>
    <n v="0"/>
    <n v="0"/>
    <n v="315350"/>
    <s v="Aprobado con notificación"/>
    <s v="Emitido"/>
    <x v="0"/>
    <x v="0"/>
    <x v="0"/>
    <x v="0"/>
    <x v="0"/>
    <x v="0"/>
    <m/>
  </r>
  <r>
    <s v="Factura electrónica"/>
    <s v="20cd90ff6b57f174877dc7c068f1045605febae1aae88f3ddfbbe9b0b75fa685f3fd7735f308569b9b108b10113e25c2"/>
    <x v="966"/>
    <n v="-1"/>
    <s v="FVE"/>
    <s v="26-01-2026"/>
    <s v="26-01-2026 13:02:07"/>
    <s v="900800595"/>
    <s v="Provexpress SAS"/>
    <s v="860015905"/>
    <x v="255"/>
    <n v="0"/>
    <n v="0"/>
    <n v="0"/>
    <n v="13955685.23"/>
    <s v="Aprobado con notificación"/>
    <s v="Emitido"/>
    <x v="0"/>
    <x v="0"/>
    <x v="1"/>
    <x v="0"/>
    <x v="1"/>
    <x v="0"/>
    <m/>
  </r>
  <r>
    <s v="Factura electrónica"/>
    <s v="2757ec37167a02ecdff407bc7f97a41349c05f191aa1a553b9057c7a0fe72f00ec1d24b18c7d941e35c49dc20713a655"/>
    <x v="967"/>
    <n v="-1"/>
    <s v="FVE"/>
    <s v="26-01-2026"/>
    <s v="26-01-2026 13:02:12"/>
    <s v="900800595"/>
    <s v="Provexpress SAS"/>
    <s v="860007355"/>
    <x v="510"/>
    <n v="70276.06"/>
    <n v="0"/>
    <n v="0"/>
    <n v="483038.06"/>
    <s v="Aprobado con notificación"/>
    <s v="Emitido"/>
    <x v="0"/>
    <x v="0"/>
    <x v="0"/>
    <x v="0"/>
    <x v="1"/>
    <x v="1"/>
    <s v="FACTURA PAGA EN EL SISTEMA 30/01/2026"/>
  </r>
  <r>
    <s v="Factura electrónica"/>
    <s v="445b57e7efa7fe5152426c0717f1f008646a21adc8440ec5afd26bae350a787b6a541280d81b473b4a2a8483c6a789d2"/>
    <x v="968"/>
    <n v="-1"/>
    <s v="FVE"/>
    <s v="26-01-2026"/>
    <s v="26-01-2026 14:19:42"/>
    <s v="900800595"/>
    <s v="Provexpress SAS"/>
    <s v="860001093"/>
    <x v="511"/>
    <n v="0"/>
    <n v="0"/>
    <n v="0"/>
    <n v="7480857"/>
    <s v="Aprobado con notificación"/>
    <s v="Emitido"/>
    <x v="0"/>
    <x v="0"/>
    <x v="0"/>
    <x v="0"/>
    <x v="0"/>
    <x v="0"/>
    <m/>
  </r>
  <r>
    <s v="Factura electrónica"/>
    <s v="5d7550b329bf4b264a76af8c4f3dd1ff39edf7340079e65cdcebb7d60478a3fc442f940dee23d0cfd9577f944e7f0bbe"/>
    <x v="969"/>
    <n v="-1"/>
    <s v="FVE"/>
    <s v="26-01-2026"/>
    <s v="26-01-2026 14:32:59"/>
    <s v="900800595"/>
    <s v="Provexpress SAS"/>
    <s v="901191622"/>
    <x v="512"/>
    <n v="205200"/>
    <n v="0"/>
    <n v="0"/>
    <n v="1285200"/>
    <s v="Aprobado con notificación"/>
    <s v="Emitido"/>
    <x v="0"/>
    <x v="0"/>
    <x v="1"/>
    <x v="0"/>
    <x v="1"/>
    <x v="0"/>
    <m/>
  </r>
  <r>
    <s v="Factura electrónica"/>
    <s v="1e2a0d2e717e38962d078c78a70cd0748f18389e9da238a55e53bdfec9810bcd8b5ff7f91b7203ec274e7783f54f35aa"/>
    <x v="970"/>
    <n v="-1"/>
    <s v="FVE"/>
    <s v="26-01-2026"/>
    <s v="26-01-2026 14:33:04"/>
    <s v="900800595"/>
    <s v="Provexpress SAS"/>
    <s v="900970439"/>
    <x v="513"/>
    <n v="165300"/>
    <n v="0"/>
    <n v="0"/>
    <n v="1035300"/>
    <s v="Aprobado con notificación"/>
    <s v="Emitido"/>
    <x v="1"/>
    <x v="0"/>
    <x v="0"/>
    <x v="0"/>
    <x v="1"/>
    <x v="0"/>
    <m/>
  </r>
  <r>
    <s v="Factura electrónica"/>
    <s v="d768fcdc1f22d3dabee5f3c2e09ca2b4facd791fc5babae94defad7ada20f384289ef92b7a9e98ae02fa3671357cae28"/>
    <x v="971"/>
    <n v="-1"/>
    <s v="FVE"/>
    <s v="26-01-2026"/>
    <s v="26-01-2026 14:33:08"/>
    <s v="900800595"/>
    <s v="Provexpress SAS"/>
    <s v="832000957"/>
    <x v="444"/>
    <n v="921120"/>
    <n v="0"/>
    <n v="0"/>
    <n v="5769120"/>
    <s v="Aprobado con notificación"/>
    <s v="Emitido"/>
    <x v="0"/>
    <x v="0"/>
    <x v="0"/>
    <x v="0"/>
    <x v="1"/>
    <x v="1"/>
    <s v="PAGA EN SISTEMA 19/02/2026"/>
  </r>
  <r>
    <s v="Factura electrónica"/>
    <s v="824d5df86e6620a5bc6408233d73fd1a63c2be74dbc6868fd694f544ec7c8b7ff8efc60fb64a2c6425231fe995492285"/>
    <x v="972"/>
    <n v="-1"/>
    <s v="FVE"/>
    <s v="26-01-2026"/>
    <s v="26-01-2026 14:48:20"/>
    <s v="900800595"/>
    <s v="Provexpress SAS"/>
    <s v="860046192"/>
    <x v="514"/>
    <n v="103835"/>
    <n v="0"/>
    <n v="0"/>
    <n v="650335"/>
    <s v="Aprobado con notificación"/>
    <s v="Emitido"/>
    <x v="1"/>
    <x v="0"/>
    <x v="0"/>
    <x v="0"/>
    <x v="1"/>
    <x v="0"/>
    <m/>
  </r>
  <r>
    <s v="Factura electrónica"/>
    <s v="d27adbc5dcbf1d3eff10d4a58a9e107383a1ec225169e1a2fb4c987e3ad5c391a67bf6b88663ac1dd3f456beef272863"/>
    <x v="973"/>
    <n v="-1"/>
    <s v="FVE"/>
    <s v="26-01-2026"/>
    <s v="26-01-2026 14:48:24"/>
    <s v="900800595"/>
    <s v="Provexpress SAS"/>
    <s v="860046192"/>
    <x v="514"/>
    <n v="103835"/>
    <n v="0"/>
    <n v="0"/>
    <n v="650335"/>
    <s v="Aprobado con notificación"/>
    <s v="Emitido"/>
    <x v="1"/>
    <x v="0"/>
    <x v="0"/>
    <x v="0"/>
    <x v="1"/>
    <x v="0"/>
    <m/>
  </r>
  <r>
    <s v="Factura electrónica"/>
    <s v="e8ebb4e6d9c16878922e1d7c0c7a93cb9ae9b4006e4abb32c1268bdab9726614d01cee2de67549382532269c7898a62c"/>
    <x v="974"/>
    <n v="-1"/>
    <s v="FVE"/>
    <s v="26-01-2026"/>
    <s v="26-01-2026 15:18:43"/>
    <s v="900800595"/>
    <s v="Provexpress SAS"/>
    <s v="900336316"/>
    <x v="515"/>
    <n v="141341"/>
    <n v="0"/>
    <n v="0"/>
    <n v="885241"/>
    <s v="Aprobado con notificación"/>
    <s v="Emitido"/>
    <x v="0"/>
    <x v="0"/>
    <x v="0"/>
    <x v="0"/>
    <x v="0"/>
    <x v="0"/>
    <m/>
  </r>
  <r>
    <s v="Factura electrónica"/>
    <s v="b5a86b56d42044df025df06de20b5b9a2b386e146730e66b564256e7172f249887799672e835d9b139136e824f52ddf6"/>
    <x v="975"/>
    <n v="-1"/>
    <s v="FVE"/>
    <s v="26-01-2026"/>
    <s v="26-01-2026 15:18:46"/>
    <s v="900800595"/>
    <s v="Provexpress SAS"/>
    <s v="900336316"/>
    <x v="515"/>
    <n v="137329"/>
    <n v="0"/>
    <n v="0"/>
    <n v="1390029"/>
    <s v="Aprobado con notificación"/>
    <s v="Emitido"/>
    <x v="0"/>
    <x v="0"/>
    <x v="0"/>
    <x v="0"/>
    <x v="0"/>
    <x v="0"/>
    <m/>
  </r>
  <r>
    <s v="Factura electrónica"/>
    <s v="8339bd1a39b546a5b66216911df8c29343b52691858bccfba1d9becf6a75610de5ff0a4e62866b2e7c2f20c9ef0d271d"/>
    <x v="976"/>
    <n v="-1"/>
    <s v="FVE"/>
    <s v="26-01-2026"/>
    <s v="26-01-2026 15:18:52"/>
    <s v="900800595"/>
    <s v="Provexpress SAS"/>
    <s v="901924401"/>
    <x v="516"/>
    <n v="46816"/>
    <n v="0"/>
    <n v="0"/>
    <n v="293216"/>
    <s v="Aprobado con notificación"/>
    <s v="Emitido"/>
    <x v="0"/>
    <x v="0"/>
    <x v="0"/>
    <x v="0"/>
    <x v="1"/>
    <x v="1"/>
    <s v="PAGA EN SISTEMA 24/02/2026"/>
  </r>
  <r>
    <s v="Factura electrónica"/>
    <s v="816cf92a3f21a68f53f7d7cb1c5e7a9d90d95a5de543d7f353a27dd151e875cfe5e71293546bc46b5e5732eeb78fb500"/>
    <x v="977"/>
    <n v="-1"/>
    <s v="FVE"/>
    <s v="26-01-2026"/>
    <s v="26-01-2026 15:34:03"/>
    <s v="900800595"/>
    <s v="Provexpress SAS"/>
    <s v="901808160"/>
    <x v="517"/>
    <n v="1050700"/>
    <n v="0"/>
    <n v="0"/>
    <n v="6580700"/>
    <s v="Aprobado con notificación"/>
    <s v="Emitido"/>
    <x v="0"/>
    <x v="0"/>
    <x v="0"/>
    <x v="0"/>
    <x v="1"/>
    <x v="1"/>
    <s v="FACTURA PAGA EN EL SISTEMA 29/01/2026"/>
  </r>
  <r>
    <s v="Factura electrónica"/>
    <s v="0144a7c77bb52ce3c742c2199f38fcb538f0d71e973da53f59645b2ce286e2736b61c9f2520dc22962c039c765797db7"/>
    <x v="978"/>
    <n v="-1"/>
    <s v="FVE"/>
    <s v="26-01-2026"/>
    <s v="26-01-2026 15:34:07"/>
    <s v="900800595"/>
    <s v="Provexpress SAS"/>
    <s v="830098878"/>
    <x v="518"/>
    <n v="39649.769999999997"/>
    <n v="0"/>
    <n v="0"/>
    <n v="248332.77"/>
    <s v="Aprobado con notificación"/>
    <s v="Emitido"/>
    <x v="0"/>
    <x v="0"/>
    <x v="0"/>
    <x v="0"/>
    <x v="1"/>
    <x v="1"/>
    <s v="FACTURA PAGA EN EL SISTEMA 2/02/2026"/>
  </r>
  <r>
    <s v="Factura electrónica"/>
    <s v="7484e6c8a3d67144c0ea4cf6fe37b3f9e7e5254ff742b7550f3513bc674b01e02e526a2b445b351231dfdf4436465d3b"/>
    <x v="979"/>
    <n v="-1"/>
    <s v="FVE"/>
    <s v="26-01-2026"/>
    <s v="26-01-2026 15:34:13"/>
    <s v="900800595"/>
    <s v="Provexpress SAS"/>
    <s v="901689684"/>
    <x v="218"/>
    <n v="96712.28"/>
    <n v="0"/>
    <n v="0"/>
    <n v="605724.28"/>
    <s v="Aprobado con notificación"/>
    <s v="Emitido"/>
    <x v="0"/>
    <x v="0"/>
    <x v="0"/>
    <x v="0"/>
    <x v="0"/>
    <x v="0"/>
    <m/>
  </r>
  <r>
    <s v="Factura electrónica"/>
    <s v="3a0062e1aecbd47eb1f913e746114c2b741cabba39f091c723b72ff588e1c1272a327ef890c8cd1c2b60c2a32e888a37"/>
    <x v="980"/>
    <n v="-1"/>
    <s v="FVE"/>
    <s v="26-01-2026"/>
    <s v="26-01-2026 15:49:23"/>
    <s v="900800595"/>
    <s v="Provexpress SAS"/>
    <s v="860015905"/>
    <x v="255"/>
    <n v="140685.5"/>
    <n v="0"/>
    <n v="0"/>
    <n v="881135.5"/>
    <s v="Aprobado con notificación"/>
    <s v="Emitido"/>
    <x v="0"/>
    <x v="0"/>
    <x v="0"/>
    <x v="0"/>
    <x v="1"/>
    <x v="1"/>
    <s v="PAGA EN SISTEMA 26/02/2026"/>
  </r>
  <r>
    <s v="Factura electrónica"/>
    <s v="9afe10c1e6d5ccc3341534f57e384617068192b6d9bfcee033bf9aee9b4faec041255f459866d0c03446ec76a9222815"/>
    <x v="981"/>
    <n v="-1"/>
    <s v="FVE"/>
    <s v="26-01-2026"/>
    <s v="26-01-2026 15:49:28"/>
    <s v="900800595"/>
    <s v="Provexpress SAS"/>
    <s v="800241469"/>
    <x v="89"/>
    <n v="123500"/>
    <n v="0"/>
    <n v="0"/>
    <n v="773500"/>
    <s v="Aprobado con notificación"/>
    <s v="Emitido"/>
    <x v="0"/>
    <x v="0"/>
    <x v="0"/>
    <x v="0"/>
    <x v="1"/>
    <x v="1"/>
    <s v="PAGA EN EL SISTEMA 10/02/2026"/>
  </r>
  <r>
    <s v="Factura electrónica"/>
    <s v="5c604f5066ff5fa0451cc77b05edcee689503d9b9ac17484554202bc854fbd77e6bbcb9a8d0c3f051d3b8d89b6b71c79"/>
    <x v="982"/>
    <n v="-1"/>
    <s v="FVE"/>
    <s v="26-01-2026"/>
    <s v="26-01-2026 15:49:33"/>
    <s v="900800595"/>
    <s v="Provexpress SAS"/>
    <s v="800210556"/>
    <x v="519"/>
    <n v="0"/>
    <n v="0"/>
    <n v="0"/>
    <n v="12741156.939999999"/>
    <s v="Aprobado con notificación"/>
    <s v="Emitido"/>
    <x v="0"/>
    <x v="0"/>
    <x v="0"/>
    <x v="0"/>
    <x v="0"/>
    <x v="0"/>
    <m/>
  </r>
  <r>
    <s v="Factura electrónica"/>
    <s v="6bbd52bcd62896af8cdf7c0c3464e98a5a3bc87fca53ab0ca1a2b12275ef91ff0a98689f9c9c335b2e8583efb56d6e93"/>
    <x v="983"/>
    <n v="-1"/>
    <s v="FVE"/>
    <s v="27-01-2026"/>
    <s v="27-01-2026 07:56:22"/>
    <s v="900800595"/>
    <s v="Provexpress SAS"/>
    <s v="860049609"/>
    <x v="520"/>
    <n v="239020"/>
    <n v="0"/>
    <n v="0"/>
    <n v="1497020"/>
    <s v="Aprobado con notificación"/>
    <s v="Emitido"/>
    <x v="0"/>
    <x v="0"/>
    <x v="1"/>
    <x v="0"/>
    <x v="1"/>
    <x v="0"/>
    <m/>
  </r>
  <r>
    <s v="Factura electrónica"/>
    <s v="b3151d17e87c9588dae3b7ba9ea264c484b88358d5a296548f114cf3c7d3ce92d50cd1b7c5060346d3335483d826c7d3"/>
    <x v="984"/>
    <n v="-1"/>
    <s v="FVE"/>
    <s v="27-01-2026"/>
    <s v="27-01-2026 08:26:41"/>
    <s v="900800595"/>
    <s v="Provexpress SAS"/>
    <s v="860009107"/>
    <x v="174"/>
    <n v="121068"/>
    <n v="0"/>
    <n v="0"/>
    <n v="758268"/>
    <s v="Aprobado con notificación"/>
    <s v="Emitido"/>
    <x v="0"/>
    <x v="0"/>
    <x v="0"/>
    <x v="0"/>
    <x v="1"/>
    <x v="1"/>
    <s v="FACTURA PAGA EN EL SISTEMA 16/02/2026"/>
  </r>
  <r>
    <s v="Factura electrónica"/>
    <s v="7776f5c58e1428107bbeaec3d08f435fbf8c5886e2db4dae260304b5ed5eaf40345e6d0f8951ce3d5f66c78ece3b835d"/>
    <x v="985"/>
    <n v="-1"/>
    <s v="FVE"/>
    <s v="27-01-2026"/>
    <s v="27-01-2026 08:26:45"/>
    <s v="900800595"/>
    <s v="Provexpress SAS"/>
    <s v="901248246"/>
    <x v="28"/>
    <n v="67270.5"/>
    <n v="0"/>
    <n v="0"/>
    <n v="471600.5"/>
    <s v="Aprobado con notificación"/>
    <s v="Emitido"/>
    <x v="0"/>
    <x v="0"/>
    <x v="0"/>
    <x v="0"/>
    <x v="1"/>
    <x v="1"/>
    <s v="FACTURA PAGA EN EL SISTEMA 27/01/2026"/>
  </r>
  <r>
    <s v="Factura electrónica"/>
    <s v="2bad1db4866649129ec7745a6925f261adfbe49247d1aa5e3a7079bb481d79c910c4bb72b40c2314347a0102a97be5a3"/>
    <x v="986"/>
    <n v="-1"/>
    <s v="FVE"/>
    <s v="27-01-2026"/>
    <s v="27-01-2026 09:27:20"/>
    <s v="900800595"/>
    <s v="Provexpress SAS"/>
    <s v="832000957"/>
    <x v="444"/>
    <n v="712500"/>
    <n v="0"/>
    <n v="0"/>
    <n v="4462500"/>
    <s v="Aprobado con notificación"/>
    <s v="Emitido"/>
    <x v="0"/>
    <x v="0"/>
    <x v="0"/>
    <x v="0"/>
    <x v="1"/>
    <x v="1"/>
    <s v="PAGA EN SISTEMA 24/02/2026"/>
  </r>
  <r>
    <s v="Factura electrónica"/>
    <s v="f62c30dfb6c7899d50bdec8f02b2710d0573b4057c8cd155d8af017f0484b674fc9f31c030b0733c23f8f2a24f86e059"/>
    <x v="987"/>
    <n v="-1"/>
    <s v="FVE"/>
    <s v="27-01-2026"/>
    <s v="27-01-2026 09:27:25"/>
    <s v="900800595"/>
    <s v="Provexpress SAS"/>
    <s v="830021423"/>
    <x v="98"/>
    <n v="34961.9"/>
    <n v="0"/>
    <n v="0"/>
    <n v="218971.9"/>
    <s v="Aprobado con notificación"/>
    <s v="Emitido"/>
    <x v="0"/>
    <x v="1"/>
    <x v="0"/>
    <x v="0"/>
    <x v="1"/>
    <x v="0"/>
    <m/>
  </r>
  <r>
    <s v="Factura electrónica"/>
    <s v="d1b2ae7139e5ba36401730819742a2253ca5f961363a1571870a6a50965c546165debf15ca75c8694d4d8435e18af215"/>
    <x v="988"/>
    <n v="-1"/>
    <s v="FVE"/>
    <s v="27-01-2026"/>
    <s v="27-01-2026 09:27:30"/>
    <s v="900800595"/>
    <s v="Provexpress SAS"/>
    <s v="830047411"/>
    <x v="242"/>
    <n v="20121"/>
    <n v="0"/>
    <n v="0"/>
    <n v="126021"/>
    <s v="Aprobado con notificación"/>
    <s v="Emitido"/>
    <x v="0"/>
    <x v="0"/>
    <x v="0"/>
    <x v="0"/>
    <x v="1"/>
    <x v="1"/>
    <s v="PAGA EN EL SISTEMA 27/02/2026"/>
  </r>
  <r>
    <s v="Factura electrónica"/>
    <s v="4762be5b168dc4aecbad92cfc92af6f839dd13b15613d93a3ef226a02e1697ba5ca7141c48b8ab1ae0528cb522b99748"/>
    <x v="989"/>
    <n v="-1"/>
    <s v="FVE"/>
    <s v="27-01-2026"/>
    <s v="27-01-2026 09:27:34"/>
    <s v="900800595"/>
    <s v="Provexpress SAS"/>
    <s v="901485363"/>
    <x v="521"/>
    <n v="53010"/>
    <n v="0"/>
    <n v="0"/>
    <n v="332010"/>
    <s v="Aprobado con notificación"/>
    <s v="Emitido"/>
    <x v="0"/>
    <x v="0"/>
    <x v="0"/>
    <x v="0"/>
    <x v="0"/>
    <x v="0"/>
    <m/>
  </r>
  <r>
    <s v="Factura electrónica"/>
    <s v="4a5f5affd71cdbf3d1c1cbd4702acc22c3ea220699ffef7bdb31c4da59b70e30210afb4d7068c95f12bd6f708352bb4e"/>
    <x v="990"/>
    <n v="-1"/>
    <s v="FVE"/>
    <s v="27-01-2026"/>
    <s v="27-01-2026 11:13:34"/>
    <s v="900800595"/>
    <s v="Provexpress SAS"/>
    <s v="800241469"/>
    <x v="89"/>
    <n v="59850"/>
    <n v="0"/>
    <n v="0"/>
    <n v="374850"/>
    <s v="Aprobado con notificación"/>
    <s v="Emitido"/>
    <x v="0"/>
    <x v="0"/>
    <x v="0"/>
    <x v="0"/>
    <x v="1"/>
    <x v="1"/>
    <s v="PAGA EN EL SISTEMA 10/02/2026"/>
  </r>
  <r>
    <s v="Factura electrónica"/>
    <s v="f1d503a04bd22fcb7732b6973bdf754fddf7ebea54f10367eb1e5c7fa34ba1b0a014b6fd2c338a2274784f12ac4a61a6"/>
    <x v="991"/>
    <n v="-1"/>
    <s v="FVE"/>
    <s v="27-01-2026"/>
    <s v="27-01-2026 11:59:03"/>
    <s v="900800595"/>
    <s v="Provexpress SAS"/>
    <s v="800241469"/>
    <x v="89"/>
    <n v="9120"/>
    <n v="0"/>
    <n v="0"/>
    <n v="57120"/>
    <s v="Aprobado con notificación"/>
    <s v="Emitido"/>
    <x v="0"/>
    <x v="0"/>
    <x v="0"/>
    <x v="0"/>
    <x v="1"/>
    <x v="1"/>
    <s v="PAGA EN EL SISTEMA 10/02/2026"/>
  </r>
  <r>
    <s v="Factura electrónica"/>
    <s v="33cddd6c41ea6a367c04138ea37474e54a82be0d1d2cf9138ac3c450bdb7f4d669e8ed1af0532e87eb45bc81ce67cb01"/>
    <x v="992"/>
    <n v="-1"/>
    <s v="FVE"/>
    <s v="27-01-2026"/>
    <s v="27-01-2026 11:59:08"/>
    <s v="900800595"/>
    <s v="Provexpress SAS"/>
    <s v="830031886"/>
    <x v="460"/>
    <n v="319200"/>
    <n v="0"/>
    <n v="0"/>
    <n v="1999200"/>
    <s v="Aprobado con notificación"/>
    <s v="Emitido"/>
    <x v="1"/>
    <x v="0"/>
    <x v="0"/>
    <x v="0"/>
    <x v="1"/>
    <x v="0"/>
    <m/>
  </r>
  <r>
    <s v="Factura electrónica"/>
    <s v="a5c9fa0eba454752b0d016b2ac9748bdaf7a44cdb85ac4b133d756ae7bd1ba07c8200430dab7afd7a771c2bd28531b37"/>
    <x v="993"/>
    <n v="-1"/>
    <s v="FVE"/>
    <s v="27-01-2026"/>
    <s v="27-01-2026 11:59:14"/>
    <s v="900800595"/>
    <s v="Provexpress SAS"/>
    <s v="860025674"/>
    <x v="522"/>
    <n v="158175"/>
    <n v="0"/>
    <n v="0"/>
    <n v="990675"/>
    <s v="Aprobado con notificación"/>
    <s v="Emitido"/>
    <x v="0"/>
    <x v="0"/>
    <x v="0"/>
    <x v="0"/>
    <x v="0"/>
    <x v="0"/>
    <m/>
  </r>
  <r>
    <s v="Factura electrónica"/>
    <s v="06d3ba0242526df65122f7c7125cac38969e69a1ac23930c6f08e5ab8403017178dcd45387f15d847d9c74ab8a37e746"/>
    <x v="994"/>
    <n v="-1"/>
    <s v="FVE"/>
    <s v="27-01-2026"/>
    <s v="27-01-2026 11:59:18"/>
    <s v="900800595"/>
    <s v="Provexpress SAS"/>
    <s v="830022818"/>
    <x v="523"/>
    <n v="90174"/>
    <n v="0"/>
    <n v="0"/>
    <n v="564774"/>
    <s v="Aprobado con notificación"/>
    <s v="Emitido"/>
    <x v="0"/>
    <x v="0"/>
    <x v="0"/>
    <x v="0"/>
    <x v="0"/>
    <x v="0"/>
    <m/>
  </r>
  <r>
    <s v="Factura electrónica"/>
    <s v="472271c41ab535dc9ba0273c346913303365b23e12fc42b47211c18e6b421c0097894e38f76843a6b0c12b5a90540e52"/>
    <x v="995"/>
    <n v="-1"/>
    <s v="FVE"/>
    <s v="27-01-2026"/>
    <s v="27-01-2026 12:14:29"/>
    <s v="900800595"/>
    <s v="Provexpress SAS"/>
    <s v="860509265"/>
    <x v="475"/>
    <n v="1191375.81"/>
    <n v="0"/>
    <n v="0"/>
    <n v="7461774.8099999996"/>
    <s v="Aprobado con notificación"/>
    <s v="Emitido"/>
    <x v="1"/>
    <x v="0"/>
    <x v="0"/>
    <x v="0"/>
    <x v="1"/>
    <x v="0"/>
    <m/>
  </r>
  <r>
    <s v="Factura electrónica"/>
    <s v="841cbcf00c8d05e7c768fd44c49dc072f53e2c331c0e827077394f0b2b6e440e7995bca4d4874afeb30619562023b30c"/>
    <x v="996"/>
    <n v="-1"/>
    <s v="FVE"/>
    <s v="27-01-2026"/>
    <s v="27-01-2026 12:44:48"/>
    <s v="900800595"/>
    <s v="Provexpress SAS"/>
    <s v="800241469"/>
    <x v="89"/>
    <n v="771780"/>
    <n v="0"/>
    <n v="0"/>
    <n v="4833780"/>
    <s v="Aprobado con notificación"/>
    <s v="Emitido"/>
    <x v="0"/>
    <x v="0"/>
    <x v="0"/>
    <x v="0"/>
    <x v="1"/>
    <x v="1"/>
    <s v="PAGA EN EL SISTEMA 10/02/2026"/>
  </r>
  <r>
    <s v="Factura electrónica"/>
    <s v="db371a4d69be55b06965fafbf50a9832fba16d8fd44951d87d69dae24937edb83ed0610e18eb7764ccdd076cfd1be0bc"/>
    <x v="997"/>
    <n v="-1"/>
    <s v="FVE"/>
    <s v="27-01-2026"/>
    <s v="27-01-2026 13:00:03"/>
    <s v="900800595"/>
    <s v="Provexpress SAS"/>
    <s v="860014040"/>
    <x v="339"/>
    <n v="11226.15"/>
    <n v="0"/>
    <n v="0"/>
    <n v="70311.149999999994"/>
    <s v="Aprobado con notificación"/>
    <s v="Emitido"/>
    <x v="0"/>
    <x v="0"/>
    <x v="0"/>
    <x v="0"/>
    <x v="1"/>
    <x v="1"/>
    <s v="FACTURA PAGA EN EL SISTEMA 27/01/2026"/>
  </r>
  <r>
    <s v="Factura electrónica"/>
    <s v="7c013ad69f8ec6aca5b34f4b12465092f8c7c5c33ed532d11d699c164589e937ff436320bf241117cfcb9a6a0d9196ba"/>
    <x v="998"/>
    <n v="-1"/>
    <s v="FVE"/>
    <s v="27-01-2026"/>
    <s v="27-01-2026 15:00:56"/>
    <s v="900800595"/>
    <s v="Provexpress SAS"/>
    <s v="860513970"/>
    <x v="36"/>
    <n v="2213500"/>
    <n v="0"/>
    <n v="0"/>
    <n v="13863500"/>
    <s v="Aprobado con notificación"/>
    <s v="Emitido"/>
    <x v="0"/>
    <x v="0"/>
    <x v="0"/>
    <x v="0"/>
    <x v="1"/>
    <x v="1"/>
    <s v="FACTURA PAGA EN EL SISTEMA 28/01/2026"/>
  </r>
  <r>
    <s v="Factura electrónica"/>
    <s v="f6e24d6a92ede66b8b274c993ec337577afd3eb052d2a647c5faa6e44dc7ed0acc54bea8a05223222d3bbb360c2ef916"/>
    <x v="999"/>
    <n v="-1"/>
    <s v="FVE"/>
    <s v="27-01-2026"/>
    <s v="27-01-2026 15:16:07"/>
    <s v="900800595"/>
    <s v="Provexpress SAS"/>
    <s v="891903392"/>
    <x v="524"/>
    <n v="284430"/>
    <n v="0"/>
    <n v="0"/>
    <n v="1781430"/>
    <s v="Aprobado con notificación"/>
    <s v="Emitido"/>
    <x v="0"/>
    <x v="0"/>
    <x v="1"/>
    <x v="0"/>
    <x v="1"/>
    <x v="0"/>
    <m/>
  </r>
  <r>
    <s v="Factura electrónica"/>
    <s v="b0ba51f164b943313a55ac6f2826f998833ba8978ec96773be4a77f91cb4fb0d8e4ee33b72ed38f92646b623cdc1d02f"/>
    <x v="1000"/>
    <n v="-1"/>
    <s v="FVE"/>
    <s v="27-01-2026"/>
    <s v="27-01-2026 15:16:13"/>
    <s v="900800595"/>
    <s v="Provexpress SAS"/>
    <s v="900208445"/>
    <x v="160"/>
    <n v="272726"/>
    <n v="0"/>
    <n v="0"/>
    <n v="1723726"/>
    <s v="Aprobado con notificación"/>
    <s v="Emitido"/>
    <x v="1"/>
    <x v="0"/>
    <x v="0"/>
    <x v="0"/>
    <x v="1"/>
    <x v="0"/>
    <m/>
  </r>
  <r>
    <s v="Factura electrónica"/>
    <s v="3bc27239aaa8b7ac0a3ab9a41ebb2c63720b20554b57303c321d27e86cd76b4d5acb3e9da2f2a9f555421c7b0c859e17"/>
    <x v="1001"/>
    <n v="-1"/>
    <s v="FVE"/>
    <s v="27-01-2026"/>
    <s v="27-01-2026 16:01:44"/>
    <s v="900800595"/>
    <s v="Provexpress SAS"/>
    <s v="811033238"/>
    <x v="525"/>
    <n v="0"/>
    <n v="0"/>
    <n v="0"/>
    <n v="13932000"/>
    <s v="Aprobado con notificación"/>
    <s v="Emitido"/>
    <x v="0"/>
    <x v="0"/>
    <x v="0"/>
    <x v="0"/>
    <x v="1"/>
    <x v="1"/>
    <s v="PAGA EN EL SISTEMA 2/03/2026"/>
  </r>
  <r>
    <s v="Factura electrónica"/>
    <s v="0e318d75999636c37517fee5731645a1f016fe672154be33cd54e02ff1710769fc0d75ca4dde68ddfb9cd096b801d382"/>
    <x v="1002"/>
    <n v="-1"/>
    <s v="FVE"/>
    <s v="27-01-2026"/>
    <s v="27-01-2026 16:01:49"/>
    <s v="900800595"/>
    <s v="Provexpress SAS"/>
    <s v="830004861"/>
    <x v="526"/>
    <n v="0"/>
    <n v="0"/>
    <n v="0"/>
    <n v="3350000"/>
    <s v="Aprobado con notificación"/>
    <s v="Emitido"/>
    <x v="0"/>
    <x v="0"/>
    <x v="0"/>
    <x v="0"/>
    <x v="0"/>
    <x v="0"/>
    <m/>
  </r>
  <r>
    <s v="Factura electrónica"/>
    <s v="bac9250e92048022c6c43822e336430bfc095a82d2f0bbce1c17f9381e982f0e81b40df5e9d92bef0efa277a61695e12"/>
    <x v="1003"/>
    <n v="-1"/>
    <s v="FVE"/>
    <s v="28-01-2026"/>
    <s v="28-01-2026 08:38:58"/>
    <s v="900800595"/>
    <s v="Provexpress SAS"/>
    <s v="830055467"/>
    <x v="90"/>
    <n v="297121.87"/>
    <n v="0"/>
    <n v="0"/>
    <n v="2720034.87"/>
    <s v="Aprobado con notificación"/>
    <s v="Emitido"/>
    <x v="0"/>
    <x v="0"/>
    <x v="0"/>
    <x v="0"/>
    <x v="1"/>
    <x v="1"/>
    <s v="PAGA EN SISTEMA 27/02/2026"/>
  </r>
  <r>
    <s v="Factura electrónica"/>
    <s v="75cbc8a769e65e8690702ebedcf452d590cc4eaf1de6d174ce7cd4bf0f5708fcf10256d0870b63339238e1ff2202d490"/>
    <x v="1004"/>
    <n v="-1"/>
    <s v="FVE"/>
    <s v="28-01-2026"/>
    <s v="28-01-2026 08:39:02"/>
    <s v="900800595"/>
    <s v="Provexpress SAS"/>
    <s v="830063261"/>
    <x v="527"/>
    <n v="38723.5"/>
    <n v="0"/>
    <n v="0"/>
    <n v="323053.5"/>
    <s v="Aprobado con notificación"/>
    <s v="Emitido"/>
    <x v="0"/>
    <x v="0"/>
    <x v="0"/>
    <x v="0"/>
    <x v="1"/>
    <x v="1"/>
    <s v="FACTURA PAGA EN EL SISTEMA 11/02/2026"/>
  </r>
  <r>
    <s v="Factura electrónica"/>
    <s v="e68cbca7bbf549c9e1a1bbc3a00710ad8f0ad1e20de60e840d430e5dce8d5ddbb12fd499a4111e03f75e85a4ee12963e"/>
    <x v="1005"/>
    <n v="-1"/>
    <s v="FVE"/>
    <s v="28-01-2026"/>
    <s v="28-01-2026 09:39:32"/>
    <s v="900800595"/>
    <s v="Provexpress SAS"/>
    <s v="830037893"/>
    <x v="428"/>
    <n v="38760"/>
    <n v="0"/>
    <n v="0"/>
    <n v="242760"/>
    <s v="Aprobado con notificación"/>
    <s v="Emitido"/>
    <x v="0"/>
    <x v="0"/>
    <x v="0"/>
    <x v="0"/>
    <x v="1"/>
    <x v="1"/>
    <s v="PAGA EN SISTEMA 2/03/2026"/>
  </r>
  <r>
    <s v="Factura electrónica"/>
    <s v="5e9395ea153d7300e6d8b6098a48d663f2dabfd9996296e77c664aa0c897d7649265ab7259a2ec66351b5d689f3c32bd"/>
    <x v="1006"/>
    <n v="-1"/>
    <s v="FVE"/>
    <s v="28-01-2026"/>
    <s v="28-01-2026 09:39:36"/>
    <s v="900800595"/>
    <s v="Provexpress SAS"/>
    <s v="890203006"/>
    <x v="528"/>
    <n v="63431.5"/>
    <n v="0"/>
    <n v="0"/>
    <n v="416581.5"/>
    <s v="Aprobado con notificación"/>
    <s v="Emitido"/>
    <x v="0"/>
    <x v="0"/>
    <x v="0"/>
    <x v="0"/>
    <x v="1"/>
    <x v="1"/>
    <s v="FACTURA PAGA EN EL SISTEMA 17/02/2026"/>
  </r>
  <r>
    <s v="Factura electrónica"/>
    <s v="4ba79c9be1fe5e3ee5e6d6e69f548f780fb64af3c4783666204979833c4d48f080c9294f7eb5650098cdb42f74c7123f"/>
    <x v="1007"/>
    <n v="-1"/>
    <s v="FVE"/>
    <s v="28-01-2026"/>
    <s v="28-01-2026 09:54:51"/>
    <s v="900800595"/>
    <s v="Provexpress SAS"/>
    <s v="860524163"/>
    <x v="162"/>
    <n v="45980"/>
    <n v="0"/>
    <n v="0"/>
    <n v="287980"/>
    <s v="Aprobado con notificación"/>
    <s v="Emitido"/>
    <x v="0"/>
    <x v="0"/>
    <x v="0"/>
    <x v="0"/>
    <x v="0"/>
    <x v="0"/>
    <m/>
  </r>
  <r>
    <s v="Factura electrónica"/>
    <s v="5db4517ff638a33023430ebb7d3f3b05a40983b6d17b8797f7ce3f139b23d4db75710d298f21610e51371af89d874ffd"/>
    <x v="1008"/>
    <n v="-1"/>
    <s v="FVE"/>
    <s v="28-01-2026"/>
    <s v="28-01-2026 09:54:55"/>
    <s v="900800595"/>
    <s v="Provexpress SAS"/>
    <s v="860522056"/>
    <x v="74"/>
    <n v="158650"/>
    <n v="0"/>
    <n v="0"/>
    <n v="993650"/>
    <s v="Aprobado con notificación"/>
    <s v="Emitido"/>
    <x v="1"/>
    <x v="0"/>
    <x v="0"/>
    <x v="0"/>
    <x v="1"/>
    <x v="0"/>
    <m/>
  </r>
  <r>
    <s v="Factura electrónica"/>
    <s v="afe8a625e6388e7d6612583179464ad23c1e217cbd8c84faa8b80e0452145a0f84ed7bacc8db42bd0135dd86eb3ddd70"/>
    <x v="1009"/>
    <n v="-1"/>
    <s v="FVE"/>
    <s v="28-01-2026"/>
    <s v="28-01-2026 11:40:52"/>
    <s v="900800595"/>
    <s v="Provexpress SAS"/>
    <s v="860517608"/>
    <x v="332"/>
    <n v="3154883.5"/>
    <n v="0"/>
    <n v="0"/>
    <n v="19759533.5"/>
    <s v="Aprobado con notificación"/>
    <s v="Emitido"/>
    <x v="0"/>
    <x v="1"/>
    <x v="0"/>
    <x v="0"/>
    <x v="1"/>
    <x v="0"/>
    <m/>
  </r>
  <r>
    <s v="Factura electrónica"/>
    <s v="ddf16c3917524c022df6702e45d495a3a6dbca63b949797f3a2c271419e6793aa4af6e844d61422b42c0d5c171de06a0"/>
    <x v="1010"/>
    <n v="-1"/>
    <s v="FVE"/>
    <s v="28-01-2026"/>
    <s v="28-01-2026 12:11:10"/>
    <s v="900800595"/>
    <s v="Provexpress SAS"/>
    <s v="900297009"/>
    <x v="307"/>
    <n v="81937.5"/>
    <n v="0"/>
    <n v="0"/>
    <n v="513187.5"/>
    <s v="Aprobado con notificación"/>
    <s v="Emitido"/>
    <x v="0"/>
    <x v="0"/>
    <x v="0"/>
    <x v="0"/>
    <x v="0"/>
    <x v="0"/>
    <m/>
  </r>
  <r>
    <s v="Factura electrónica"/>
    <s v="3fa2b0bed4ca5fcbd16388ad8c1846cc0128cf5d52fa55a0d0bd4dd884695341559f9195896b70bd992e68159aacced8"/>
    <x v="1011"/>
    <n v="-1"/>
    <s v="FVE"/>
    <s v="28-01-2026"/>
    <s v="28-01-2026 12:26:21"/>
    <s v="900800595"/>
    <s v="Provexpress SAS"/>
    <s v="832000464"/>
    <x v="357"/>
    <n v="0"/>
    <n v="0"/>
    <n v="0"/>
    <n v="1743875"/>
    <s v="Aprobado con notificación"/>
    <s v="Emitido"/>
    <x v="0"/>
    <x v="0"/>
    <x v="0"/>
    <x v="0"/>
    <x v="0"/>
    <x v="0"/>
    <m/>
  </r>
  <r>
    <s v="Factura electrónica"/>
    <s v="bbcff7892cd5c0e9cbae4cb23b596fb80c8c90ef6a00dba9d8dfba3a35ecdd8d878161b822d7493af302bb1fcffaccd8"/>
    <x v="1012"/>
    <n v="-1"/>
    <s v="FVE"/>
    <s v="28-01-2026"/>
    <s v="28-01-2026 12:41:32"/>
    <s v="900800595"/>
    <s v="Provexpress SAS"/>
    <s v="860046192"/>
    <x v="514"/>
    <n v="122550"/>
    <n v="0"/>
    <n v="0"/>
    <n v="767550"/>
    <s v="Aprobado con notificación"/>
    <s v="Emitido"/>
    <x v="1"/>
    <x v="0"/>
    <x v="0"/>
    <x v="0"/>
    <x v="1"/>
    <x v="0"/>
    <m/>
  </r>
  <r>
    <s v="Factura electrónica"/>
    <s v="b683dde7df4f72cc8fd24a606729f513153aa2d692ae8d1fa0a3981357674acb5d33d5d7a3f750353ddfc9dce57ff96d"/>
    <x v="1013"/>
    <n v="-1"/>
    <s v="FVE"/>
    <s v="28-01-2026"/>
    <s v="28-01-2026 14:42:31"/>
    <s v="900800595"/>
    <s v="Provexpress SAS"/>
    <s v="830122431"/>
    <x v="443"/>
    <n v="96900"/>
    <n v="0"/>
    <n v="0"/>
    <n v="606900"/>
    <s v="Aprobado con notificación"/>
    <s v="Emitido"/>
    <x v="0"/>
    <x v="0"/>
    <x v="0"/>
    <x v="0"/>
    <x v="1"/>
    <x v="1"/>
    <s v="PAGA EN EL SISTEMA 2/03/2026"/>
  </r>
  <r>
    <s v="Factura electrónica"/>
    <s v="0a9596030a69b34345cf148638e98a5a5966191e04b436cb3ca18bb31364a2a00e957e6bad45cb157326e22fc6f988b6"/>
    <x v="1014"/>
    <n v="-1"/>
    <s v="FVE"/>
    <s v="28-01-2026"/>
    <s v="28-01-2026 15:12:44"/>
    <s v="900800595"/>
    <s v="Provexpress SAS"/>
    <s v="900208029"/>
    <x v="204"/>
    <n v="903474.51"/>
    <n v="0"/>
    <n v="0"/>
    <n v="5658603.5099999998"/>
    <s v="Aprobado con notificación"/>
    <s v="Emitido"/>
    <x v="1"/>
    <x v="0"/>
    <x v="0"/>
    <x v="0"/>
    <x v="1"/>
    <x v="0"/>
    <m/>
  </r>
  <r>
    <s v="Factura electrónica"/>
    <s v="97b51b3cd92dbc9e6f1827fa6098851b08d68a55120921f2c37c05b40cbd905af750b33a661dc69f74603720e1406f81"/>
    <x v="1015"/>
    <n v="-1"/>
    <s v="FVE"/>
    <s v="28-01-2026"/>
    <s v="28-01-2026 15:27:56"/>
    <s v="900800595"/>
    <s v="Provexpress SAS"/>
    <s v="901900189"/>
    <x v="529"/>
    <n v="3367940"/>
    <n v="0"/>
    <n v="0"/>
    <n v="21093940"/>
    <s v="Aprobado con notificación"/>
    <s v="Emitido"/>
    <x v="0"/>
    <x v="0"/>
    <x v="0"/>
    <x v="0"/>
    <x v="0"/>
    <x v="0"/>
    <m/>
  </r>
  <r>
    <s v="Factura electrónica"/>
    <s v="da2b3e5112dd37bf82d7ceff7946cc6232df054f2b2da30a2d6fbdb992e83f5216cba2eb27c2214520ac5a4c01496f66"/>
    <x v="1016"/>
    <n v="-1"/>
    <s v="FVE"/>
    <s v="28-01-2026"/>
    <s v="28-01-2026 15:28:00"/>
    <s v="900800595"/>
    <s v="Provexpress SAS"/>
    <s v="860517300"/>
    <x v="530"/>
    <n v="160153.66"/>
    <n v="0"/>
    <n v="0"/>
    <n v="1003067.66"/>
    <s v="Aprobado con notificación"/>
    <s v="Emitido"/>
    <x v="0"/>
    <x v="0"/>
    <x v="0"/>
    <x v="0"/>
    <x v="0"/>
    <x v="0"/>
    <m/>
  </r>
  <r>
    <s v="Factura electrónica"/>
    <s v="931143796ad328a312034f1c162a65fb501c06bbbddb3ce03604035afc0234d3648abc130e367abefac5d974332077d0"/>
    <x v="1017"/>
    <n v="-1"/>
    <s v="FVE"/>
    <s v="28-01-2026"/>
    <s v="28-01-2026 16:28:36"/>
    <s v="900800595"/>
    <s v="Provexpress SAS"/>
    <s v="901255563"/>
    <x v="531"/>
    <n v="0"/>
    <n v="0"/>
    <n v="0"/>
    <n v="2350000"/>
    <s v="Aprobado con notificación"/>
    <s v="Emitido"/>
    <x v="0"/>
    <x v="0"/>
    <x v="0"/>
    <x v="0"/>
    <x v="1"/>
    <x v="1"/>
    <s v="PAGA EN SISTEMA 2/03/2026"/>
  </r>
  <r>
    <s v="Factura electrónica"/>
    <s v="d0177d3106ebbff0d2b75518a8666f24f219a3a7f8e0e3635ba66dba91b7515ddb2d2abf50255b481b3accd138364dc4"/>
    <x v="1018"/>
    <n v="-1"/>
    <s v="FVE"/>
    <s v="28-01-2026"/>
    <s v="28-01-2026 16:28:40"/>
    <s v="900800595"/>
    <s v="Provexpress SAS"/>
    <s v="860024041"/>
    <x v="532"/>
    <n v="1940850"/>
    <n v="0"/>
    <n v="0"/>
    <n v="12155850"/>
    <s v="Aprobado con notificación"/>
    <s v="Emitido"/>
    <x v="0"/>
    <x v="0"/>
    <x v="0"/>
    <x v="0"/>
    <x v="0"/>
    <x v="0"/>
    <m/>
  </r>
  <r>
    <s v="Factura electrónica"/>
    <s v="48539822d04d09ad05cbe0551927651222b0139315521ba8bd97801623c51aecd9ae891453e518494698c78ff9f510e9"/>
    <x v="1019"/>
    <n v="-1"/>
    <s v="FVE"/>
    <s v="28-01-2026"/>
    <s v="28-01-2026 16:28:45"/>
    <s v="900800595"/>
    <s v="Provexpress SAS"/>
    <s v="830022818"/>
    <x v="523"/>
    <n v="19152"/>
    <n v="0"/>
    <n v="0"/>
    <n v="119952"/>
    <s v="Aprobado con notificación"/>
    <s v="Emitido"/>
    <x v="0"/>
    <x v="0"/>
    <x v="0"/>
    <x v="0"/>
    <x v="0"/>
    <x v="0"/>
    <m/>
  </r>
  <r>
    <s v="Factura electrónica"/>
    <s v="e22a13cbf31eb1afdbf7456d03115522a8ddbc78aaca37661b156176f350b060d908692f6cac78a6ecdabfd09ef03d10"/>
    <x v="1020"/>
    <n v="-1"/>
    <s v="FVE"/>
    <s v="29-01-2026"/>
    <s v="29-01-2026 08:20:31"/>
    <s v="900800595"/>
    <s v="Provexpress SAS"/>
    <s v="830081407"/>
    <x v="533"/>
    <n v="237500"/>
    <n v="0"/>
    <n v="0"/>
    <n v="1487500"/>
    <s v="Aprobado con notificación"/>
    <s v="Emitido"/>
    <x v="0"/>
    <x v="0"/>
    <x v="0"/>
    <x v="0"/>
    <x v="0"/>
    <x v="0"/>
    <m/>
  </r>
  <r>
    <s v="Factura electrónica"/>
    <s v="078bb89645e6811f5dcde0bc2a64486b3972ff648f97f6f368be458c6ad19b8e24c58aed29f2e74e5628fcb679caf57a"/>
    <x v="1021"/>
    <n v="-1"/>
    <s v="FVE"/>
    <s v="29-01-2026"/>
    <s v="29-01-2026 09:51:13"/>
    <s v="900800595"/>
    <s v="Provexpress SAS"/>
    <s v="900998982"/>
    <x v="534"/>
    <n v="678148"/>
    <n v="0"/>
    <n v="0"/>
    <n v="4247348"/>
    <s v="Aprobado con notificación"/>
    <s v="Emitido"/>
    <x v="0"/>
    <x v="0"/>
    <x v="0"/>
    <x v="0"/>
    <x v="1"/>
    <x v="1"/>
    <s v="FACTURA PAGA EN EL SISTEMA 2/02/2026"/>
  </r>
  <r>
    <s v="Factura electrónica"/>
    <s v="4e51956a2b1885f014647d89c93dd753965c464eabdcd76b5abb03af0a671709fa408fb9c08592d8f61b2d974eeb545c"/>
    <x v="1022"/>
    <n v="-1"/>
    <s v="FVE"/>
    <s v="29-01-2026"/>
    <s v="29-01-2026 14:23:58"/>
    <s v="900800595"/>
    <s v="Provexpress SAS"/>
    <s v="860513247"/>
    <x v="264"/>
    <n v="52440"/>
    <n v="0"/>
    <n v="0"/>
    <n v="328440"/>
    <s v="Aprobado con notificación"/>
    <s v="Emitido"/>
    <x v="0"/>
    <x v="0"/>
    <x v="0"/>
    <x v="0"/>
    <x v="0"/>
    <x v="0"/>
    <m/>
  </r>
  <r>
    <s v="Factura electrónica"/>
    <s v="d04caa66dc095f75b116d1f0f0988fce5b29a1562a2dd1d8c0a828060c534b0db669ba171e848c8d7993ca366528f6d8"/>
    <x v="1023"/>
    <n v="-1"/>
    <s v="FVE"/>
    <s v="29-01-2026"/>
    <s v="29-01-2026 14:39:09"/>
    <s v="900800595"/>
    <s v="Provexpress SAS"/>
    <s v="800214052"/>
    <x v="535"/>
    <n v="39816.400000000001"/>
    <n v="0"/>
    <n v="0"/>
    <n v="249376.4"/>
    <s v="Aprobado con notificación"/>
    <s v="Emitido"/>
    <x v="0"/>
    <x v="0"/>
    <x v="0"/>
    <x v="0"/>
    <x v="0"/>
    <x v="0"/>
    <m/>
  </r>
  <r>
    <s v="Factura electrónica"/>
    <s v="4f056ffc9f16e2afd56768289ccdfbd79e3e98dbcacc1150fda6fe0f191baff22d3c6a14699770552e71427ccda6977b"/>
    <x v="1024"/>
    <n v="-1"/>
    <s v="FVE"/>
    <s v="29-01-2026"/>
    <s v="29-01-2026 14:54:22"/>
    <s v="900800595"/>
    <s v="Provexpress SAS"/>
    <s v="900115560"/>
    <x v="536"/>
    <n v="39900"/>
    <n v="0"/>
    <n v="0"/>
    <n v="249900"/>
    <s v="Aprobado con notificación"/>
    <s v="Emitido"/>
    <x v="0"/>
    <x v="0"/>
    <x v="0"/>
    <x v="0"/>
    <x v="1"/>
    <x v="1"/>
    <s v="FACTURA PAGA EN EL SISTEMA 2/02/2026"/>
  </r>
  <r>
    <s v="Factura electrónica"/>
    <s v="876f541cb56a8a861968ba13773d27056b00bfbc95b0ea632bcf43834123e858ed77d5ea5c9a875a43cf8416dea84e39"/>
    <x v="1025"/>
    <n v="-1"/>
    <s v="FVE"/>
    <s v="30-01-2026"/>
    <s v="30-01-2026 09:28:33"/>
    <s v="900800595"/>
    <s v="Provexpress SAS"/>
    <s v="900883688"/>
    <x v="537"/>
    <n v="237377.78"/>
    <n v="0"/>
    <n v="0"/>
    <n v="1788629.78"/>
    <s v="Aprobado con notificación"/>
    <s v="Emitido"/>
    <x v="0"/>
    <x v="0"/>
    <x v="0"/>
    <x v="0"/>
    <x v="1"/>
    <x v="1"/>
    <s v="FACTURA PAGA EN EL SISTEMA 5/02/2026"/>
  </r>
  <r>
    <s v="Factura electrónica"/>
    <s v="2f371a29f6c28e316758b4ac67950731753a4eb5cb8f9c21d4eb505d51e96dec46b49cfb5556496e6c375999576744e3"/>
    <x v="1026"/>
    <n v="-1"/>
    <s v="FVE"/>
    <s v="30-01-2026"/>
    <s v="30-01-2026 09:28:39"/>
    <s v="900800595"/>
    <s v="Provexpress SAS"/>
    <s v="900883688"/>
    <x v="537"/>
    <n v="25080"/>
    <n v="0"/>
    <n v="0"/>
    <n v="237230"/>
    <s v="Aprobado con notificación"/>
    <s v="Emitido"/>
    <x v="0"/>
    <x v="0"/>
    <x v="0"/>
    <x v="0"/>
    <x v="1"/>
    <x v="1"/>
    <s v="FACTURA PAGA EN EL SISTEMA 5/02/2026"/>
  </r>
  <r>
    <s v="Factura electrónica"/>
    <s v="1870f3ee4bd5ad7606346d2f761084bc60248efefa7a3d2bdeface8e7d2b709921c434fafad412bd27e18d4bf313a0ca"/>
    <x v="1027"/>
    <n v="-1"/>
    <s v="FVE"/>
    <s v="30-01-2026"/>
    <s v="30-01-2026 09:43:45"/>
    <s v="900800595"/>
    <s v="Provexpress SAS"/>
    <s v="352727782"/>
    <x v="538"/>
    <n v="14250"/>
    <n v="0"/>
    <n v="0"/>
    <n v="89250"/>
    <s v="Aprobado con notificación"/>
    <s v="Emitido"/>
    <x v="0"/>
    <x v="0"/>
    <x v="0"/>
    <x v="0"/>
    <x v="1"/>
    <x v="1"/>
    <s v="FACTURA PAGA EN EL SISTEMA 30/01/2026"/>
  </r>
  <r>
    <s v="Factura electrónica"/>
    <s v="075ab9f4651d9bfd1fae726583dd74ecea432a0a0b01223a3bdb22acfdde65db902ec781db3664039d13378f81927a9d"/>
    <x v="1028"/>
    <n v="-1"/>
    <s v="FVE"/>
    <s v="30-01-2026"/>
    <s v="30-01-2026 09:43:49"/>
    <s v="900800595"/>
    <s v="Provexpress SAS"/>
    <s v="900438438"/>
    <x v="539"/>
    <n v="1326200"/>
    <n v="0"/>
    <n v="0"/>
    <n v="8306200"/>
    <s v="Aprobado con notificación"/>
    <s v="Emitido"/>
    <x v="0"/>
    <x v="0"/>
    <x v="0"/>
    <x v="0"/>
    <x v="1"/>
    <x v="1"/>
    <s v="FACTURA PAGA EN EL SISTEMA 6/02/2026"/>
  </r>
  <r>
    <s v="Factura electrónica"/>
    <s v="b5e7110d73c1e8f1c910cd0f5872e793e9da14d45773d60debc5fce98e62aa23a1ad22910d0e1119df9d10697f8202ca"/>
    <x v="1029"/>
    <n v="-1"/>
    <s v="FVE"/>
    <s v="30-01-2026"/>
    <s v="30-01-2026 10:44:14"/>
    <s v="900800595"/>
    <s v="Provexpress SAS"/>
    <s v="901061386"/>
    <x v="540"/>
    <n v="327475.40000000002"/>
    <n v="0"/>
    <n v="0"/>
    <n v="2667435.4"/>
    <s v="Aprobado con notificación"/>
    <s v="Emitido"/>
    <x v="0"/>
    <x v="0"/>
    <x v="0"/>
    <x v="0"/>
    <x v="1"/>
    <x v="1"/>
    <s v="FACTURA PAGA EN EL SISTEMA 9/02/2026"/>
  </r>
  <r>
    <s v="Factura electrónica"/>
    <s v="e7ea8cafcb944f232ac49428cd46bd6a9bb1e87bc14953d17e1f5060922c3d7ffb63fbab0252af59cea396e328a19c5b"/>
    <x v="1030"/>
    <n v="-1"/>
    <s v="FVE"/>
    <s v="30-01-2026"/>
    <s v="30-01-2026 12:14:13"/>
    <s v="900800595"/>
    <s v="Provexpress SAS"/>
    <s v="41947244"/>
    <x v="541"/>
    <n v="975840"/>
    <n v="0"/>
    <n v="0"/>
    <n v="6111840"/>
    <s v="Aprobado con notificación"/>
    <s v="Emitido"/>
    <x v="0"/>
    <x v="0"/>
    <x v="0"/>
    <x v="0"/>
    <x v="1"/>
    <x v="1"/>
    <s v="FACTURA PAGA EN EL SISTEMA 6/02/2026"/>
  </r>
  <r>
    <s v="Factura electrónica"/>
    <s v="ba9f84810ce34d08907f5263cb2a1e8be25cb2da8138e40d9a17805d526853d2fee7bc6c164646b1a5f93a1985895596"/>
    <x v="1031"/>
    <n v="-1"/>
    <s v="FVE"/>
    <s v="30-01-2026"/>
    <s v="30-01-2026 12:14:17"/>
    <s v="900800595"/>
    <s v="Provexpress SAS"/>
    <s v="900223930"/>
    <x v="542"/>
    <n v="78933.600000000006"/>
    <n v="0"/>
    <n v="0"/>
    <n v="494373.6"/>
    <s v="Aprobado con notificación"/>
    <s v="Emitido"/>
    <x v="0"/>
    <x v="0"/>
    <x v="0"/>
    <x v="0"/>
    <x v="1"/>
    <x v="1"/>
    <s v="FACTURA PAGA EN EL SISTEMA 6/02/2026"/>
  </r>
  <r>
    <s v="Factura electrónica"/>
    <s v="2eedb859b8e654ec1fff5da07cd04cf71ecd86e3aa9bee2d58316e44a5bbd3f78e619199904f0b746bffd9ab3191ff6d"/>
    <x v="1032"/>
    <n v="-1"/>
    <s v="FVE"/>
    <s v="30-01-2026"/>
    <s v="30-01-2026 14:44:54"/>
    <s v="900800595"/>
    <s v="Provexpress SAS"/>
    <s v="1033721861"/>
    <x v="543"/>
    <n v="10640"/>
    <n v="0"/>
    <n v="0"/>
    <n v="66640"/>
    <s v="Aprobado con notificación"/>
    <s v="Emitido"/>
    <x v="0"/>
    <x v="0"/>
    <x v="0"/>
    <x v="0"/>
    <x v="1"/>
    <x v="1"/>
    <s v="FACTURA PAGA EN EL SISTEMA 18/02/2026"/>
  </r>
  <r>
    <s v="Factura electrónica"/>
    <s v="2eedb859b8e654ec1fff5da07cd04cf71ecd86e3aa9bee2d58316e44a5bbd3f78e619199904f0b746bffd9ab3191ff6d"/>
    <x v="1033"/>
    <n v="105657"/>
    <s v="FVE"/>
    <s v="30-01-2027"/>
    <s v="30-01-2026 14:44:55"/>
    <s v="900800596"/>
    <s v="Provexpress SAS"/>
    <m/>
    <x v="544"/>
    <m/>
    <m/>
    <m/>
    <m/>
    <m/>
    <m/>
    <x v="0"/>
    <x v="0"/>
    <x v="0"/>
    <x v="0"/>
    <x v="1"/>
    <x v="1"/>
    <s v="FACTURA PAGA EN EL SISTEMA 13/02/20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2D6758-896F-4BC6-98F0-16A84B02C834}" name="Tabla 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D169" firstHeaderRow="0" firstDataRow="1" firstDataCol="2" rowPageCount="1" colPageCount="1"/>
  <pivotFields count="24">
    <pivotField compact="0" outline="0" showAll="0"/>
    <pivotField compact="0" outline="0" showAll="0"/>
    <pivotField axis="axisRow" compact="0" outline="0" showAll="0">
      <items count="2100"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5"/>
        <item m="1" x="1846"/>
        <item m="1" x="1847"/>
        <item m="1" x="1848"/>
        <item m="1" x="1850"/>
        <item m="1" x="1851"/>
        <item m="1" x="1852"/>
        <item m="1" x="1853"/>
        <item m="1" x="1854"/>
        <item m="1" x="1855"/>
        <item m="1" x="1856"/>
        <item m="1" x="1857"/>
        <item m="1" x="1858"/>
        <item m="1" x="1859"/>
        <item m="1" x="1860"/>
        <item m="1" x="1861"/>
        <item m="1" x="1862"/>
        <item m="1" x="1863"/>
        <item m="1" x="1864"/>
        <item m="1" x="1865"/>
        <item m="1" x="1866"/>
        <item m="1" x="1867"/>
        <item m="1" x="1868"/>
        <item m="1" x="1869"/>
        <item m="1" x="1870"/>
        <item m="1" x="1871"/>
        <item m="1" x="1872"/>
        <item m="1" x="1873"/>
        <item m="1" x="1874"/>
        <item m="1" x="1875"/>
        <item m="1" x="1876"/>
        <item m="1" x="1877"/>
        <item m="1" x="1878"/>
        <item m="1" x="1879"/>
        <item m="1" x="1880"/>
        <item m="1" x="1881"/>
        <item m="1" x="1882"/>
        <item m="1" x="1883"/>
        <item m="1" x="1884"/>
        <item m="1" x="1885"/>
        <item m="1" x="1886"/>
        <item m="1" x="1887"/>
        <item m="1" x="1888"/>
        <item m="1" x="1889"/>
        <item m="1" x="1890"/>
        <item m="1" x="1891"/>
        <item m="1" x="1892"/>
        <item m="1" x="1893"/>
        <item m="1" x="1894"/>
        <item m="1" x="1895"/>
        <item m="1" x="1896"/>
        <item m="1" x="1897"/>
        <item m="1" x="1898"/>
        <item m="1" x="1899"/>
        <item m="1" x="1900"/>
        <item m="1" x="1901"/>
        <item m="1" x="1902"/>
        <item m="1" x="1903"/>
        <item m="1" x="1904"/>
        <item m="1" x="1905"/>
        <item m="1" x="1906"/>
        <item m="1" x="1907"/>
        <item m="1" x="1908"/>
        <item m="1" x="1909"/>
        <item m="1" x="1910"/>
        <item m="1" x="1911"/>
        <item m="1" x="1912"/>
        <item m="1" x="1913"/>
        <item m="1" x="1914"/>
        <item m="1" x="1915"/>
        <item m="1" x="1916"/>
        <item m="1" x="1917"/>
        <item m="1" x="1918"/>
        <item m="1" x="1919"/>
        <item m="1" x="1920"/>
        <item m="1" x="1921"/>
        <item m="1" x="1922"/>
        <item m="1" x="1923"/>
        <item m="1" x="1924"/>
        <item m="1" x="1925"/>
        <item m="1" x="1926"/>
        <item m="1" x="1927"/>
        <item m="1" x="1928"/>
        <item m="1" x="1929"/>
        <item m="1" x="1930"/>
        <item m="1" x="1931"/>
        <item m="1" x="1932"/>
        <item m="1" x="1933"/>
        <item m="1" x="1934"/>
        <item m="1" x="1935"/>
        <item m="1" x="1936"/>
        <item m="1" x="1937"/>
        <item m="1" x="1938"/>
        <item m="1" x="1939"/>
        <item m="1" x="1940"/>
        <item m="1" x="1941"/>
        <item m="1" x="1942"/>
        <item m="1" x="1943"/>
        <item m="1" x="1944"/>
        <item m="1" x="1945"/>
        <item m="1" x="1946"/>
        <item m="1" x="194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1958"/>
        <item m="1" x="1959"/>
        <item m="1" x="1960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75"/>
        <item m="1" x="1976"/>
        <item m="1" x="1977"/>
        <item m="1" x="1978"/>
        <item m="1" x="1979"/>
        <item m="1" x="1980"/>
        <item m="1" x="1981"/>
        <item m="1" x="1982"/>
        <item m="1" x="1983"/>
        <item m="1" x="1984"/>
        <item m="1" x="1985"/>
        <item m="1" x="1986"/>
        <item m="1" x="1987"/>
        <item m="1" x="1988"/>
        <item m="1" x="1989"/>
        <item m="1" x="1990"/>
        <item m="1" x="1991"/>
        <item m="1" x="1992"/>
        <item m="1" x="1993"/>
        <item m="1" x="1994"/>
        <item m="1" x="1995"/>
        <item m="1" x="1996"/>
        <item m="1" x="1997"/>
        <item m="1" x="1998"/>
        <item m="1" x="1999"/>
        <item m="1" x="2000"/>
        <item m="1" x="2001"/>
        <item m="1" x="2002"/>
        <item m="1" x="2003"/>
        <item m="1" x="2004"/>
        <item m="1" x="2005"/>
        <item m="1" x="2006"/>
        <item m="1" x="2007"/>
        <item m="1" x="2008"/>
        <item m="1" x="2009"/>
        <item m="1" x="2010"/>
        <item m="1" x="2011"/>
        <item m="1" x="2012"/>
        <item m="1" x="2013"/>
        <item m="1" x="2014"/>
        <item m="1" x="2015"/>
        <item m="1" x="2016"/>
        <item m="1" x="2017"/>
        <item m="1" x="2018"/>
        <item m="1" x="2019"/>
        <item m="1" x="2020"/>
        <item m="1" x="2021"/>
        <item m="1" x="2022"/>
        <item m="1" x="2023"/>
        <item m="1" x="2024"/>
        <item m="1" x="2025"/>
        <item m="1" x="2026"/>
        <item m="1" x="2027"/>
        <item m="1" x="2028"/>
        <item m="1" x="2029"/>
        <item m="1" x="2030"/>
        <item m="1" x="2031"/>
        <item m="1" x="2032"/>
        <item m="1" x="2033"/>
        <item m="1" x="2034"/>
        <item m="1" x="2035"/>
        <item m="1" x="2036"/>
        <item m="1" x="2037"/>
        <item m="1" x="2038"/>
        <item m="1" x="2039"/>
        <item m="1" x="2040"/>
        <item m="1" x="2041"/>
        <item m="1" x="2042"/>
        <item m="1" x="2043"/>
        <item m="1" x="2044"/>
        <item m="1" x="2045"/>
        <item m="1" x="2046"/>
        <item m="1" x="2047"/>
        <item m="1" x="2048"/>
        <item m="1" x="2049"/>
        <item m="1" x="2050"/>
        <item m="1" x="2051"/>
        <item m="1" x="2052"/>
        <item m="1" x="2053"/>
        <item m="1" x="2054"/>
        <item m="1" x="2055"/>
        <item m="1" x="2056"/>
        <item m="1" x="2057"/>
        <item m="1" x="205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88"/>
        <item m="1" x="2089"/>
        <item m="1" x="2090"/>
        <item m="1" x="2091"/>
        <item m="1" x="2092"/>
        <item m="1" x="2093"/>
        <item m="1" x="2094"/>
        <item m="1" x="2095"/>
        <item m="1" x="2096"/>
        <item m="1" x="2097"/>
        <item m="1" x="2098"/>
        <item m="1" x="1849"/>
        <item m="1" x="103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3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4"/>
        <item x="60"/>
        <item x="61"/>
        <item x="62"/>
        <item x="63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5"/>
        <item x="106"/>
        <item x="107"/>
        <item x="108"/>
        <item x="109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3"/>
        <item x="164"/>
        <item x="165"/>
        <item x="166"/>
        <item x="167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162"/>
        <item x="168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397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533"/>
        <item x="573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679"/>
        <item x="730"/>
        <item x="731"/>
        <item x="32"/>
        <item x="34"/>
        <item x="85"/>
        <item x="104"/>
        <item x="110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136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38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883">
        <item x="110"/>
        <item m="1" x="648"/>
        <item m="1" x="810"/>
        <item x="376"/>
        <item x="270"/>
        <item m="1" x="878"/>
        <item m="1" x="877"/>
        <item m="1" x="785"/>
        <item x="193"/>
        <item x="192"/>
        <item x="226"/>
        <item m="1" x="644"/>
        <item x="431"/>
        <item x="364"/>
        <item m="1" x="821"/>
        <item m="1" x="804"/>
        <item m="1" x="703"/>
        <item x="206"/>
        <item m="1" x="588"/>
        <item x="530"/>
        <item m="1" x="767"/>
        <item x="533"/>
        <item m="1" x="555"/>
        <item x="483"/>
        <item x="532"/>
        <item m="1" x="562"/>
        <item m="1" x="672"/>
        <item m="1" x="693"/>
        <item m="1" x="853"/>
        <item m="1" x="664"/>
        <item m="1" x="797"/>
        <item m="1" x="711"/>
        <item m="1" x="592"/>
        <item x="435"/>
        <item m="1" x="689"/>
        <item m="1" x="584"/>
        <item x="234"/>
        <item x="367"/>
        <item x="426"/>
        <item m="1" x="848"/>
        <item m="1" x="795"/>
        <item m="1" x="638"/>
        <item m="1" x="640"/>
        <item m="1" x="771"/>
        <item m="1" x="857"/>
        <item x="369"/>
        <item m="1" x="762"/>
        <item x="18"/>
        <item m="1" x="646"/>
        <item m="1" x="759"/>
        <item m="1" x="867"/>
        <item m="1" x="578"/>
        <item m="1" x="571"/>
        <item x="146"/>
        <item m="1" x="681"/>
        <item m="1" x="860"/>
        <item x="405"/>
        <item m="1" x="861"/>
        <item m="1" x="569"/>
        <item m="1" x="697"/>
        <item x="393"/>
        <item m="1" x="601"/>
        <item x="231"/>
        <item m="1" x="772"/>
        <item m="1" x="706"/>
        <item m="1" x="796"/>
        <item x="248"/>
        <item m="1" x="685"/>
        <item m="1" x="749"/>
        <item m="1" x="738"/>
        <item m="1" x="718"/>
        <item x="540"/>
        <item x="70"/>
        <item x="47"/>
        <item m="1" x="793"/>
        <item x="336"/>
        <item m="1" x="850"/>
        <item m="1" x="843"/>
        <item x="252"/>
        <item m="1" x="586"/>
        <item x="537"/>
        <item x="58"/>
        <item x="513"/>
        <item x="41"/>
        <item m="1" x="835"/>
        <item m="1" x="717"/>
        <item x="187"/>
        <item x="24"/>
        <item x="66"/>
        <item m="1" x="600"/>
        <item m="1" x="829"/>
        <item m="1" x="815"/>
        <item m="1" x="643"/>
        <item x="258"/>
        <item x="205"/>
        <item x="277"/>
        <item x="208"/>
        <item m="1" x="677"/>
        <item m="1" x="559"/>
        <item m="1" x="577"/>
        <item m="1" x="692"/>
        <item m="1" x="637"/>
        <item x="495"/>
        <item m="1" x="582"/>
        <item m="1" x="837"/>
        <item m="1" x="650"/>
        <item m="1" x="783"/>
        <item m="1" x="833"/>
        <item m="1" x="610"/>
        <item x="14"/>
        <item x="160"/>
        <item m="1" x="823"/>
        <item x="300"/>
        <item x="464"/>
        <item x="88"/>
        <item m="1" x="854"/>
        <item m="1" x="570"/>
        <item x="6"/>
        <item x="102"/>
        <item x="419"/>
        <item m="1" x="740"/>
        <item m="1" x="830"/>
        <item x="373"/>
        <item x="220"/>
        <item x="374"/>
        <item m="1" x="589"/>
        <item x="291"/>
        <item m="1" x="756"/>
        <item m="1" x="673"/>
        <item x="229"/>
        <item x="390"/>
        <item x="375"/>
        <item x="131"/>
        <item m="1" x="789"/>
        <item x="36"/>
        <item m="1" x="652"/>
        <item x="8"/>
        <item m="1" x="715"/>
        <item m="1" x="659"/>
        <item m="1" x="858"/>
        <item m="1" x="671"/>
        <item m="1" x="831"/>
        <item x="219"/>
        <item m="1" x="832"/>
        <item m="1" x="825"/>
        <item x="433"/>
        <item m="1" x="708"/>
        <item m="1" x="765"/>
        <item m="1" x="666"/>
        <item m="1" x="801"/>
        <item m="1" x="782"/>
        <item m="1" x="847"/>
        <item m="1" x="845"/>
        <item m="1" x="773"/>
        <item x="297"/>
        <item m="1" x="725"/>
        <item m="1" x="859"/>
        <item x="429"/>
        <item m="1" x="726"/>
        <item m="1" x="607"/>
        <item m="1" x="561"/>
        <item m="1" x="800"/>
        <item x="180"/>
        <item x="356"/>
        <item x="366"/>
        <item x="456"/>
        <item x="176"/>
        <item x="182"/>
        <item m="1" x="720"/>
        <item x="254"/>
        <item x="421"/>
        <item m="1" x="842"/>
        <item x="54"/>
        <item x="406"/>
        <item m="1" x="747"/>
        <item x="325"/>
        <item x="313"/>
        <item x="138"/>
        <item m="1" x="663"/>
        <item m="1" x="777"/>
        <item m="1" x="606"/>
        <item m="1" x="572"/>
        <item x="460"/>
        <item x="197"/>
        <item x="221"/>
        <item m="1" x="683"/>
        <item x="22"/>
        <item m="1" x="784"/>
        <item m="1" x="727"/>
        <item m="1" x="594"/>
        <item m="1" x="667"/>
        <item x="53"/>
        <item m="1" x="788"/>
        <item m="1" x="812"/>
        <item m="1" x="729"/>
        <item x="2"/>
        <item x="82"/>
        <item x="224"/>
        <item x="159"/>
        <item m="1" x="563"/>
        <item m="1" x="564"/>
        <item x="260"/>
        <item m="1" x="612"/>
        <item m="1" x="690"/>
        <item m="1" x="719"/>
        <item x="59"/>
        <item m="1" x="614"/>
        <item x="454"/>
        <item m="1" x="879"/>
        <item m="1" x="739"/>
        <item x="185"/>
        <item m="1" x="779"/>
        <item x="34"/>
        <item m="1" x="744"/>
        <item m="1" x="716"/>
        <item x="371"/>
        <item m="1" x="694"/>
        <item m="1" x="712"/>
        <item x="4"/>
        <item x="3"/>
        <item m="1" x="866"/>
        <item m="1" x="802"/>
        <item m="1" x="682"/>
        <item m="1" x="573"/>
        <item m="1" x="709"/>
        <item m="1" x="865"/>
        <item m="1" x="733"/>
        <item m="1" x="633"/>
        <item m="1" x="846"/>
        <item m="1" x="626"/>
        <item x="362"/>
        <item x="447"/>
        <item m="1" x="629"/>
        <item x="153"/>
        <item m="1" x="631"/>
        <item x="64"/>
        <item x="310"/>
        <item x="157"/>
        <item m="1" x="809"/>
        <item x="189"/>
        <item m="1" x="700"/>
        <item x="288"/>
        <item x="261"/>
        <item x="202"/>
        <item x="497"/>
        <item m="1" x="863"/>
        <item m="1" x="707"/>
        <item m="1" x="660"/>
        <item x="178"/>
        <item x="380"/>
        <item x="81"/>
        <item m="1" x="748"/>
        <item x="107"/>
        <item x="162"/>
        <item x="275"/>
        <item m="1" x="695"/>
        <item m="1" x="732"/>
        <item m="1" x="684"/>
        <item m="1" x="653"/>
        <item m="1" x="862"/>
        <item m="1" x="696"/>
        <item x="307"/>
        <item x="218"/>
        <item m="1" x="735"/>
        <item m="1" x="844"/>
        <item x="510"/>
        <item m="1" x="776"/>
        <item x="174"/>
        <item m="1" x="668"/>
        <item m="1" x="849"/>
        <item x="50"/>
        <item x="337"/>
        <item x="196"/>
        <item m="1" x="870"/>
        <item m="1" x="761"/>
        <item m="1" x="619"/>
        <item m="1" x="645"/>
        <item x="347"/>
        <item m="1" x="591"/>
        <item x="457"/>
        <item x="90"/>
        <item x="477"/>
        <item x="327"/>
        <item x="283"/>
        <item m="1" x="611"/>
        <item x="293"/>
        <item x="127"/>
        <item m="1" x="628"/>
        <item x="32"/>
        <item m="1" x="824"/>
        <item m="1" x="551"/>
        <item m="1" x="603"/>
        <item m="1" x="565"/>
        <item m="1" x="787"/>
        <item x="212"/>
        <item m="1" x="790"/>
        <item m="1" x="593"/>
        <item m="1" x="574"/>
        <item m="1" x="636"/>
        <item x="141"/>
        <item x="77"/>
        <item x="114"/>
        <item x="184"/>
        <item x="285"/>
        <item x="444"/>
        <item m="1" x="868"/>
        <item m="1" x="826"/>
        <item m="1" x="751"/>
        <item m="1" x="792"/>
        <item x="225"/>
        <item x="334"/>
        <item x="203"/>
        <item x="379"/>
        <item x="125"/>
        <item x="155"/>
        <item x="145"/>
        <item m="1" x="662"/>
        <item x="417"/>
        <item x="490"/>
        <item m="1" x="599"/>
        <item m="1" x="757"/>
        <item x="85"/>
        <item m="1" x="641"/>
        <item m="1" x="734"/>
        <item m="1" x="803"/>
        <item m="1" x="752"/>
        <item x="480"/>
        <item m="1" x="632"/>
        <item m="1" x="828"/>
        <item x="99"/>
        <item x="129"/>
        <item m="1" x="621"/>
        <item m="1" x="872"/>
        <item x="243"/>
        <item m="1" x="702"/>
        <item m="1" x="807"/>
        <item x="428"/>
        <item x="105"/>
        <item m="1" x="808"/>
        <item m="1" x="799"/>
        <item x="194"/>
        <item m="1" x="657"/>
        <item x="207"/>
        <item x="100"/>
        <item m="1" x="605"/>
        <item m="1" x="661"/>
        <item x="395"/>
        <item m="1" x="595"/>
        <item x="449"/>
        <item m="1" x="873"/>
        <item m="1" x="745"/>
        <item x="289"/>
        <item x="20"/>
        <item x="500"/>
        <item m="1" x="622"/>
        <item m="1" x="875"/>
        <item x="242"/>
        <item x="5"/>
        <item m="1" x="838"/>
        <item m="1" x="713"/>
        <item x="65"/>
        <item x="62"/>
        <item m="1" x="618"/>
        <item x="91"/>
        <item x="274"/>
        <item x="488"/>
        <item x="74"/>
        <item m="1" x="608"/>
        <item m="1" x="814"/>
        <item m="1" x="624"/>
        <item m="1" x="674"/>
        <item x="308"/>
        <item m="1" x="581"/>
        <item x="247"/>
        <item m="1" x="794"/>
        <item m="1" x="817"/>
        <item m="1" x="557"/>
        <item x="476"/>
        <item x="204"/>
        <item m="1" x="597"/>
        <item m="1" x="791"/>
        <item m="1" x="880"/>
        <item m="1" x="728"/>
        <item m="1" x="820"/>
        <item m="1" x="701"/>
        <item m="1" x="670"/>
        <item m="1" x="699"/>
        <item x="148"/>
        <item x="443"/>
        <item m="1" x="764"/>
        <item m="1" x="836"/>
        <item x="394"/>
        <item m="1" x="553"/>
        <item m="1" x="710"/>
        <item x="209"/>
        <item x="126"/>
        <item m="1" x="763"/>
        <item m="1" x="665"/>
        <item m="1" x="769"/>
        <item m="1" x="580"/>
        <item m="1" x="642"/>
        <item m="1" x="737"/>
        <item m="1" x="698"/>
        <item m="1" x="743"/>
        <item m="1" x="768"/>
        <item x="515"/>
        <item x="368"/>
        <item m="1" x="560"/>
        <item m="1" x="656"/>
        <item x="268"/>
        <item x="535"/>
        <item x="276"/>
        <item x="430"/>
        <item m="1" x="596"/>
        <item x="75"/>
        <item m="1" x="617"/>
        <item m="1" x="675"/>
        <item m="1" x="651"/>
        <item m="1" x="876"/>
        <item x="30"/>
        <item x="123"/>
        <item m="1" x="691"/>
        <item m="1" x="598"/>
        <item x="413"/>
        <item x="211"/>
        <item x="410"/>
        <item m="1" x="731"/>
        <item m="1" x="840"/>
        <item m="1" x="649"/>
        <item x="266"/>
        <item m="1" x="746"/>
        <item m="1" x="813"/>
        <item x="474"/>
        <item x="78"/>
        <item m="1" x="871"/>
        <item x="119"/>
        <item m="1" x="680"/>
        <item m="1" x="881"/>
        <item m="1" x="686"/>
        <item m="1" x="705"/>
        <item x="168"/>
        <item m="1" x="754"/>
        <item x="271"/>
        <item m="1" x="806"/>
        <item x="365"/>
        <item m="1" x="855"/>
        <item m="1" x="639"/>
        <item x="519"/>
        <item x="411"/>
        <item x="412"/>
        <item x="101"/>
        <item m="1" x="687"/>
        <item m="1" x="834"/>
        <item x="122"/>
        <item m="1" x="576"/>
        <item x="124"/>
        <item m="1" x="647"/>
        <item m="1" x="654"/>
        <item m="1" x="613"/>
        <item x="16"/>
        <item x="521"/>
        <item x="210"/>
        <item x="304"/>
        <item x="55"/>
        <item m="1" x="579"/>
        <item m="1" x="760"/>
        <item m="1" x="822"/>
        <item m="1" x="864"/>
        <item m="1" x="721"/>
        <item m="1" x="869"/>
        <item x="251"/>
        <item m="1" x="627"/>
        <item m="1" x="750"/>
        <item x="542"/>
        <item m="1" x="634"/>
        <item x="63"/>
        <item m="1" x="805"/>
        <item m="1" x="841"/>
        <item m="1" x="770"/>
        <item x="525"/>
        <item m="1" x="827"/>
        <item m="1" x="688"/>
        <item x="237"/>
        <item m="1" x="658"/>
        <item x="451"/>
        <item x="321"/>
        <item x="92"/>
        <item x="136"/>
        <item m="1" x="704"/>
        <item m="1" x="874"/>
        <item m="1" x="552"/>
        <item m="1" x="741"/>
        <item m="1" x="730"/>
        <item m="1" x="818"/>
        <item m="1" x="819"/>
        <item m="1" x="556"/>
        <item m="1" x="851"/>
        <item x="45"/>
        <item m="1" x="811"/>
        <item m="1" x="753"/>
        <item m="1" x="714"/>
        <item x="479"/>
        <item m="1" x="758"/>
        <item m="1" x="585"/>
        <item x="272"/>
        <item x="98"/>
        <item x="262"/>
        <item x="95"/>
        <item x="172"/>
        <item x="459"/>
        <item m="1" x="609"/>
        <item m="1" x="554"/>
        <item x="108"/>
        <item x="42"/>
        <item m="1" x="766"/>
        <item m="1" x="798"/>
        <item m="1" x="774"/>
        <item x="324"/>
        <item m="1" x="816"/>
        <item x="469"/>
        <item x="83"/>
        <item m="1" x="676"/>
        <item m="1" x="755"/>
        <item m="1" x="781"/>
        <item x="23"/>
        <item m="1" x="567"/>
        <item x="56"/>
        <item x="188"/>
        <item m="1" x="587"/>
        <item m="1" x="839"/>
        <item m="1" x="852"/>
        <item x="349"/>
        <item m="1" x="615"/>
        <item x="67"/>
        <item m="1" x="856"/>
        <item m="1" x="742"/>
        <item m="1" x="604"/>
        <item m="1" x="568"/>
        <item x="408"/>
        <item m="1" x="625"/>
        <item x="439"/>
        <item m="1" x="669"/>
        <item m="1" x="635"/>
        <item m="1" x="775"/>
        <item m="1" x="778"/>
        <item m="1" x="786"/>
        <item x="89"/>
        <item m="1" x="620"/>
        <item x="350"/>
        <item m="1" x="590"/>
        <item m="1" x="655"/>
        <item m="1" x="679"/>
        <item x="199"/>
        <item m="1" x="736"/>
        <item m="1" x="630"/>
        <item x="531"/>
        <item m="1" x="723"/>
        <item x="472"/>
        <item x="230"/>
        <item m="1" x="558"/>
        <item x="79"/>
        <item x="311"/>
        <item x="134"/>
        <item x="57"/>
        <item m="1" x="602"/>
        <item x="147"/>
        <item m="1" x="616"/>
        <item x="357"/>
        <item x="416"/>
        <item m="1" x="678"/>
        <item x="346"/>
        <item m="1" x="780"/>
        <item x="256"/>
        <item x="361"/>
        <item m="1" x="583"/>
        <item x="215"/>
        <item m="1" x="566"/>
        <item m="1" x="623"/>
        <item x="179"/>
        <item m="1" x="724"/>
        <item m="1" x="575"/>
        <item m="1" x="722"/>
        <item x="52"/>
        <item x="0"/>
        <item x="1"/>
        <item x="7"/>
        <item x="9"/>
        <item x="10"/>
        <item x="11"/>
        <item x="12"/>
        <item x="13"/>
        <item x="15"/>
        <item x="17"/>
        <item x="19"/>
        <item x="21"/>
        <item x="25"/>
        <item x="26"/>
        <item x="27"/>
        <item x="28"/>
        <item x="29"/>
        <item x="31"/>
        <item x="33"/>
        <item x="35"/>
        <item x="37"/>
        <item m="1" x="545"/>
        <item x="38"/>
        <item x="39"/>
        <item x="40"/>
        <item x="43"/>
        <item x="44"/>
        <item x="46"/>
        <item x="48"/>
        <item x="49"/>
        <item x="51"/>
        <item x="60"/>
        <item x="61"/>
        <item x="68"/>
        <item x="69"/>
        <item x="71"/>
        <item x="72"/>
        <item x="73"/>
        <item x="76"/>
        <item x="80"/>
        <item x="84"/>
        <item x="86"/>
        <item x="87"/>
        <item x="93"/>
        <item x="94"/>
        <item x="96"/>
        <item x="97"/>
        <item x="103"/>
        <item x="104"/>
        <item x="106"/>
        <item x="109"/>
        <item x="111"/>
        <item x="112"/>
        <item x="113"/>
        <item x="115"/>
        <item x="116"/>
        <item x="117"/>
        <item x="118"/>
        <item x="120"/>
        <item x="121"/>
        <item x="128"/>
        <item x="130"/>
        <item x="132"/>
        <item x="133"/>
        <item x="135"/>
        <item x="137"/>
        <item x="139"/>
        <item x="140"/>
        <item x="142"/>
        <item x="143"/>
        <item x="144"/>
        <item x="149"/>
        <item x="150"/>
        <item x="151"/>
        <item x="152"/>
        <item x="154"/>
        <item x="156"/>
        <item x="158"/>
        <item x="161"/>
        <item x="163"/>
        <item x="164"/>
        <item x="165"/>
        <item x="166"/>
        <item x="167"/>
        <item x="169"/>
        <item x="170"/>
        <item x="171"/>
        <item x="173"/>
        <item x="175"/>
        <item x="177"/>
        <item x="181"/>
        <item x="183"/>
        <item x="186"/>
        <item x="190"/>
        <item x="191"/>
        <item x="195"/>
        <item x="198"/>
        <item x="200"/>
        <item x="201"/>
        <item x="213"/>
        <item x="214"/>
        <item x="216"/>
        <item x="217"/>
        <item x="222"/>
        <item x="223"/>
        <item x="227"/>
        <item x="228"/>
        <item x="232"/>
        <item x="233"/>
        <item x="235"/>
        <item x="236"/>
        <item x="238"/>
        <item x="239"/>
        <item x="240"/>
        <item x="241"/>
        <item x="244"/>
        <item x="245"/>
        <item x="246"/>
        <item x="249"/>
        <item x="250"/>
        <item x="253"/>
        <item x="255"/>
        <item x="257"/>
        <item x="259"/>
        <item x="263"/>
        <item x="264"/>
        <item x="265"/>
        <item x="267"/>
        <item x="269"/>
        <item x="273"/>
        <item x="278"/>
        <item x="279"/>
        <item x="280"/>
        <item x="281"/>
        <item x="282"/>
        <item x="284"/>
        <item x="286"/>
        <item x="287"/>
        <item x="290"/>
        <item x="292"/>
        <item x="294"/>
        <item x="295"/>
        <item x="296"/>
        <item x="298"/>
        <item x="299"/>
        <item x="301"/>
        <item x="302"/>
        <item x="303"/>
        <item x="305"/>
        <item x="306"/>
        <item x="309"/>
        <item x="312"/>
        <item x="314"/>
        <item x="315"/>
        <item x="316"/>
        <item x="317"/>
        <item x="318"/>
        <item x="319"/>
        <item x="320"/>
        <item x="322"/>
        <item x="323"/>
        <item x="326"/>
        <item x="328"/>
        <item x="329"/>
        <item x="330"/>
        <item x="331"/>
        <item x="332"/>
        <item x="333"/>
        <item x="335"/>
        <item x="338"/>
        <item x="339"/>
        <item x="340"/>
        <item x="341"/>
        <item x="342"/>
        <item x="343"/>
        <item x="344"/>
        <item x="345"/>
        <item x="348"/>
        <item x="351"/>
        <item x="352"/>
        <item x="353"/>
        <item x="354"/>
        <item x="355"/>
        <item x="358"/>
        <item x="359"/>
        <item x="360"/>
        <item x="363"/>
        <item x="370"/>
        <item x="372"/>
        <item x="377"/>
        <item x="378"/>
        <item x="381"/>
        <item x="382"/>
        <item x="383"/>
        <item x="384"/>
        <item x="385"/>
        <item x="386"/>
        <item x="387"/>
        <item x="388"/>
        <item x="389"/>
        <item x="391"/>
        <item x="392"/>
        <item x="396"/>
        <item x="397"/>
        <item x="398"/>
        <item x="399"/>
        <item x="400"/>
        <item x="401"/>
        <item x="402"/>
        <item x="403"/>
        <item x="404"/>
        <item x="407"/>
        <item x="409"/>
        <item x="414"/>
        <item x="415"/>
        <item x="418"/>
        <item x="420"/>
        <item x="422"/>
        <item x="423"/>
        <item x="424"/>
        <item x="425"/>
        <item x="427"/>
        <item x="432"/>
        <item x="434"/>
        <item x="436"/>
        <item x="437"/>
        <item x="438"/>
        <item x="440"/>
        <item x="441"/>
        <item x="442"/>
        <item x="445"/>
        <item x="446"/>
        <item x="448"/>
        <item x="450"/>
        <item x="452"/>
        <item x="453"/>
        <item x="455"/>
        <item x="458"/>
        <item x="461"/>
        <item x="462"/>
        <item x="463"/>
        <item x="465"/>
        <item x="466"/>
        <item x="467"/>
        <item x="468"/>
        <item x="470"/>
        <item x="471"/>
        <item x="473"/>
        <item x="475"/>
        <item x="478"/>
        <item x="481"/>
        <item x="482"/>
        <item x="484"/>
        <item x="485"/>
        <item x="486"/>
        <item x="487"/>
        <item x="489"/>
        <item x="491"/>
        <item x="492"/>
        <item x="493"/>
        <item x="494"/>
        <item x="496"/>
        <item x="498"/>
        <item x="499"/>
        <item x="501"/>
        <item x="502"/>
        <item x="503"/>
        <item x="504"/>
        <item x="505"/>
        <item x="506"/>
        <item x="507"/>
        <item x="508"/>
        <item x="509"/>
        <item x="511"/>
        <item x="512"/>
        <item x="514"/>
        <item x="516"/>
        <item x="517"/>
        <item x="518"/>
        <item m="1" x="546"/>
        <item m="1" x="547"/>
        <item m="1" x="548"/>
        <item m="1" x="549"/>
        <item m="1" x="550"/>
        <item x="520"/>
        <item x="522"/>
        <item x="523"/>
        <item x="524"/>
        <item x="526"/>
        <item x="527"/>
        <item x="528"/>
        <item x="529"/>
        <item x="534"/>
        <item x="536"/>
        <item x="538"/>
        <item x="539"/>
        <item x="541"/>
        <item x="543"/>
        <item x="544"/>
        <item t="default"/>
      </items>
    </pivotField>
    <pivotField compact="0" outline="0" showAll="0"/>
    <pivotField compact="0" numFmtId="164" outline="0" showAll="0"/>
    <pivotField compact="0" numFmtId="164" outline="0" showAll="0"/>
    <pivotField dataField="1" compact="0" numFmtId="164" outline="0" showAll="0"/>
    <pivotField compact="0" outline="0" showAll="0"/>
    <pivotField compact="0" outline="0" showAll="0"/>
    <pivotField axis="axisPage" dataField="1" compact="0" outline="0" showAll="0">
      <items count="3">
        <item x="1"/>
        <item h="1"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10"/>
    <field x="2"/>
  </rowFields>
  <rowItems count="166">
    <i>
      <x v="23"/>
      <x v="1976"/>
    </i>
    <i t="default">
      <x v="23"/>
    </i>
    <i>
      <x v="75"/>
      <x v="1619"/>
    </i>
    <i r="1">
      <x v="1676"/>
    </i>
    <i r="1">
      <x v="1890"/>
    </i>
    <i t="default">
      <x v="75"/>
    </i>
    <i>
      <x v="82"/>
      <x v="2033"/>
    </i>
    <i t="default">
      <x v="82"/>
    </i>
    <i>
      <x v="110"/>
      <x v="2064"/>
    </i>
    <i t="default">
      <x v="110"/>
    </i>
    <i>
      <x v="113"/>
      <x v="1916"/>
    </i>
    <i r="1">
      <x v="1994"/>
    </i>
    <i t="default">
      <x v="113"/>
    </i>
    <i>
      <x v="117"/>
      <x v="1073"/>
    </i>
    <i t="default">
      <x v="117"/>
    </i>
    <i>
      <x v="119"/>
      <x v="1791"/>
    </i>
    <i t="default">
      <x v="119"/>
    </i>
    <i>
      <x v="134"/>
      <x v="1694"/>
    </i>
    <i r="1">
      <x v="1896"/>
    </i>
    <i r="1">
      <x v="2023"/>
    </i>
    <i t="default">
      <x v="134"/>
    </i>
    <i>
      <x v="182"/>
      <x v="2056"/>
    </i>
    <i t="default">
      <x v="182"/>
    </i>
    <i>
      <x v="195"/>
      <x v="1067"/>
    </i>
    <i r="1">
      <x v="1622"/>
    </i>
    <i r="1">
      <x v="1755"/>
    </i>
    <i r="1">
      <x v="1774"/>
    </i>
    <i t="default">
      <x v="195"/>
    </i>
    <i>
      <x v="198"/>
      <x v="1311"/>
    </i>
    <i t="default">
      <x v="198"/>
    </i>
    <i>
      <x v="218"/>
      <x v="1672"/>
    </i>
    <i r="1">
      <x v="1687"/>
    </i>
    <i r="1">
      <x v="1744"/>
    </i>
    <i r="1">
      <x v="1778"/>
    </i>
    <i r="1">
      <x v="1787"/>
    </i>
    <i t="default">
      <x v="218"/>
    </i>
    <i>
      <x v="219"/>
      <x v="1068"/>
    </i>
    <i r="1">
      <x v="1181"/>
    </i>
    <i r="1">
      <x v="1241"/>
    </i>
    <i r="1">
      <x v="1384"/>
    </i>
    <i r="1">
      <x v="1449"/>
    </i>
    <i r="1">
      <x v="1623"/>
    </i>
    <i r="1">
      <x v="1651"/>
    </i>
    <i r="1">
      <x v="1745"/>
    </i>
    <i r="1">
      <x v="1777"/>
    </i>
    <i r="1">
      <x v="1788"/>
    </i>
    <i t="default">
      <x v="219"/>
    </i>
    <i>
      <x v="253"/>
      <x v="1310"/>
    </i>
    <i r="1">
      <x v="1773"/>
    </i>
    <i t="default">
      <x v="253"/>
    </i>
    <i>
      <x v="254"/>
      <x v="1829"/>
    </i>
    <i r="1">
      <x v="1830"/>
    </i>
    <i r="1">
      <x v="1831"/>
    </i>
    <i t="default">
      <x v="254"/>
    </i>
    <i>
      <x v="261"/>
      <x v="1564"/>
    </i>
    <i t="default">
      <x v="261"/>
    </i>
    <i>
      <x v="262"/>
      <x v="1400"/>
    </i>
    <i r="1">
      <x v="1838"/>
    </i>
    <i r="1">
      <x v="1939"/>
    </i>
    <i t="default">
      <x v="262"/>
    </i>
    <i>
      <x v="288"/>
      <x v="1653"/>
    </i>
    <i t="default">
      <x v="288"/>
    </i>
    <i>
      <x v="302"/>
      <x v="1352"/>
    </i>
    <i r="1">
      <x v="1644"/>
    </i>
    <i t="default">
      <x v="302"/>
    </i>
    <i>
      <x v="312"/>
      <x v="1709"/>
    </i>
    <i t="default">
      <x v="312"/>
    </i>
    <i>
      <x v="340"/>
      <x v="1553"/>
    </i>
    <i r="1">
      <x v="1562"/>
    </i>
    <i r="1">
      <x v="1610"/>
    </i>
    <i r="1">
      <x v="1812"/>
    </i>
    <i t="default">
      <x v="340"/>
    </i>
    <i>
      <x v="351"/>
      <x v="1539"/>
    </i>
    <i r="1">
      <x v="1615"/>
    </i>
    <i r="1">
      <x v="1899"/>
    </i>
    <i r="1">
      <x v="1900"/>
    </i>
    <i r="1">
      <x v="1901"/>
    </i>
    <i r="1">
      <x v="1902"/>
    </i>
    <i r="1">
      <x v="1903"/>
    </i>
    <i r="1">
      <x v="1904"/>
    </i>
    <i t="default">
      <x v="351"/>
    </i>
    <i>
      <x v="357"/>
      <x v="1071"/>
    </i>
    <i t="default">
      <x v="357"/>
    </i>
    <i>
      <x v="366"/>
      <x v="2072"/>
    </i>
    <i t="default">
      <x v="366"/>
    </i>
    <i>
      <x v="378"/>
      <x v="1382"/>
    </i>
    <i r="1">
      <x v="2078"/>
    </i>
    <i t="default">
      <x v="378"/>
    </i>
    <i>
      <x v="512"/>
      <x v="1214"/>
    </i>
    <i r="1">
      <x v="1248"/>
    </i>
    <i r="1">
      <x v="1667"/>
    </i>
    <i t="default">
      <x v="512"/>
    </i>
    <i>
      <x v="540"/>
      <x v="1840"/>
    </i>
    <i r="1">
      <x v="1841"/>
    </i>
    <i r="1">
      <x v="1842"/>
    </i>
    <i r="1">
      <x v="1915"/>
    </i>
    <i r="1">
      <x v="1933"/>
    </i>
    <i r="1">
      <x v="2004"/>
    </i>
    <i t="default">
      <x v="540"/>
    </i>
    <i>
      <x v="565"/>
      <x v="1285"/>
    </i>
    <i r="1">
      <x v="1616"/>
    </i>
    <i t="default">
      <x v="565"/>
    </i>
    <i>
      <x v="567"/>
      <x v="1670"/>
    </i>
    <i t="default">
      <x v="567"/>
    </i>
    <i>
      <x v="584"/>
      <x v="1066"/>
    </i>
    <i t="default">
      <x v="584"/>
    </i>
    <i>
      <x v="595"/>
      <x v="1102"/>
    </i>
    <i r="1">
      <x v="1892"/>
    </i>
    <i t="default">
      <x v="595"/>
    </i>
    <i>
      <x v="599"/>
      <x v="1532"/>
    </i>
    <i r="1">
      <x v="1768"/>
    </i>
    <i t="default">
      <x v="599"/>
    </i>
    <i>
      <x v="642"/>
      <x v="1243"/>
    </i>
    <i t="default">
      <x v="642"/>
    </i>
    <i>
      <x v="643"/>
      <x v="1252"/>
    </i>
    <i t="default">
      <x v="643"/>
    </i>
    <i>
      <x v="654"/>
      <x v="1289"/>
    </i>
    <i t="default">
      <x v="654"/>
    </i>
    <i>
      <x v="670"/>
      <x v="1617"/>
    </i>
    <i t="default">
      <x v="670"/>
    </i>
    <i>
      <x v="706"/>
      <x v="1479"/>
    </i>
    <i t="default">
      <x v="706"/>
    </i>
    <i>
      <x v="708"/>
      <x v="1488"/>
    </i>
    <i t="default">
      <x v="708"/>
    </i>
    <i>
      <x v="713"/>
      <x v="1523"/>
    </i>
    <i r="1">
      <x v="1630"/>
    </i>
    <i r="1">
      <x v="1934"/>
    </i>
    <i t="default">
      <x v="713"/>
    </i>
    <i>
      <x v="714"/>
      <x v="1524"/>
    </i>
    <i t="default">
      <x v="714"/>
    </i>
    <i>
      <x v="724"/>
      <x v="1548"/>
    </i>
    <i t="default">
      <x v="724"/>
    </i>
    <i>
      <x v="729"/>
      <x v="1556"/>
    </i>
    <i t="default">
      <x v="729"/>
    </i>
    <i>
      <x v="742"/>
      <x v="1590"/>
    </i>
    <i r="1">
      <x v="1627"/>
    </i>
    <i t="default">
      <x v="742"/>
    </i>
    <i>
      <x v="744"/>
      <x v="1600"/>
    </i>
    <i t="default">
      <x v="744"/>
    </i>
    <i>
      <x v="752"/>
      <x v="1624"/>
    </i>
    <i r="1">
      <x v="1855"/>
    </i>
    <i t="default">
      <x v="752"/>
    </i>
    <i>
      <x v="814"/>
      <x v="1853"/>
    </i>
    <i t="default">
      <x v="814"/>
    </i>
    <i>
      <x v="818"/>
      <x v="1874"/>
    </i>
    <i t="default">
      <x v="818"/>
    </i>
    <i>
      <x v="830"/>
      <x v="1937"/>
    </i>
    <i r="1">
      <x v="1938"/>
    </i>
    <i t="default">
      <x v="830"/>
    </i>
    <i>
      <x v="831"/>
      <x v="2059"/>
    </i>
    <i t="default">
      <x v="831"/>
    </i>
    <i>
      <x v="832"/>
      <x v="1963"/>
    </i>
    <i t="default">
      <x v="832"/>
    </i>
    <i>
      <x v="842"/>
      <x v="1992"/>
    </i>
    <i t="default">
      <x v="842"/>
    </i>
    <i>
      <x v="846"/>
      <x v="2006"/>
    </i>
    <i t="default">
      <x v="846"/>
    </i>
    <i>
      <x v="849"/>
      <x v="2012"/>
    </i>
    <i t="default">
      <x v="849"/>
    </i>
    <i>
      <x v="854"/>
      <x v="2022"/>
    </i>
    <i t="default">
      <x v="854"/>
    </i>
    <i>
      <x v="858"/>
      <x v="2035"/>
    </i>
    <i r="1">
      <x v="2036"/>
    </i>
    <i r="1">
      <x v="2076"/>
    </i>
    <i t="default">
      <x v="858"/>
    </i>
    <i t="grand">
      <x/>
    </i>
  </rowItems>
  <colFields count="1">
    <field x="-2"/>
  </colFields>
  <colItems count="2">
    <i>
      <x/>
    </i>
    <i i="1">
      <x v="1"/>
    </i>
  </colItems>
  <pageFields count="1">
    <pageField fld="17" hier="-1"/>
  </pageFields>
  <dataFields count="2">
    <dataField name="Cuenta de 1 ACUSE" fld="17" subtotal="count" baseField="0" baseItem="0"/>
    <dataField name="Suma de Total" fld="14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045633-E91A-40B1-86A4-3CC51CA7E44D}" name="Tabla 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D43" firstHeaderRow="0" firstDataRow="1" firstDataCol="2" rowPageCount="1" colPageCount="1"/>
  <pivotFields count="24">
    <pivotField compact="0" outline="0" showAll="0"/>
    <pivotField compact="0" outline="0" showAll="0"/>
    <pivotField axis="axisRow" compact="0" outline="0" showAll="0">
      <items count="2100"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5"/>
        <item m="1" x="1846"/>
        <item m="1" x="1847"/>
        <item m="1" x="1848"/>
        <item m="1" x="1850"/>
        <item m="1" x="1851"/>
        <item m="1" x="1852"/>
        <item m="1" x="1853"/>
        <item m="1" x="1854"/>
        <item m="1" x="1855"/>
        <item m="1" x="1856"/>
        <item m="1" x="1857"/>
        <item m="1" x="1858"/>
        <item m="1" x="1859"/>
        <item m="1" x="1860"/>
        <item m="1" x="1861"/>
        <item m="1" x="1862"/>
        <item m="1" x="1863"/>
        <item m="1" x="1864"/>
        <item m="1" x="1865"/>
        <item m="1" x="1866"/>
        <item m="1" x="1867"/>
        <item m="1" x="1868"/>
        <item m="1" x="1869"/>
        <item m="1" x="1870"/>
        <item m="1" x="1871"/>
        <item m="1" x="1872"/>
        <item m="1" x="1873"/>
        <item m="1" x="1874"/>
        <item m="1" x="1875"/>
        <item m="1" x="1876"/>
        <item m="1" x="1877"/>
        <item m="1" x="1878"/>
        <item m="1" x="1879"/>
        <item m="1" x="1880"/>
        <item m="1" x="1881"/>
        <item m="1" x="1882"/>
        <item m="1" x="1883"/>
        <item m="1" x="1884"/>
        <item m="1" x="1885"/>
        <item m="1" x="1886"/>
        <item m="1" x="1887"/>
        <item m="1" x="1888"/>
        <item m="1" x="1889"/>
        <item m="1" x="1890"/>
        <item m="1" x="1891"/>
        <item m="1" x="1892"/>
        <item m="1" x="1893"/>
        <item m="1" x="1894"/>
        <item m="1" x="1895"/>
        <item m="1" x="1896"/>
        <item m="1" x="1897"/>
        <item m="1" x="1898"/>
        <item m="1" x="1899"/>
        <item m="1" x="1900"/>
        <item m="1" x="1901"/>
        <item m="1" x="1902"/>
        <item m="1" x="1903"/>
        <item m="1" x="1904"/>
        <item m="1" x="1905"/>
        <item m="1" x="1906"/>
        <item m="1" x="1907"/>
        <item m="1" x="1908"/>
        <item m="1" x="1909"/>
        <item m="1" x="1910"/>
        <item m="1" x="1911"/>
        <item m="1" x="1912"/>
        <item m="1" x="1913"/>
        <item m="1" x="1914"/>
        <item m="1" x="1915"/>
        <item m="1" x="1916"/>
        <item m="1" x="1917"/>
        <item m="1" x="1918"/>
        <item m="1" x="1919"/>
        <item m="1" x="1920"/>
        <item m="1" x="1921"/>
        <item m="1" x="1922"/>
        <item m="1" x="1923"/>
        <item m="1" x="1924"/>
        <item m="1" x="1925"/>
        <item m="1" x="1926"/>
        <item m="1" x="1927"/>
        <item m="1" x="1928"/>
        <item m="1" x="1929"/>
        <item m="1" x="1930"/>
        <item m="1" x="1931"/>
        <item m="1" x="1932"/>
        <item m="1" x="1933"/>
        <item m="1" x="1934"/>
        <item m="1" x="1935"/>
        <item m="1" x="1936"/>
        <item m="1" x="1937"/>
        <item m="1" x="1938"/>
        <item m="1" x="1939"/>
        <item m="1" x="1940"/>
        <item m="1" x="1941"/>
        <item m="1" x="1942"/>
        <item m="1" x="1943"/>
        <item m="1" x="1944"/>
        <item m="1" x="1945"/>
        <item m="1" x="1946"/>
        <item m="1" x="194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1958"/>
        <item m="1" x="1959"/>
        <item m="1" x="1960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75"/>
        <item m="1" x="1976"/>
        <item m="1" x="1977"/>
        <item m="1" x="1978"/>
        <item m="1" x="1979"/>
        <item m="1" x="1980"/>
        <item m="1" x="1981"/>
        <item m="1" x="1982"/>
        <item m="1" x="1983"/>
        <item m="1" x="1984"/>
        <item m="1" x="1985"/>
        <item m="1" x="1986"/>
        <item m="1" x="1987"/>
        <item m="1" x="1988"/>
        <item m="1" x="1989"/>
        <item m="1" x="1990"/>
        <item m="1" x="1991"/>
        <item m="1" x="1992"/>
        <item m="1" x="1993"/>
        <item m="1" x="1994"/>
        <item m="1" x="1995"/>
        <item m="1" x="1996"/>
        <item m="1" x="1997"/>
        <item m="1" x="1998"/>
        <item m="1" x="1999"/>
        <item m="1" x="2000"/>
        <item m="1" x="2001"/>
        <item m="1" x="2002"/>
        <item m="1" x="2003"/>
        <item m="1" x="2004"/>
        <item m="1" x="2005"/>
        <item m="1" x="2006"/>
        <item m="1" x="2007"/>
        <item m="1" x="2008"/>
        <item m="1" x="2009"/>
        <item m="1" x="2010"/>
        <item m="1" x="2011"/>
        <item m="1" x="2012"/>
        <item m="1" x="2013"/>
        <item m="1" x="2014"/>
        <item m="1" x="2015"/>
        <item m="1" x="2016"/>
        <item m="1" x="2017"/>
        <item m="1" x="2018"/>
        <item m="1" x="2019"/>
        <item m="1" x="2020"/>
        <item m="1" x="2021"/>
        <item m="1" x="2022"/>
        <item m="1" x="2023"/>
        <item m="1" x="2024"/>
        <item m="1" x="2025"/>
        <item m="1" x="2026"/>
        <item m="1" x="2027"/>
        <item m="1" x="2028"/>
        <item m="1" x="2029"/>
        <item m="1" x="2030"/>
        <item m="1" x="2031"/>
        <item m="1" x="2032"/>
        <item m="1" x="2033"/>
        <item m="1" x="2034"/>
        <item m="1" x="2035"/>
        <item m="1" x="2036"/>
        <item m="1" x="2037"/>
        <item m="1" x="2038"/>
        <item m="1" x="2039"/>
        <item m="1" x="2040"/>
        <item m="1" x="2041"/>
        <item m="1" x="2042"/>
        <item m="1" x="2043"/>
        <item m="1" x="2044"/>
        <item m="1" x="2045"/>
        <item m="1" x="2046"/>
        <item m="1" x="2047"/>
        <item m="1" x="2048"/>
        <item m="1" x="2049"/>
        <item m="1" x="2050"/>
        <item m="1" x="2051"/>
        <item m="1" x="2052"/>
        <item m="1" x="2053"/>
        <item m="1" x="2054"/>
        <item m="1" x="2055"/>
        <item m="1" x="2056"/>
        <item m="1" x="2057"/>
        <item m="1" x="205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88"/>
        <item m="1" x="2089"/>
        <item m="1" x="2090"/>
        <item m="1" x="2091"/>
        <item m="1" x="2092"/>
        <item m="1" x="2093"/>
        <item m="1" x="2094"/>
        <item m="1" x="2095"/>
        <item m="1" x="2096"/>
        <item m="1" x="2097"/>
        <item m="1" x="2098"/>
        <item m="1" x="1849"/>
        <item m="1" x="103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3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4"/>
        <item x="60"/>
        <item x="61"/>
        <item x="62"/>
        <item x="63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5"/>
        <item x="106"/>
        <item x="107"/>
        <item x="108"/>
        <item x="109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3"/>
        <item x="164"/>
        <item x="165"/>
        <item x="166"/>
        <item x="167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162"/>
        <item x="168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397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533"/>
        <item x="573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679"/>
        <item x="730"/>
        <item x="731"/>
        <item x="32"/>
        <item x="34"/>
        <item x="85"/>
        <item x="104"/>
        <item x="110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136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38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883">
        <item x="110"/>
        <item m="1" x="648"/>
        <item m="1" x="810"/>
        <item x="376"/>
        <item x="270"/>
        <item m="1" x="878"/>
        <item m="1" x="877"/>
        <item m="1" x="785"/>
        <item x="193"/>
        <item x="192"/>
        <item x="226"/>
        <item m="1" x="644"/>
        <item x="431"/>
        <item x="364"/>
        <item m="1" x="821"/>
        <item m="1" x="804"/>
        <item m="1" x="703"/>
        <item x="206"/>
        <item m="1" x="588"/>
        <item x="530"/>
        <item m="1" x="767"/>
        <item x="533"/>
        <item m="1" x="555"/>
        <item x="483"/>
        <item x="532"/>
        <item m="1" x="562"/>
        <item m="1" x="672"/>
        <item m="1" x="693"/>
        <item m="1" x="853"/>
        <item m="1" x="664"/>
        <item m="1" x="797"/>
        <item m="1" x="711"/>
        <item m="1" x="592"/>
        <item x="435"/>
        <item m="1" x="689"/>
        <item m="1" x="584"/>
        <item x="234"/>
        <item x="367"/>
        <item x="426"/>
        <item m="1" x="848"/>
        <item m="1" x="795"/>
        <item m="1" x="638"/>
        <item m="1" x="640"/>
        <item m="1" x="771"/>
        <item m="1" x="857"/>
        <item x="369"/>
        <item m="1" x="762"/>
        <item x="18"/>
        <item m="1" x="646"/>
        <item m="1" x="759"/>
        <item m="1" x="867"/>
        <item m="1" x="578"/>
        <item m="1" x="571"/>
        <item x="146"/>
        <item m="1" x="681"/>
        <item m="1" x="860"/>
        <item x="405"/>
        <item m="1" x="861"/>
        <item m="1" x="569"/>
        <item m="1" x="697"/>
        <item x="393"/>
        <item m="1" x="601"/>
        <item x="231"/>
        <item m="1" x="772"/>
        <item m="1" x="706"/>
        <item m="1" x="796"/>
        <item x="248"/>
        <item m="1" x="685"/>
        <item m="1" x="749"/>
        <item m="1" x="738"/>
        <item m="1" x="718"/>
        <item x="540"/>
        <item x="70"/>
        <item x="47"/>
        <item m="1" x="793"/>
        <item x="336"/>
        <item m="1" x="850"/>
        <item m="1" x="843"/>
        <item x="252"/>
        <item m="1" x="586"/>
        <item x="537"/>
        <item x="58"/>
        <item x="513"/>
        <item x="41"/>
        <item m="1" x="835"/>
        <item m="1" x="717"/>
        <item x="187"/>
        <item x="24"/>
        <item x="66"/>
        <item m="1" x="600"/>
        <item m="1" x="829"/>
        <item m="1" x="815"/>
        <item m="1" x="643"/>
        <item x="258"/>
        <item x="205"/>
        <item x="277"/>
        <item x="208"/>
        <item m="1" x="677"/>
        <item m="1" x="559"/>
        <item m="1" x="577"/>
        <item m="1" x="692"/>
        <item m="1" x="637"/>
        <item x="495"/>
        <item m="1" x="582"/>
        <item m="1" x="837"/>
        <item m="1" x="650"/>
        <item m="1" x="783"/>
        <item m="1" x="833"/>
        <item m="1" x="610"/>
        <item x="14"/>
        <item x="160"/>
        <item m="1" x="823"/>
        <item x="300"/>
        <item x="464"/>
        <item x="88"/>
        <item m="1" x="854"/>
        <item m="1" x="570"/>
        <item x="6"/>
        <item x="102"/>
        <item x="419"/>
        <item m="1" x="740"/>
        <item m="1" x="830"/>
        <item x="373"/>
        <item x="220"/>
        <item x="374"/>
        <item m="1" x="589"/>
        <item x="291"/>
        <item m="1" x="756"/>
        <item m="1" x="673"/>
        <item x="229"/>
        <item x="390"/>
        <item x="375"/>
        <item x="131"/>
        <item m="1" x="789"/>
        <item x="36"/>
        <item m="1" x="652"/>
        <item x="8"/>
        <item m="1" x="715"/>
        <item m="1" x="659"/>
        <item m="1" x="858"/>
        <item m="1" x="671"/>
        <item m="1" x="831"/>
        <item x="219"/>
        <item m="1" x="832"/>
        <item m="1" x="825"/>
        <item x="433"/>
        <item m="1" x="708"/>
        <item m="1" x="765"/>
        <item m="1" x="666"/>
        <item m="1" x="801"/>
        <item m="1" x="782"/>
        <item m="1" x="847"/>
        <item m="1" x="845"/>
        <item m="1" x="773"/>
        <item x="297"/>
        <item m="1" x="725"/>
        <item m="1" x="859"/>
        <item x="429"/>
        <item m="1" x="726"/>
        <item m="1" x="607"/>
        <item m="1" x="561"/>
        <item m="1" x="800"/>
        <item x="180"/>
        <item x="356"/>
        <item x="366"/>
        <item x="456"/>
        <item x="176"/>
        <item x="182"/>
        <item m="1" x="720"/>
        <item x="254"/>
        <item x="421"/>
        <item m="1" x="842"/>
        <item x="54"/>
        <item x="406"/>
        <item m="1" x="747"/>
        <item x="325"/>
        <item x="313"/>
        <item x="138"/>
        <item m="1" x="663"/>
        <item m="1" x="777"/>
        <item m="1" x="606"/>
        <item m="1" x="572"/>
        <item x="460"/>
        <item x="197"/>
        <item x="221"/>
        <item m="1" x="683"/>
        <item x="22"/>
        <item m="1" x="784"/>
        <item m="1" x="727"/>
        <item m="1" x="594"/>
        <item m="1" x="667"/>
        <item x="53"/>
        <item m="1" x="788"/>
        <item m="1" x="812"/>
        <item m="1" x="729"/>
        <item x="2"/>
        <item x="82"/>
        <item x="224"/>
        <item x="159"/>
        <item m="1" x="563"/>
        <item m="1" x="564"/>
        <item x="260"/>
        <item m="1" x="612"/>
        <item m="1" x="690"/>
        <item m="1" x="719"/>
        <item x="59"/>
        <item m="1" x="614"/>
        <item x="454"/>
        <item m="1" x="879"/>
        <item m="1" x="739"/>
        <item x="185"/>
        <item m="1" x="779"/>
        <item x="34"/>
        <item m="1" x="744"/>
        <item m="1" x="716"/>
        <item x="371"/>
        <item m="1" x="694"/>
        <item m="1" x="712"/>
        <item x="4"/>
        <item x="3"/>
        <item m="1" x="866"/>
        <item m="1" x="802"/>
        <item m="1" x="682"/>
        <item m="1" x="573"/>
        <item m="1" x="709"/>
        <item m="1" x="865"/>
        <item m="1" x="733"/>
        <item m="1" x="633"/>
        <item m="1" x="846"/>
        <item m="1" x="626"/>
        <item x="362"/>
        <item x="447"/>
        <item m="1" x="629"/>
        <item x="153"/>
        <item m="1" x="631"/>
        <item x="64"/>
        <item x="310"/>
        <item x="157"/>
        <item m="1" x="809"/>
        <item x="189"/>
        <item m="1" x="700"/>
        <item x="288"/>
        <item x="261"/>
        <item x="202"/>
        <item x="497"/>
        <item m="1" x="863"/>
        <item m="1" x="707"/>
        <item m="1" x="660"/>
        <item x="178"/>
        <item x="380"/>
        <item x="81"/>
        <item m="1" x="748"/>
        <item x="107"/>
        <item x="162"/>
        <item x="275"/>
        <item m="1" x="695"/>
        <item m="1" x="732"/>
        <item m="1" x="684"/>
        <item m="1" x="653"/>
        <item m="1" x="862"/>
        <item m="1" x="696"/>
        <item x="307"/>
        <item x="218"/>
        <item m="1" x="735"/>
        <item m="1" x="844"/>
        <item x="510"/>
        <item m="1" x="776"/>
        <item x="174"/>
        <item m="1" x="668"/>
        <item m="1" x="849"/>
        <item x="50"/>
        <item x="337"/>
        <item x="196"/>
        <item m="1" x="870"/>
        <item m="1" x="761"/>
        <item m="1" x="619"/>
        <item m="1" x="645"/>
        <item x="347"/>
        <item m="1" x="591"/>
        <item x="457"/>
        <item x="90"/>
        <item x="477"/>
        <item x="327"/>
        <item x="283"/>
        <item m="1" x="611"/>
        <item x="293"/>
        <item x="127"/>
        <item m="1" x="628"/>
        <item x="32"/>
        <item m="1" x="824"/>
        <item m="1" x="551"/>
        <item m="1" x="603"/>
        <item m="1" x="565"/>
        <item m="1" x="787"/>
        <item x="212"/>
        <item m="1" x="790"/>
        <item m="1" x="593"/>
        <item m="1" x="574"/>
        <item m="1" x="636"/>
        <item x="141"/>
        <item x="77"/>
        <item x="114"/>
        <item x="184"/>
        <item x="285"/>
        <item x="444"/>
        <item m="1" x="868"/>
        <item m="1" x="826"/>
        <item m="1" x="751"/>
        <item m="1" x="792"/>
        <item x="225"/>
        <item x="334"/>
        <item x="203"/>
        <item x="379"/>
        <item x="125"/>
        <item x="155"/>
        <item x="145"/>
        <item m="1" x="662"/>
        <item x="417"/>
        <item x="490"/>
        <item m="1" x="599"/>
        <item m="1" x="757"/>
        <item x="85"/>
        <item m="1" x="641"/>
        <item m="1" x="734"/>
        <item m="1" x="803"/>
        <item m="1" x="752"/>
        <item x="480"/>
        <item m="1" x="632"/>
        <item m="1" x="828"/>
        <item x="99"/>
        <item x="129"/>
        <item m="1" x="621"/>
        <item m="1" x="872"/>
        <item x="243"/>
        <item m="1" x="702"/>
        <item m="1" x="807"/>
        <item x="428"/>
        <item x="105"/>
        <item m="1" x="808"/>
        <item m="1" x="799"/>
        <item x="194"/>
        <item m="1" x="657"/>
        <item x="207"/>
        <item x="100"/>
        <item m="1" x="605"/>
        <item m="1" x="661"/>
        <item x="395"/>
        <item m="1" x="595"/>
        <item x="449"/>
        <item m="1" x="873"/>
        <item m="1" x="745"/>
        <item x="289"/>
        <item x="20"/>
        <item x="500"/>
        <item m="1" x="622"/>
        <item m="1" x="875"/>
        <item x="242"/>
        <item x="5"/>
        <item m="1" x="838"/>
        <item m="1" x="713"/>
        <item x="65"/>
        <item x="62"/>
        <item m="1" x="618"/>
        <item x="91"/>
        <item x="274"/>
        <item x="488"/>
        <item x="74"/>
        <item m="1" x="608"/>
        <item m="1" x="814"/>
        <item m="1" x="624"/>
        <item m="1" x="674"/>
        <item x="308"/>
        <item m="1" x="581"/>
        <item x="247"/>
        <item m="1" x="794"/>
        <item m="1" x="817"/>
        <item m="1" x="557"/>
        <item x="476"/>
        <item x="204"/>
        <item m="1" x="597"/>
        <item m="1" x="791"/>
        <item m="1" x="880"/>
        <item m="1" x="728"/>
        <item m="1" x="820"/>
        <item m="1" x="701"/>
        <item m="1" x="670"/>
        <item m="1" x="699"/>
        <item x="148"/>
        <item x="443"/>
        <item m="1" x="764"/>
        <item m="1" x="836"/>
        <item x="394"/>
        <item m="1" x="553"/>
        <item m="1" x="710"/>
        <item x="209"/>
        <item x="126"/>
        <item m="1" x="763"/>
        <item m="1" x="665"/>
        <item m="1" x="769"/>
        <item m="1" x="580"/>
        <item m="1" x="642"/>
        <item m="1" x="737"/>
        <item m="1" x="698"/>
        <item m="1" x="743"/>
        <item m="1" x="768"/>
        <item x="515"/>
        <item x="368"/>
        <item m="1" x="560"/>
        <item m="1" x="656"/>
        <item x="268"/>
        <item x="535"/>
        <item x="276"/>
        <item x="430"/>
        <item m="1" x="596"/>
        <item x="75"/>
        <item m="1" x="617"/>
        <item m="1" x="675"/>
        <item m="1" x="651"/>
        <item m="1" x="876"/>
        <item x="30"/>
        <item x="123"/>
        <item m="1" x="691"/>
        <item m="1" x="598"/>
        <item x="413"/>
        <item x="211"/>
        <item x="410"/>
        <item m="1" x="731"/>
        <item m="1" x="840"/>
        <item m="1" x="649"/>
        <item x="266"/>
        <item m="1" x="746"/>
        <item m="1" x="813"/>
        <item x="474"/>
        <item x="78"/>
        <item m="1" x="871"/>
        <item x="119"/>
        <item m="1" x="680"/>
        <item m="1" x="881"/>
        <item m="1" x="686"/>
        <item m="1" x="705"/>
        <item x="168"/>
        <item m="1" x="754"/>
        <item x="271"/>
        <item m="1" x="806"/>
        <item x="365"/>
        <item m="1" x="855"/>
        <item m="1" x="639"/>
        <item x="519"/>
        <item x="411"/>
        <item x="412"/>
        <item x="101"/>
        <item m="1" x="687"/>
        <item m="1" x="834"/>
        <item x="122"/>
        <item m="1" x="576"/>
        <item x="124"/>
        <item m="1" x="647"/>
        <item m="1" x="654"/>
        <item m="1" x="613"/>
        <item x="16"/>
        <item x="521"/>
        <item x="210"/>
        <item x="304"/>
        <item x="55"/>
        <item m="1" x="579"/>
        <item m="1" x="760"/>
        <item m="1" x="822"/>
        <item m="1" x="864"/>
        <item m="1" x="721"/>
        <item m="1" x="869"/>
        <item x="251"/>
        <item m="1" x="627"/>
        <item m="1" x="750"/>
        <item x="542"/>
        <item m="1" x="634"/>
        <item x="63"/>
        <item m="1" x="805"/>
        <item m="1" x="841"/>
        <item m="1" x="770"/>
        <item x="525"/>
        <item m="1" x="827"/>
        <item m="1" x="688"/>
        <item x="237"/>
        <item m="1" x="658"/>
        <item x="451"/>
        <item x="321"/>
        <item x="92"/>
        <item x="136"/>
        <item m="1" x="704"/>
        <item m="1" x="874"/>
        <item m="1" x="552"/>
        <item m="1" x="741"/>
        <item m="1" x="730"/>
        <item m="1" x="818"/>
        <item m="1" x="819"/>
        <item m="1" x="556"/>
        <item m="1" x="851"/>
        <item x="45"/>
        <item m="1" x="811"/>
        <item m="1" x="753"/>
        <item m="1" x="714"/>
        <item x="479"/>
        <item m="1" x="758"/>
        <item m="1" x="585"/>
        <item x="272"/>
        <item x="98"/>
        <item x="262"/>
        <item x="95"/>
        <item x="172"/>
        <item x="459"/>
        <item m="1" x="609"/>
        <item m="1" x="554"/>
        <item x="108"/>
        <item x="42"/>
        <item m="1" x="766"/>
        <item m="1" x="798"/>
        <item m="1" x="774"/>
        <item x="324"/>
        <item m="1" x="816"/>
        <item x="469"/>
        <item x="83"/>
        <item m="1" x="676"/>
        <item m="1" x="755"/>
        <item m="1" x="781"/>
        <item x="23"/>
        <item m="1" x="567"/>
        <item x="56"/>
        <item x="188"/>
        <item m="1" x="587"/>
        <item m="1" x="839"/>
        <item m="1" x="852"/>
        <item x="349"/>
        <item m="1" x="615"/>
        <item x="67"/>
        <item m="1" x="856"/>
        <item m="1" x="742"/>
        <item m="1" x="604"/>
        <item m="1" x="568"/>
        <item x="408"/>
        <item m="1" x="625"/>
        <item x="439"/>
        <item m="1" x="669"/>
        <item m="1" x="635"/>
        <item m="1" x="775"/>
        <item m="1" x="778"/>
        <item m="1" x="786"/>
        <item x="89"/>
        <item m="1" x="620"/>
        <item x="350"/>
        <item m="1" x="590"/>
        <item m="1" x="655"/>
        <item m="1" x="679"/>
        <item x="199"/>
        <item m="1" x="736"/>
        <item m="1" x="630"/>
        <item x="531"/>
        <item m="1" x="723"/>
        <item x="472"/>
        <item x="230"/>
        <item m="1" x="558"/>
        <item x="79"/>
        <item x="311"/>
        <item x="134"/>
        <item x="57"/>
        <item m="1" x="602"/>
        <item x="147"/>
        <item m="1" x="616"/>
        <item x="357"/>
        <item x="416"/>
        <item m="1" x="678"/>
        <item x="346"/>
        <item m="1" x="780"/>
        <item x="256"/>
        <item x="361"/>
        <item m="1" x="583"/>
        <item x="215"/>
        <item m="1" x="566"/>
        <item m="1" x="623"/>
        <item x="179"/>
        <item m="1" x="724"/>
        <item m="1" x="575"/>
        <item m="1" x="722"/>
        <item x="52"/>
        <item x="0"/>
        <item x="1"/>
        <item x="7"/>
        <item x="9"/>
        <item x="10"/>
        <item x="11"/>
        <item x="12"/>
        <item x="13"/>
        <item x="15"/>
        <item x="17"/>
        <item x="19"/>
        <item x="21"/>
        <item x="25"/>
        <item x="26"/>
        <item x="27"/>
        <item x="28"/>
        <item x="29"/>
        <item x="31"/>
        <item x="33"/>
        <item x="35"/>
        <item x="37"/>
        <item m="1" x="545"/>
        <item x="38"/>
        <item x="39"/>
        <item x="40"/>
        <item x="43"/>
        <item x="44"/>
        <item x="46"/>
        <item x="48"/>
        <item x="49"/>
        <item x="51"/>
        <item x="60"/>
        <item x="61"/>
        <item x="68"/>
        <item x="69"/>
        <item x="71"/>
        <item x="72"/>
        <item x="73"/>
        <item x="76"/>
        <item x="80"/>
        <item x="84"/>
        <item x="86"/>
        <item x="87"/>
        <item x="93"/>
        <item x="94"/>
        <item x="96"/>
        <item x="97"/>
        <item x="103"/>
        <item x="104"/>
        <item x="106"/>
        <item x="109"/>
        <item x="111"/>
        <item x="112"/>
        <item x="113"/>
        <item x="115"/>
        <item x="116"/>
        <item x="117"/>
        <item x="118"/>
        <item x="120"/>
        <item x="121"/>
        <item x="128"/>
        <item x="130"/>
        <item x="132"/>
        <item x="133"/>
        <item x="135"/>
        <item x="137"/>
        <item x="139"/>
        <item x="140"/>
        <item x="142"/>
        <item x="143"/>
        <item x="144"/>
        <item x="149"/>
        <item x="150"/>
        <item x="151"/>
        <item x="152"/>
        <item x="154"/>
        <item x="156"/>
        <item x="158"/>
        <item x="161"/>
        <item x="163"/>
        <item x="164"/>
        <item x="165"/>
        <item x="166"/>
        <item x="167"/>
        <item x="169"/>
        <item x="170"/>
        <item x="171"/>
        <item x="173"/>
        <item x="175"/>
        <item x="177"/>
        <item x="181"/>
        <item x="183"/>
        <item x="186"/>
        <item x="190"/>
        <item x="191"/>
        <item x="195"/>
        <item x="198"/>
        <item x="200"/>
        <item x="201"/>
        <item x="213"/>
        <item x="214"/>
        <item x="216"/>
        <item x="217"/>
        <item x="222"/>
        <item x="223"/>
        <item x="227"/>
        <item x="228"/>
        <item x="232"/>
        <item x="233"/>
        <item x="235"/>
        <item x="236"/>
        <item x="238"/>
        <item x="239"/>
        <item x="240"/>
        <item x="241"/>
        <item x="244"/>
        <item x="245"/>
        <item x="246"/>
        <item x="249"/>
        <item x="250"/>
        <item x="253"/>
        <item x="255"/>
        <item x="257"/>
        <item x="259"/>
        <item x="263"/>
        <item x="264"/>
        <item x="265"/>
        <item x="267"/>
        <item x="269"/>
        <item x="273"/>
        <item x="278"/>
        <item x="279"/>
        <item x="280"/>
        <item x="281"/>
        <item x="282"/>
        <item x="284"/>
        <item x="286"/>
        <item x="287"/>
        <item x="290"/>
        <item x="292"/>
        <item x="294"/>
        <item x="295"/>
        <item x="296"/>
        <item x="298"/>
        <item x="299"/>
        <item x="301"/>
        <item x="302"/>
        <item x="303"/>
        <item x="305"/>
        <item x="306"/>
        <item x="309"/>
        <item x="312"/>
        <item x="314"/>
        <item x="315"/>
        <item x="316"/>
        <item x="317"/>
        <item x="318"/>
        <item x="319"/>
        <item x="320"/>
        <item x="322"/>
        <item x="323"/>
        <item x="326"/>
        <item x="328"/>
        <item x="329"/>
        <item x="330"/>
        <item x="331"/>
        <item x="332"/>
        <item x="333"/>
        <item x="335"/>
        <item x="338"/>
        <item x="339"/>
        <item x="340"/>
        <item x="341"/>
        <item x="342"/>
        <item x="343"/>
        <item x="344"/>
        <item x="345"/>
        <item x="348"/>
        <item x="351"/>
        <item x="352"/>
        <item x="353"/>
        <item x="354"/>
        <item x="355"/>
        <item x="358"/>
        <item x="359"/>
        <item x="360"/>
        <item x="363"/>
        <item x="370"/>
        <item x="372"/>
        <item x="377"/>
        <item x="378"/>
        <item x="381"/>
        <item x="382"/>
        <item x="383"/>
        <item x="384"/>
        <item x="385"/>
        <item x="386"/>
        <item x="387"/>
        <item x="388"/>
        <item x="389"/>
        <item x="391"/>
        <item x="392"/>
        <item x="396"/>
        <item x="397"/>
        <item x="398"/>
        <item x="399"/>
        <item x="400"/>
        <item x="401"/>
        <item x="402"/>
        <item x="403"/>
        <item x="404"/>
        <item x="407"/>
        <item x="409"/>
        <item x="414"/>
        <item x="415"/>
        <item x="418"/>
        <item x="420"/>
        <item x="422"/>
        <item x="423"/>
        <item x="424"/>
        <item x="425"/>
        <item x="427"/>
        <item x="432"/>
        <item x="434"/>
        <item x="436"/>
        <item x="437"/>
        <item x="438"/>
        <item x="440"/>
        <item x="441"/>
        <item x="442"/>
        <item x="445"/>
        <item x="446"/>
        <item x="448"/>
        <item x="450"/>
        <item x="452"/>
        <item x="453"/>
        <item x="455"/>
        <item x="458"/>
        <item x="461"/>
        <item x="462"/>
        <item x="463"/>
        <item x="465"/>
        <item x="466"/>
        <item x="467"/>
        <item x="468"/>
        <item x="470"/>
        <item x="471"/>
        <item x="473"/>
        <item x="475"/>
        <item x="478"/>
        <item x="481"/>
        <item x="482"/>
        <item x="484"/>
        <item x="485"/>
        <item x="486"/>
        <item x="487"/>
        <item x="489"/>
        <item x="491"/>
        <item x="492"/>
        <item x="493"/>
        <item x="494"/>
        <item x="496"/>
        <item x="498"/>
        <item x="499"/>
        <item x="501"/>
        <item x="502"/>
        <item x="503"/>
        <item x="504"/>
        <item x="505"/>
        <item x="506"/>
        <item x="507"/>
        <item x="508"/>
        <item x="509"/>
        <item x="511"/>
        <item x="512"/>
        <item x="514"/>
        <item x="516"/>
        <item x="517"/>
        <item x="518"/>
        <item m="1" x="546"/>
        <item m="1" x="547"/>
        <item m="1" x="548"/>
        <item m="1" x="549"/>
        <item m="1" x="550"/>
        <item x="520"/>
        <item x="522"/>
        <item x="523"/>
        <item x="524"/>
        <item x="526"/>
        <item x="527"/>
        <item x="528"/>
        <item x="529"/>
        <item x="534"/>
        <item x="536"/>
        <item x="538"/>
        <item x="539"/>
        <item x="541"/>
        <item x="543"/>
        <item x="544"/>
        <item t="default"/>
      </items>
    </pivotField>
    <pivotField compact="0" outline="0" showAll="0"/>
    <pivotField compact="0" numFmtId="164" outline="0" showAll="0"/>
    <pivotField compact="0" numFmtId="164" outline="0" showAll="0"/>
    <pivotField dataField="1" compact="0" numFmtId="164" outline="0" showAll="0"/>
    <pivotField compact="0" outline="0" showAll="0"/>
    <pivotField compact="0" outline="0" showAll="0"/>
    <pivotField compact="0" outline="0" showAll="0"/>
    <pivotField axis="axisPage" dataField="1" compact="0" outline="0" showAll="0">
      <items count="3">
        <item x="1"/>
        <item h="1"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10"/>
    <field x="2"/>
  </rowFields>
  <rowItems count="40">
    <i>
      <x v="10"/>
      <x v="1418"/>
    </i>
    <i t="default">
      <x v="10"/>
    </i>
    <i>
      <x v="109"/>
      <x v="1626"/>
    </i>
    <i r="1">
      <x v="1867"/>
    </i>
    <i t="default">
      <x v="109"/>
    </i>
    <i>
      <x v="110"/>
      <x v="1308"/>
    </i>
    <i t="default">
      <x v="110"/>
    </i>
    <i>
      <x v="182"/>
      <x v="1910"/>
    </i>
    <i t="default">
      <x v="182"/>
    </i>
    <i>
      <x v="198"/>
      <x v="1307"/>
    </i>
    <i r="1">
      <x v="1693"/>
    </i>
    <i t="default">
      <x v="198"/>
    </i>
    <i>
      <x v="236"/>
      <x v="1575"/>
    </i>
    <i t="default">
      <x v="236"/>
    </i>
    <i>
      <x v="237"/>
      <x v="1301"/>
    </i>
    <i r="1">
      <x v="1498"/>
    </i>
    <i r="1">
      <x v="1499"/>
    </i>
    <i r="1">
      <x v="1500"/>
    </i>
    <i t="default">
      <x v="237"/>
    </i>
    <i>
      <x v="310"/>
      <x v="1612"/>
    </i>
    <i r="1">
      <x v="1613"/>
    </i>
    <i r="1">
      <x v="1614"/>
    </i>
    <i t="default">
      <x v="310"/>
    </i>
    <i>
      <x v="475"/>
      <x v="1152"/>
    </i>
    <i r="1">
      <x v="1153"/>
    </i>
    <i r="1">
      <x v="1154"/>
    </i>
    <i r="1">
      <x v="1155"/>
    </i>
    <i t="default">
      <x v="475"/>
    </i>
    <i>
      <x v="505"/>
      <x v="2051"/>
    </i>
    <i t="default">
      <x v="505"/>
    </i>
    <i>
      <x v="538"/>
      <x v="1764"/>
    </i>
    <i r="1">
      <x v="1925"/>
    </i>
    <i t="default">
      <x v="538"/>
    </i>
    <i>
      <x v="622"/>
      <x v="1724"/>
    </i>
    <i t="default">
      <x v="622"/>
    </i>
    <i>
      <x v="712"/>
      <x v="1505"/>
    </i>
    <i t="default">
      <x v="712"/>
    </i>
    <i>
      <x v="749"/>
      <x v="2073"/>
    </i>
    <i t="default">
      <x v="749"/>
    </i>
    <i t="grand">
      <x/>
    </i>
  </rowItems>
  <colFields count="1">
    <field x="-2"/>
  </colFields>
  <colItems count="2">
    <i>
      <x/>
    </i>
    <i i="1">
      <x v="1"/>
    </i>
  </colItems>
  <pageFields count="1">
    <pageField fld="18" hier="-1"/>
  </pageFields>
  <dataFields count="2">
    <dataField name="Cuenta de 2 ACUSE" fld="18" subtotal="count" baseField="0" baseItem="0"/>
    <dataField name="Suma de Total" fld="14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3657E5-5C23-445D-A023-E82C729015CD}" name="Tabla diná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257" firstHeaderRow="0" firstDataRow="1" firstDataCol="1" rowPageCount="1" colPageCount="1"/>
  <pivotFields count="24">
    <pivotField showAll="0"/>
    <pivotField showAll="0"/>
    <pivotField axis="axisRow" showAll="0">
      <items count="2100"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5"/>
        <item m="1" x="1846"/>
        <item m="1" x="1847"/>
        <item m="1" x="1848"/>
        <item m="1" x="1850"/>
        <item m="1" x="1851"/>
        <item m="1" x="1852"/>
        <item m="1" x="1853"/>
        <item m="1" x="1854"/>
        <item m="1" x="1855"/>
        <item m="1" x="1856"/>
        <item m="1" x="1857"/>
        <item m="1" x="1858"/>
        <item m="1" x="1859"/>
        <item m="1" x="1860"/>
        <item m="1" x="1861"/>
        <item m="1" x="1862"/>
        <item m="1" x="1863"/>
        <item m="1" x="1864"/>
        <item m="1" x="1865"/>
        <item m="1" x="1866"/>
        <item m="1" x="1867"/>
        <item m="1" x="1868"/>
        <item m="1" x="1869"/>
        <item m="1" x="1870"/>
        <item m="1" x="1871"/>
        <item m="1" x="1872"/>
        <item m="1" x="1873"/>
        <item m="1" x="1874"/>
        <item m="1" x="1875"/>
        <item m="1" x="1876"/>
        <item m="1" x="1877"/>
        <item m="1" x="1878"/>
        <item m="1" x="1879"/>
        <item m="1" x="1880"/>
        <item m="1" x="1881"/>
        <item m="1" x="1882"/>
        <item m="1" x="1883"/>
        <item m="1" x="1884"/>
        <item m="1" x="1885"/>
        <item m="1" x="1886"/>
        <item m="1" x="1887"/>
        <item m="1" x="1888"/>
        <item m="1" x="1889"/>
        <item m="1" x="1890"/>
        <item m="1" x="1891"/>
        <item m="1" x="1892"/>
        <item m="1" x="1893"/>
        <item m="1" x="1894"/>
        <item m="1" x="1895"/>
        <item m="1" x="1896"/>
        <item m="1" x="1897"/>
        <item m="1" x="1898"/>
        <item m="1" x="1899"/>
        <item m="1" x="1900"/>
        <item m="1" x="1901"/>
        <item m="1" x="1902"/>
        <item m="1" x="1903"/>
        <item m="1" x="1904"/>
        <item m="1" x="1905"/>
        <item m="1" x="1906"/>
        <item m="1" x="1907"/>
        <item m="1" x="1908"/>
        <item m="1" x="1909"/>
        <item m="1" x="1910"/>
        <item m="1" x="1911"/>
        <item m="1" x="1912"/>
        <item m="1" x="1913"/>
        <item m="1" x="1914"/>
        <item m="1" x="1915"/>
        <item m="1" x="1916"/>
        <item m="1" x="1917"/>
        <item m="1" x="1918"/>
        <item m="1" x="1919"/>
        <item m="1" x="1920"/>
        <item m="1" x="1921"/>
        <item m="1" x="1922"/>
        <item m="1" x="1923"/>
        <item m="1" x="1924"/>
        <item m="1" x="1925"/>
        <item m="1" x="1926"/>
        <item m="1" x="1927"/>
        <item m="1" x="1928"/>
        <item m="1" x="1929"/>
        <item m="1" x="1930"/>
        <item m="1" x="1931"/>
        <item m="1" x="1932"/>
        <item m="1" x="1933"/>
        <item m="1" x="1934"/>
        <item m="1" x="1935"/>
        <item m="1" x="1936"/>
        <item m="1" x="1937"/>
        <item m="1" x="1938"/>
        <item m="1" x="1939"/>
        <item m="1" x="1940"/>
        <item m="1" x="1941"/>
        <item m="1" x="1942"/>
        <item m="1" x="1943"/>
        <item m="1" x="1944"/>
        <item m="1" x="1945"/>
        <item m="1" x="1946"/>
        <item m="1" x="194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1958"/>
        <item m="1" x="1959"/>
        <item m="1" x="1960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75"/>
        <item m="1" x="1976"/>
        <item m="1" x="1977"/>
        <item m="1" x="1978"/>
        <item m="1" x="1979"/>
        <item m="1" x="1980"/>
        <item m="1" x="1981"/>
        <item m="1" x="1982"/>
        <item m="1" x="1983"/>
        <item m="1" x="1984"/>
        <item m="1" x="1985"/>
        <item m="1" x="1986"/>
        <item m="1" x="1987"/>
        <item m="1" x="1988"/>
        <item m="1" x="1989"/>
        <item m="1" x="1990"/>
        <item m="1" x="1991"/>
        <item m="1" x="1992"/>
        <item m="1" x="1993"/>
        <item m="1" x="1994"/>
        <item m="1" x="1995"/>
        <item m="1" x="1996"/>
        <item m="1" x="1997"/>
        <item m="1" x="1998"/>
        <item m="1" x="1999"/>
        <item m="1" x="2000"/>
        <item m="1" x="2001"/>
        <item m="1" x="2002"/>
        <item m="1" x="2003"/>
        <item m="1" x="2004"/>
        <item m="1" x="2005"/>
        <item m="1" x="2006"/>
        <item m="1" x="2007"/>
        <item m="1" x="2008"/>
        <item m="1" x="2009"/>
        <item m="1" x="2010"/>
        <item m="1" x="2011"/>
        <item m="1" x="2012"/>
        <item m="1" x="2013"/>
        <item m="1" x="2014"/>
        <item m="1" x="2015"/>
        <item m="1" x="2016"/>
        <item m="1" x="2017"/>
        <item m="1" x="2018"/>
        <item m="1" x="2019"/>
        <item m="1" x="2020"/>
        <item m="1" x="2021"/>
        <item m="1" x="2022"/>
        <item m="1" x="2023"/>
        <item m="1" x="2024"/>
        <item m="1" x="2025"/>
        <item m="1" x="2026"/>
        <item m="1" x="2027"/>
        <item m="1" x="2028"/>
        <item m="1" x="2029"/>
        <item m="1" x="2030"/>
        <item m="1" x="2031"/>
        <item m="1" x="2032"/>
        <item m="1" x="2033"/>
        <item m="1" x="2034"/>
        <item m="1" x="2035"/>
        <item m="1" x="2036"/>
        <item m="1" x="2037"/>
        <item m="1" x="2038"/>
        <item m="1" x="2039"/>
        <item m="1" x="2040"/>
        <item m="1" x="2041"/>
        <item m="1" x="2042"/>
        <item m="1" x="2043"/>
        <item m="1" x="2044"/>
        <item m="1" x="2045"/>
        <item m="1" x="2046"/>
        <item m="1" x="2047"/>
        <item m="1" x="2048"/>
        <item m="1" x="2049"/>
        <item m="1" x="2050"/>
        <item m="1" x="2051"/>
        <item m="1" x="2052"/>
        <item m="1" x="2053"/>
        <item m="1" x="2054"/>
        <item m="1" x="2055"/>
        <item m="1" x="2056"/>
        <item m="1" x="2057"/>
        <item m="1" x="205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88"/>
        <item m="1" x="2089"/>
        <item m="1" x="2090"/>
        <item m="1" x="2091"/>
        <item m="1" x="2092"/>
        <item m="1" x="2093"/>
        <item m="1" x="2094"/>
        <item m="1" x="2095"/>
        <item m="1" x="2096"/>
        <item m="1" x="2097"/>
        <item m="1" x="2098"/>
        <item m="1" x="1849"/>
        <item m="1" x="103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3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4"/>
        <item x="60"/>
        <item x="61"/>
        <item x="62"/>
        <item x="63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5"/>
        <item x="106"/>
        <item x="107"/>
        <item x="108"/>
        <item x="109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3"/>
        <item x="164"/>
        <item x="165"/>
        <item x="166"/>
        <item x="167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162"/>
        <item x="168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397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533"/>
        <item x="573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679"/>
        <item x="730"/>
        <item x="731"/>
        <item x="32"/>
        <item x="34"/>
        <item x="85"/>
        <item x="104"/>
        <item x="110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136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38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883">
        <item x="110"/>
        <item m="1" x="648"/>
        <item m="1" x="810"/>
        <item x="376"/>
        <item x="270"/>
        <item m="1" x="878"/>
        <item m="1" x="877"/>
        <item m="1" x="785"/>
        <item x="193"/>
        <item x="192"/>
        <item x="226"/>
        <item m="1" x="644"/>
        <item x="431"/>
        <item x="364"/>
        <item m="1" x="821"/>
        <item m="1" x="804"/>
        <item m="1" x="703"/>
        <item x="206"/>
        <item m="1" x="588"/>
        <item x="530"/>
        <item m="1" x="767"/>
        <item x="533"/>
        <item m="1" x="555"/>
        <item x="483"/>
        <item x="532"/>
        <item m="1" x="562"/>
        <item m="1" x="672"/>
        <item m="1" x="693"/>
        <item m="1" x="853"/>
        <item m="1" x="664"/>
        <item m="1" x="797"/>
        <item m="1" x="711"/>
        <item m="1" x="592"/>
        <item x="435"/>
        <item m="1" x="689"/>
        <item m="1" x="584"/>
        <item x="234"/>
        <item x="367"/>
        <item x="426"/>
        <item m="1" x="848"/>
        <item m="1" x="795"/>
        <item m="1" x="638"/>
        <item m="1" x="640"/>
        <item m="1" x="771"/>
        <item m="1" x="857"/>
        <item x="369"/>
        <item m="1" x="762"/>
        <item x="18"/>
        <item m="1" x="646"/>
        <item m="1" x="759"/>
        <item m="1" x="867"/>
        <item m="1" x="578"/>
        <item m="1" x="571"/>
        <item x="146"/>
        <item m="1" x="681"/>
        <item m="1" x="860"/>
        <item x="405"/>
        <item m="1" x="861"/>
        <item m="1" x="569"/>
        <item m="1" x="697"/>
        <item x="393"/>
        <item m="1" x="601"/>
        <item x="231"/>
        <item m="1" x="772"/>
        <item m="1" x="706"/>
        <item m="1" x="796"/>
        <item x="248"/>
        <item m="1" x="685"/>
        <item m="1" x="749"/>
        <item m="1" x="738"/>
        <item m="1" x="718"/>
        <item x="540"/>
        <item x="70"/>
        <item x="47"/>
        <item m="1" x="793"/>
        <item x="336"/>
        <item m="1" x="850"/>
        <item m="1" x="843"/>
        <item x="252"/>
        <item m="1" x="586"/>
        <item x="537"/>
        <item x="58"/>
        <item x="513"/>
        <item x="41"/>
        <item m="1" x="835"/>
        <item m="1" x="717"/>
        <item x="187"/>
        <item x="24"/>
        <item x="66"/>
        <item m="1" x="600"/>
        <item m="1" x="829"/>
        <item m="1" x="815"/>
        <item m="1" x="643"/>
        <item x="258"/>
        <item x="205"/>
        <item x="277"/>
        <item x="208"/>
        <item m="1" x="677"/>
        <item m="1" x="559"/>
        <item m="1" x="577"/>
        <item m="1" x="692"/>
        <item m="1" x="637"/>
        <item x="495"/>
        <item m="1" x="582"/>
        <item m="1" x="837"/>
        <item m="1" x="650"/>
        <item m="1" x="783"/>
        <item m="1" x="833"/>
        <item m="1" x="610"/>
        <item x="14"/>
        <item x="160"/>
        <item m="1" x="823"/>
        <item x="300"/>
        <item x="464"/>
        <item x="88"/>
        <item m="1" x="854"/>
        <item m="1" x="570"/>
        <item x="6"/>
        <item x="102"/>
        <item x="419"/>
        <item m="1" x="740"/>
        <item m="1" x="830"/>
        <item x="373"/>
        <item x="220"/>
        <item x="374"/>
        <item m="1" x="589"/>
        <item x="291"/>
        <item m="1" x="756"/>
        <item m="1" x="673"/>
        <item x="229"/>
        <item x="390"/>
        <item x="375"/>
        <item x="131"/>
        <item m="1" x="789"/>
        <item x="36"/>
        <item m="1" x="652"/>
        <item x="8"/>
        <item m="1" x="715"/>
        <item m="1" x="659"/>
        <item m="1" x="858"/>
        <item m="1" x="671"/>
        <item m="1" x="831"/>
        <item x="219"/>
        <item m="1" x="832"/>
        <item m="1" x="825"/>
        <item x="433"/>
        <item m="1" x="708"/>
        <item m="1" x="765"/>
        <item m="1" x="666"/>
        <item m="1" x="801"/>
        <item m="1" x="782"/>
        <item m="1" x="847"/>
        <item m="1" x="845"/>
        <item m="1" x="773"/>
        <item x="297"/>
        <item m="1" x="725"/>
        <item m="1" x="859"/>
        <item x="429"/>
        <item m="1" x="726"/>
        <item m="1" x="607"/>
        <item m="1" x="561"/>
        <item m="1" x="800"/>
        <item x="180"/>
        <item x="356"/>
        <item x="366"/>
        <item x="456"/>
        <item x="176"/>
        <item x="182"/>
        <item m="1" x="720"/>
        <item x="254"/>
        <item x="421"/>
        <item m="1" x="842"/>
        <item x="54"/>
        <item x="406"/>
        <item m="1" x="747"/>
        <item x="325"/>
        <item x="313"/>
        <item x="138"/>
        <item m="1" x="663"/>
        <item m="1" x="777"/>
        <item m="1" x="606"/>
        <item m="1" x="572"/>
        <item x="460"/>
        <item x="197"/>
        <item x="221"/>
        <item m="1" x="683"/>
        <item x="22"/>
        <item m="1" x="784"/>
        <item m="1" x="727"/>
        <item m="1" x="594"/>
        <item m="1" x="667"/>
        <item x="53"/>
        <item m="1" x="788"/>
        <item m="1" x="812"/>
        <item m="1" x="729"/>
        <item x="2"/>
        <item x="82"/>
        <item x="224"/>
        <item x="159"/>
        <item m="1" x="563"/>
        <item m="1" x="564"/>
        <item x="260"/>
        <item m="1" x="612"/>
        <item m="1" x="690"/>
        <item m="1" x="719"/>
        <item x="59"/>
        <item m="1" x="614"/>
        <item x="454"/>
        <item m="1" x="879"/>
        <item m="1" x="739"/>
        <item x="185"/>
        <item m="1" x="779"/>
        <item x="34"/>
        <item m="1" x="744"/>
        <item m="1" x="716"/>
        <item x="371"/>
        <item m="1" x="694"/>
        <item m="1" x="712"/>
        <item x="4"/>
        <item x="3"/>
        <item m="1" x="866"/>
        <item m="1" x="802"/>
        <item m="1" x="682"/>
        <item m="1" x="573"/>
        <item m="1" x="709"/>
        <item m="1" x="865"/>
        <item m="1" x="733"/>
        <item m="1" x="633"/>
        <item m="1" x="846"/>
        <item m="1" x="626"/>
        <item x="362"/>
        <item x="447"/>
        <item m="1" x="629"/>
        <item x="153"/>
        <item m="1" x="631"/>
        <item x="64"/>
        <item x="310"/>
        <item x="157"/>
        <item m="1" x="809"/>
        <item x="189"/>
        <item m="1" x="700"/>
        <item x="288"/>
        <item x="261"/>
        <item x="202"/>
        <item x="497"/>
        <item m="1" x="863"/>
        <item m="1" x="707"/>
        <item m="1" x="660"/>
        <item x="178"/>
        <item x="380"/>
        <item x="81"/>
        <item m="1" x="748"/>
        <item x="107"/>
        <item x="162"/>
        <item x="275"/>
        <item m="1" x="695"/>
        <item m="1" x="732"/>
        <item m="1" x="684"/>
        <item m="1" x="653"/>
        <item m="1" x="862"/>
        <item m="1" x="696"/>
        <item x="307"/>
        <item x="218"/>
        <item m="1" x="735"/>
        <item m="1" x="844"/>
        <item x="510"/>
        <item m="1" x="776"/>
        <item x="174"/>
        <item m="1" x="668"/>
        <item m="1" x="849"/>
        <item x="50"/>
        <item x="337"/>
        <item x="196"/>
        <item m="1" x="870"/>
        <item m="1" x="761"/>
        <item m="1" x="619"/>
        <item m="1" x="645"/>
        <item x="347"/>
        <item m="1" x="591"/>
        <item x="457"/>
        <item x="90"/>
        <item x="477"/>
        <item x="327"/>
        <item x="283"/>
        <item m="1" x="611"/>
        <item x="293"/>
        <item x="127"/>
        <item m="1" x="628"/>
        <item x="32"/>
        <item m="1" x="824"/>
        <item m="1" x="551"/>
        <item m="1" x="603"/>
        <item m="1" x="565"/>
        <item m="1" x="787"/>
        <item x="212"/>
        <item m="1" x="790"/>
        <item m="1" x="593"/>
        <item m="1" x="574"/>
        <item m="1" x="636"/>
        <item x="141"/>
        <item x="77"/>
        <item x="114"/>
        <item x="184"/>
        <item x="285"/>
        <item x="444"/>
        <item m="1" x="868"/>
        <item m="1" x="826"/>
        <item m="1" x="751"/>
        <item m="1" x="792"/>
        <item x="225"/>
        <item x="334"/>
        <item x="203"/>
        <item x="379"/>
        <item x="125"/>
        <item x="155"/>
        <item x="145"/>
        <item m="1" x="662"/>
        <item x="417"/>
        <item x="490"/>
        <item m="1" x="599"/>
        <item m="1" x="757"/>
        <item x="85"/>
        <item m="1" x="641"/>
        <item m="1" x="734"/>
        <item m="1" x="803"/>
        <item m="1" x="752"/>
        <item x="480"/>
        <item m="1" x="632"/>
        <item m="1" x="828"/>
        <item x="99"/>
        <item x="129"/>
        <item m="1" x="621"/>
        <item m="1" x="872"/>
        <item x="243"/>
        <item m="1" x="702"/>
        <item m="1" x="807"/>
        <item x="428"/>
        <item x="105"/>
        <item m="1" x="808"/>
        <item m="1" x="799"/>
        <item x="194"/>
        <item m="1" x="657"/>
        <item x="207"/>
        <item x="100"/>
        <item m="1" x="605"/>
        <item m="1" x="661"/>
        <item x="395"/>
        <item m="1" x="595"/>
        <item x="449"/>
        <item m="1" x="873"/>
        <item m="1" x="745"/>
        <item x="289"/>
        <item x="20"/>
        <item x="500"/>
        <item m="1" x="622"/>
        <item m="1" x="875"/>
        <item x="242"/>
        <item x="5"/>
        <item m="1" x="838"/>
        <item m="1" x="713"/>
        <item x="65"/>
        <item x="62"/>
        <item m="1" x="618"/>
        <item x="91"/>
        <item x="274"/>
        <item x="488"/>
        <item x="74"/>
        <item m="1" x="608"/>
        <item m="1" x="814"/>
        <item m="1" x="624"/>
        <item m="1" x="674"/>
        <item x="308"/>
        <item m="1" x="581"/>
        <item x="247"/>
        <item m="1" x="794"/>
        <item m="1" x="817"/>
        <item m="1" x="557"/>
        <item x="476"/>
        <item x="204"/>
        <item m="1" x="597"/>
        <item m="1" x="791"/>
        <item m="1" x="880"/>
        <item m="1" x="728"/>
        <item m="1" x="820"/>
        <item m="1" x="701"/>
        <item m="1" x="670"/>
        <item m="1" x="699"/>
        <item x="148"/>
        <item x="443"/>
        <item m="1" x="764"/>
        <item m="1" x="836"/>
        <item x="394"/>
        <item m="1" x="553"/>
        <item m="1" x="710"/>
        <item x="209"/>
        <item x="126"/>
        <item m="1" x="763"/>
        <item m="1" x="665"/>
        <item m="1" x="769"/>
        <item m="1" x="580"/>
        <item m="1" x="642"/>
        <item m="1" x="737"/>
        <item m="1" x="698"/>
        <item m="1" x="743"/>
        <item m="1" x="768"/>
        <item x="515"/>
        <item x="368"/>
        <item m="1" x="560"/>
        <item m="1" x="656"/>
        <item x="268"/>
        <item x="535"/>
        <item x="276"/>
        <item x="430"/>
        <item m="1" x="596"/>
        <item x="75"/>
        <item m="1" x="617"/>
        <item m="1" x="675"/>
        <item m="1" x="651"/>
        <item m="1" x="876"/>
        <item x="30"/>
        <item x="123"/>
        <item m="1" x="691"/>
        <item m="1" x="598"/>
        <item x="413"/>
        <item x="211"/>
        <item x="410"/>
        <item m="1" x="731"/>
        <item m="1" x="840"/>
        <item m="1" x="649"/>
        <item x="266"/>
        <item m="1" x="746"/>
        <item m="1" x="813"/>
        <item x="474"/>
        <item x="78"/>
        <item m="1" x="871"/>
        <item x="119"/>
        <item m="1" x="680"/>
        <item m="1" x="881"/>
        <item m="1" x="686"/>
        <item m="1" x="705"/>
        <item x="168"/>
        <item m="1" x="754"/>
        <item x="271"/>
        <item m="1" x="806"/>
        <item x="365"/>
        <item m="1" x="855"/>
        <item m="1" x="639"/>
        <item x="519"/>
        <item x="411"/>
        <item x="412"/>
        <item x="101"/>
        <item m="1" x="687"/>
        <item m="1" x="834"/>
        <item x="122"/>
        <item m="1" x="576"/>
        <item x="124"/>
        <item m="1" x="647"/>
        <item m="1" x="654"/>
        <item m="1" x="613"/>
        <item x="16"/>
        <item x="521"/>
        <item x="210"/>
        <item x="304"/>
        <item x="55"/>
        <item m="1" x="579"/>
        <item m="1" x="760"/>
        <item m="1" x="822"/>
        <item m="1" x="864"/>
        <item m="1" x="721"/>
        <item m="1" x="869"/>
        <item x="251"/>
        <item m="1" x="627"/>
        <item m="1" x="750"/>
        <item x="542"/>
        <item m="1" x="634"/>
        <item x="63"/>
        <item m="1" x="805"/>
        <item m="1" x="841"/>
        <item m="1" x="770"/>
        <item x="525"/>
        <item m="1" x="827"/>
        <item m="1" x="688"/>
        <item x="237"/>
        <item m="1" x="658"/>
        <item x="451"/>
        <item x="321"/>
        <item x="92"/>
        <item x="136"/>
        <item m="1" x="704"/>
        <item m="1" x="874"/>
        <item m="1" x="552"/>
        <item m="1" x="741"/>
        <item m="1" x="730"/>
        <item m="1" x="818"/>
        <item m="1" x="819"/>
        <item m="1" x="556"/>
        <item m="1" x="851"/>
        <item x="45"/>
        <item m="1" x="811"/>
        <item m="1" x="753"/>
        <item m="1" x="714"/>
        <item x="479"/>
        <item m="1" x="758"/>
        <item m="1" x="585"/>
        <item x="272"/>
        <item x="98"/>
        <item x="262"/>
        <item x="95"/>
        <item x="172"/>
        <item x="459"/>
        <item m="1" x="609"/>
        <item m="1" x="554"/>
        <item x="108"/>
        <item x="42"/>
        <item m="1" x="766"/>
        <item m="1" x="798"/>
        <item m="1" x="774"/>
        <item x="324"/>
        <item m="1" x="816"/>
        <item x="469"/>
        <item x="83"/>
        <item m="1" x="676"/>
        <item m="1" x="755"/>
        <item m="1" x="781"/>
        <item x="23"/>
        <item m="1" x="567"/>
        <item x="56"/>
        <item x="188"/>
        <item m="1" x="587"/>
        <item m="1" x="839"/>
        <item m="1" x="852"/>
        <item x="349"/>
        <item m="1" x="615"/>
        <item x="67"/>
        <item m="1" x="856"/>
        <item m="1" x="742"/>
        <item m="1" x="604"/>
        <item m="1" x="568"/>
        <item x="408"/>
        <item m="1" x="625"/>
        <item x="439"/>
        <item m="1" x="669"/>
        <item m="1" x="635"/>
        <item m="1" x="775"/>
        <item m="1" x="778"/>
        <item m="1" x="786"/>
        <item x="89"/>
        <item m="1" x="620"/>
        <item x="350"/>
        <item m="1" x="590"/>
        <item m="1" x="655"/>
        <item m="1" x="679"/>
        <item x="199"/>
        <item m="1" x="736"/>
        <item m="1" x="630"/>
        <item x="531"/>
        <item m="1" x="723"/>
        <item x="472"/>
        <item x="230"/>
        <item m="1" x="558"/>
        <item x="79"/>
        <item x="311"/>
        <item x="134"/>
        <item x="57"/>
        <item m="1" x="602"/>
        <item x="147"/>
        <item m="1" x="616"/>
        <item x="357"/>
        <item x="416"/>
        <item m="1" x="678"/>
        <item x="346"/>
        <item m="1" x="780"/>
        <item x="256"/>
        <item x="361"/>
        <item m="1" x="583"/>
        <item x="215"/>
        <item m="1" x="566"/>
        <item m="1" x="623"/>
        <item x="179"/>
        <item m="1" x="724"/>
        <item m="1" x="575"/>
        <item m="1" x="722"/>
        <item x="52"/>
        <item x="0"/>
        <item x="1"/>
        <item x="7"/>
        <item x="9"/>
        <item x="10"/>
        <item x="11"/>
        <item x="12"/>
        <item x="13"/>
        <item x="15"/>
        <item x="17"/>
        <item x="19"/>
        <item x="21"/>
        <item x="25"/>
        <item x="26"/>
        <item x="27"/>
        <item x="28"/>
        <item x="29"/>
        <item x="31"/>
        <item x="33"/>
        <item x="35"/>
        <item x="37"/>
        <item m="1" x="545"/>
        <item x="38"/>
        <item x="39"/>
        <item x="40"/>
        <item x="43"/>
        <item x="44"/>
        <item x="46"/>
        <item x="48"/>
        <item x="49"/>
        <item x="51"/>
        <item x="60"/>
        <item x="61"/>
        <item x="68"/>
        <item x="69"/>
        <item x="71"/>
        <item x="72"/>
        <item x="73"/>
        <item x="76"/>
        <item x="80"/>
        <item x="84"/>
        <item x="86"/>
        <item x="87"/>
        <item x="93"/>
        <item x="94"/>
        <item x="96"/>
        <item x="97"/>
        <item x="103"/>
        <item x="104"/>
        <item x="106"/>
        <item x="109"/>
        <item x="111"/>
        <item x="112"/>
        <item x="113"/>
        <item x="115"/>
        <item x="116"/>
        <item x="117"/>
        <item x="118"/>
        <item x="120"/>
        <item x="121"/>
        <item x="128"/>
        <item x="130"/>
        <item x="132"/>
        <item x="133"/>
        <item x="135"/>
        <item x="137"/>
        <item x="139"/>
        <item x="140"/>
        <item x="142"/>
        <item x="143"/>
        <item x="144"/>
        <item x="149"/>
        <item x="150"/>
        <item x="151"/>
        <item x="152"/>
        <item x="154"/>
        <item x="156"/>
        <item x="158"/>
        <item x="161"/>
        <item x="163"/>
        <item x="164"/>
        <item x="165"/>
        <item x="166"/>
        <item x="167"/>
        <item x="169"/>
        <item x="170"/>
        <item x="171"/>
        <item x="173"/>
        <item x="175"/>
        <item x="177"/>
        <item x="181"/>
        <item x="183"/>
        <item x="186"/>
        <item x="190"/>
        <item x="191"/>
        <item x="195"/>
        <item x="198"/>
        <item x="200"/>
        <item x="201"/>
        <item x="213"/>
        <item x="214"/>
        <item x="216"/>
        <item x="217"/>
        <item x="222"/>
        <item x="223"/>
        <item x="227"/>
        <item x="228"/>
        <item x="232"/>
        <item x="233"/>
        <item x="235"/>
        <item x="236"/>
        <item x="238"/>
        <item x="239"/>
        <item x="240"/>
        <item x="241"/>
        <item x="244"/>
        <item x="245"/>
        <item x="246"/>
        <item x="249"/>
        <item x="250"/>
        <item x="253"/>
        <item x="255"/>
        <item x="257"/>
        <item x="259"/>
        <item x="263"/>
        <item x="264"/>
        <item x="265"/>
        <item x="267"/>
        <item x="269"/>
        <item x="273"/>
        <item x="278"/>
        <item x="279"/>
        <item x="280"/>
        <item x="281"/>
        <item x="282"/>
        <item x="284"/>
        <item x="286"/>
        <item x="287"/>
        <item x="290"/>
        <item x="292"/>
        <item x="294"/>
        <item x="295"/>
        <item x="296"/>
        <item x="298"/>
        <item x="299"/>
        <item x="301"/>
        <item x="302"/>
        <item x="303"/>
        <item x="305"/>
        <item x="306"/>
        <item x="309"/>
        <item x="312"/>
        <item x="314"/>
        <item x="315"/>
        <item x="316"/>
        <item x="317"/>
        <item x="318"/>
        <item x="319"/>
        <item x="320"/>
        <item x="322"/>
        <item x="323"/>
        <item x="326"/>
        <item x="328"/>
        <item x="329"/>
        <item x="330"/>
        <item x="331"/>
        <item x="332"/>
        <item x="333"/>
        <item x="335"/>
        <item x="338"/>
        <item x="339"/>
        <item x="340"/>
        <item x="341"/>
        <item x="342"/>
        <item x="343"/>
        <item x="344"/>
        <item x="345"/>
        <item x="348"/>
        <item x="351"/>
        <item x="352"/>
        <item x="353"/>
        <item x="354"/>
        <item x="355"/>
        <item x="358"/>
        <item x="359"/>
        <item x="360"/>
        <item x="363"/>
        <item x="370"/>
        <item x="372"/>
        <item x="377"/>
        <item x="378"/>
        <item x="381"/>
        <item x="382"/>
        <item x="383"/>
        <item x="384"/>
        <item x="385"/>
        <item x="386"/>
        <item x="387"/>
        <item x="388"/>
        <item x="389"/>
        <item x="391"/>
        <item x="392"/>
        <item x="396"/>
        <item x="397"/>
        <item x="398"/>
        <item x="399"/>
        <item x="400"/>
        <item x="401"/>
        <item x="402"/>
        <item x="403"/>
        <item x="404"/>
        <item x="407"/>
        <item x="409"/>
        <item x="414"/>
        <item x="415"/>
        <item x="418"/>
        <item x="420"/>
        <item x="422"/>
        <item x="423"/>
        <item x="424"/>
        <item x="425"/>
        <item x="427"/>
        <item x="432"/>
        <item x="434"/>
        <item x="436"/>
        <item x="437"/>
        <item x="438"/>
        <item x="440"/>
        <item x="441"/>
        <item x="442"/>
        <item x="445"/>
        <item x="446"/>
        <item x="448"/>
        <item x="450"/>
        <item x="452"/>
        <item x="453"/>
        <item x="455"/>
        <item x="458"/>
        <item x="461"/>
        <item x="462"/>
        <item x="463"/>
        <item x="465"/>
        <item x="466"/>
        <item x="467"/>
        <item x="468"/>
        <item x="470"/>
        <item x="471"/>
        <item x="473"/>
        <item x="475"/>
        <item x="478"/>
        <item x="481"/>
        <item x="482"/>
        <item x="484"/>
        <item x="485"/>
        <item x="486"/>
        <item x="487"/>
        <item x="489"/>
        <item x="491"/>
        <item x="492"/>
        <item x="493"/>
        <item x="494"/>
        <item x="496"/>
        <item x="498"/>
        <item x="499"/>
        <item x="501"/>
        <item x="502"/>
        <item x="503"/>
        <item x="504"/>
        <item x="505"/>
        <item x="506"/>
        <item x="507"/>
        <item x="508"/>
        <item x="509"/>
        <item x="511"/>
        <item x="512"/>
        <item x="514"/>
        <item x="516"/>
        <item x="517"/>
        <item x="518"/>
        <item m="1" x="546"/>
        <item m="1" x="547"/>
        <item m="1" x="548"/>
        <item m="1" x="549"/>
        <item m="1" x="550"/>
        <item x="520"/>
        <item x="522"/>
        <item x="523"/>
        <item x="524"/>
        <item x="526"/>
        <item x="527"/>
        <item x="528"/>
        <item x="529"/>
        <item x="534"/>
        <item x="536"/>
        <item x="538"/>
        <item x="539"/>
        <item x="541"/>
        <item x="543"/>
        <item x="544"/>
        <item t="default"/>
      </items>
    </pivotField>
    <pivotField showAll="0"/>
    <pivotField numFmtId="164" showAll="0"/>
    <pivotField numFmtId="164" showAll="0"/>
    <pivotField dataField="1" numFmtId="164" showAll="0"/>
    <pivotField showAll="0"/>
    <pivotField showAll="0"/>
    <pivotField showAll="0"/>
    <pivotField showAll="0"/>
    <pivotField showAll="0"/>
    <pivotField showAll="0"/>
    <pivotField axis="axisPage" dataField="1" showAll="0">
      <items count="4">
        <item x="0"/>
        <item h="1" x="1"/>
        <item h="1" m="1" x="2"/>
        <item t="default"/>
      </items>
    </pivotField>
    <pivotField showAll="0"/>
    <pivotField showAll="0"/>
  </pivotFields>
  <rowFields count="2">
    <field x="10"/>
    <field x="2"/>
  </rowFields>
  <rowItems count="254">
    <i>
      <x/>
    </i>
    <i r="1">
      <x v="1216"/>
    </i>
    <i>
      <x v="4"/>
    </i>
    <i r="1">
      <x v="1501"/>
    </i>
    <i r="1">
      <x v="1886"/>
    </i>
    <i>
      <x v="19"/>
    </i>
    <i r="1">
      <x v="2080"/>
    </i>
    <i>
      <x v="21"/>
    </i>
    <i r="1">
      <x v="2084"/>
    </i>
    <i>
      <x v="24"/>
    </i>
    <i r="1">
      <x v="2082"/>
    </i>
    <i>
      <x v="37"/>
    </i>
    <i r="1">
      <x v="1689"/>
    </i>
    <i>
      <x v="45"/>
    </i>
    <i r="1">
      <x v="1691"/>
    </i>
    <i>
      <x v="94"/>
    </i>
    <i r="1">
      <x v="1383"/>
    </i>
    <i>
      <x v="112"/>
    </i>
    <i r="1">
      <x v="1554"/>
    </i>
    <i>
      <x v="129"/>
    </i>
    <i r="1">
      <x v="1422"/>
    </i>
    <i r="1">
      <x v="1425"/>
    </i>
    <i>
      <x v="131"/>
    </i>
    <i r="1">
      <x v="1702"/>
    </i>
    <i>
      <x v="154"/>
    </i>
    <i r="1">
      <x v="1550"/>
    </i>
    <i>
      <x v="157"/>
    </i>
    <i r="1">
      <x v="1978"/>
    </i>
    <i>
      <x v="176"/>
    </i>
    <i r="1">
      <x v="1580"/>
    </i>
    <i>
      <x v="183"/>
    </i>
    <i r="1">
      <x v="2021"/>
    </i>
    <i>
      <x v="197"/>
    </i>
    <i r="1">
      <x v="1457"/>
    </i>
    <i>
      <x v="207"/>
    </i>
    <i r="1">
      <x v="1875"/>
    </i>
    <i>
      <x v="230"/>
    </i>
    <i r="1">
      <x v="1682"/>
    </i>
    <i>
      <x v="231"/>
    </i>
    <i r="1">
      <x v="1856"/>
    </i>
    <i>
      <x v="252"/>
    </i>
    <i r="1">
      <x v="1410"/>
    </i>
    <i>
      <x v="253"/>
    </i>
    <i r="1">
      <x v="2071"/>
    </i>
    <i>
      <x v="261"/>
    </i>
    <i r="1">
      <x v="2074"/>
    </i>
    <i>
      <x v="262"/>
    </i>
    <i r="1">
      <x v="2042"/>
    </i>
    <i>
      <x v="280"/>
    </i>
    <i r="1">
      <x v="1977"/>
    </i>
    <i>
      <x v="318"/>
    </i>
    <i r="1">
      <x v="1986"/>
    </i>
    <i>
      <x v="326"/>
    </i>
    <i r="1">
      <x v="1970"/>
    </i>
    <i>
      <x v="353"/>
    </i>
    <i r="1">
      <x v="2007"/>
    </i>
    <i>
      <x v="365"/>
    </i>
    <i r="1">
      <x v="1984"/>
    </i>
    <i>
      <x v="395"/>
    </i>
    <i r="1">
      <x v="1250"/>
    </i>
    <i>
      <x v="405"/>
    </i>
    <i r="1">
      <x v="2037"/>
    </i>
    <i r="1">
      <x v="2038"/>
    </i>
    <i>
      <x v="406"/>
    </i>
    <i r="1">
      <x v="1690"/>
    </i>
    <i>
      <x v="410"/>
    </i>
    <i r="1">
      <x v="2087"/>
    </i>
    <i>
      <x v="425"/>
    </i>
    <i r="1">
      <x v="1767"/>
    </i>
    <i>
      <x v="442"/>
    </i>
    <i r="1">
      <x v="1502"/>
    </i>
    <i>
      <x v="444"/>
    </i>
    <i r="1">
      <x v="1686"/>
    </i>
    <i>
      <x v="447"/>
    </i>
    <i r="1">
      <x v="2045"/>
    </i>
    <i>
      <x v="455"/>
    </i>
    <i r="1">
      <x v="1247"/>
    </i>
    <i r="1">
      <x v="1269"/>
    </i>
    <i r="1">
      <x v="1407"/>
    </i>
    <i r="1">
      <x v="1854"/>
    </i>
    <i r="1">
      <x v="2026"/>
    </i>
    <i>
      <x v="460"/>
    </i>
    <i r="1">
      <x v="2053"/>
    </i>
    <i>
      <x v="462"/>
    </i>
    <i r="1">
      <x v="1560"/>
    </i>
    <i>
      <x v="482"/>
    </i>
    <i r="1">
      <x v="1443"/>
    </i>
    <i>
      <x v="506"/>
    </i>
    <i r="1">
      <x v="1486"/>
    </i>
    <i>
      <x v="519"/>
    </i>
    <i r="1">
      <x v="1928"/>
    </i>
    <i r="1">
      <x v="1969"/>
    </i>
    <i>
      <x v="524"/>
    </i>
    <i r="1">
      <x v="1099"/>
    </i>
    <i r="1">
      <x v="1263"/>
    </i>
    <i r="1">
      <x v="1870"/>
    </i>
    <i r="1">
      <x v="1920"/>
    </i>
    <i r="1">
      <x v="1921"/>
    </i>
    <i>
      <x v="526"/>
    </i>
    <i r="1">
      <x v="1145"/>
    </i>
    <i>
      <x v="562"/>
    </i>
    <i r="1">
      <x v="1394"/>
    </i>
    <i r="1">
      <x v="1402"/>
    </i>
    <i r="1">
      <x v="1403"/>
    </i>
    <i r="1">
      <x v="1441"/>
    </i>
    <i r="1">
      <x v="1497"/>
    </i>
    <i>
      <x v="567"/>
    </i>
    <i r="1">
      <x v="2075"/>
    </i>
    <i>
      <x v="568"/>
    </i>
    <i r="1">
      <x v="1786"/>
    </i>
    <i r="1">
      <x v="1876"/>
    </i>
    <i>
      <x v="583"/>
    </i>
    <i r="1">
      <x v="1065"/>
    </i>
    <i>
      <x v="587"/>
    </i>
    <i r="1">
      <x v="1084"/>
    </i>
    <i>
      <x v="599"/>
    </i>
    <i r="1">
      <x v="1107"/>
    </i>
    <i r="1">
      <x v="1109"/>
    </i>
    <i r="1">
      <x v="1110"/>
    </i>
    <i r="1">
      <x v="1111"/>
    </i>
    <i>
      <x v="607"/>
    </i>
    <i r="1">
      <x v="1123"/>
    </i>
    <i>
      <x v="616"/>
    </i>
    <i r="1">
      <x v="1162"/>
    </i>
    <i r="1">
      <x v="1163"/>
    </i>
    <i r="1">
      <x v="1164"/>
    </i>
    <i r="1">
      <x v="1165"/>
    </i>
    <i>
      <x v="620"/>
    </i>
    <i r="1">
      <x v="1169"/>
    </i>
    <i r="1">
      <x v="1990"/>
    </i>
    <i>
      <x v="629"/>
    </i>
    <i r="1">
      <x v="1200"/>
    </i>
    <i r="1">
      <x v="1781"/>
    </i>
    <i>
      <x v="631"/>
    </i>
    <i r="1">
      <x v="1669"/>
    </i>
    <i r="1">
      <x v="2028"/>
    </i>
    <i>
      <x v="635"/>
    </i>
    <i r="1">
      <x v="1220"/>
    </i>
    <i>
      <x v="637"/>
    </i>
    <i r="1">
      <x v="1225"/>
    </i>
    <i r="1">
      <x v="1272"/>
    </i>
    <i>
      <x v="641"/>
    </i>
    <i r="1">
      <x v="1240"/>
    </i>
    <i r="1">
      <x v="1652"/>
    </i>
    <i>
      <x v="656"/>
    </i>
    <i r="1">
      <x v="1291"/>
    </i>
    <i>
      <x v="665"/>
    </i>
    <i r="1">
      <x v="1315"/>
    </i>
    <i r="1">
      <x v="1413"/>
    </i>
    <i r="1">
      <x v="1645"/>
    </i>
    <i r="1">
      <x v="1982"/>
    </i>
    <i>
      <x v="669"/>
    </i>
    <i r="1">
      <x v="1322"/>
    </i>
    <i>
      <x v="672"/>
    </i>
    <i r="1">
      <x v="1339"/>
    </i>
    <i>
      <x v="680"/>
    </i>
    <i r="1">
      <x v="1378"/>
    </i>
    <i>
      <x v="687"/>
    </i>
    <i r="1">
      <x v="1414"/>
    </i>
    <i>
      <x v="699"/>
    </i>
    <i r="1">
      <x v="1472"/>
    </i>
    <i>
      <x v="704"/>
    </i>
    <i r="1">
      <x v="1470"/>
    </i>
    <i>
      <x v="708"/>
    </i>
    <i r="1">
      <x v="2086"/>
    </i>
    <i>
      <x v="709"/>
    </i>
    <i r="1">
      <x v="1905"/>
    </i>
    <i>
      <x v="716"/>
    </i>
    <i r="1">
      <x v="1528"/>
    </i>
    <i>
      <x v="718"/>
    </i>
    <i r="1">
      <x v="1533"/>
    </i>
    <i>
      <x v="719"/>
    </i>
    <i r="1">
      <x v="1535"/>
    </i>
    <i>
      <x v="720"/>
    </i>
    <i r="1">
      <x v="1536"/>
    </i>
    <i r="1">
      <x v="1537"/>
    </i>
    <i>
      <x v="721"/>
    </i>
    <i r="1">
      <x v="1540"/>
    </i>
    <i>
      <x v="732"/>
    </i>
    <i r="1">
      <x v="1563"/>
    </i>
    <i>
      <x v="745"/>
    </i>
    <i r="1">
      <x v="1603"/>
    </i>
    <i>
      <x v="747"/>
    </i>
    <i r="1">
      <x v="1836"/>
    </i>
    <i>
      <x v="758"/>
    </i>
    <i r="1">
      <x v="1639"/>
    </i>
    <i>
      <x v="762"/>
    </i>
    <i r="1">
      <x v="1659"/>
    </i>
    <i r="1">
      <x v="1861"/>
    </i>
    <i>
      <x v="775"/>
    </i>
    <i r="1">
      <x v="1714"/>
    </i>
    <i r="1">
      <x v="1715"/>
    </i>
    <i r="1">
      <x v="1716"/>
    </i>
    <i r="1">
      <x v="1731"/>
    </i>
    <i>
      <x v="776"/>
    </i>
    <i r="1">
      <x v="1717"/>
    </i>
    <i>
      <x v="777"/>
    </i>
    <i r="1">
      <x v="1718"/>
    </i>
    <i>
      <x v="778"/>
    </i>
    <i r="1">
      <x v="1719"/>
    </i>
    <i>
      <x v="784"/>
    </i>
    <i r="1">
      <x v="1729"/>
    </i>
    <i>
      <x v="789"/>
    </i>
    <i r="1">
      <x v="1752"/>
    </i>
    <i>
      <x v="792"/>
    </i>
    <i r="1">
      <x v="1756"/>
    </i>
    <i>
      <x v="798"/>
    </i>
    <i r="1">
      <x v="1790"/>
    </i>
    <i>
      <x v="802"/>
    </i>
    <i r="1">
      <x v="1800"/>
    </i>
    <i>
      <x v="807"/>
    </i>
    <i r="1">
      <x v="1833"/>
    </i>
    <i r="1">
      <x v="2009"/>
    </i>
    <i r="1">
      <x v="2015"/>
    </i>
    <i>
      <x v="817"/>
    </i>
    <i r="1">
      <x v="1906"/>
    </i>
    <i>
      <x v="819"/>
    </i>
    <i r="1">
      <x v="1880"/>
    </i>
    <i>
      <x v="822"/>
    </i>
    <i r="1">
      <x v="1913"/>
    </i>
    <i>
      <x v="824"/>
    </i>
    <i r="1">
      <x v="1917"/>
    </i>
    <i>
      <x v="826"/>
    </i>
    <i r="1">
      <x v="1924"/>
    </i>
    <i r="1">
      <x v="1926"/>
    </i>
    <i>
      <x v="827"/>
    </i>
    <i r="1">
      <x v="1927"/>
    </i>
    <i>
      <x v="829"/>
    </i>
    <i r="1">
      <x v="1931"/>
    </i>
    <i r="1">
      <x v="2027"/>
    </i>
    <i>
      <x v="833"/>
    </i>
    <i r="1">
      <x v="1971"/>
    </i>
    <i r="1">
      <x v="1972"/>
    </i>
    <i r="1">
      <x v="1973"/>
    </i>
    <i>
      <x v="835"/>
    </i>
    <i r="1">
      <x v="1979"/>
    </i>
    <i>
      <x v="836"/>
    </i>
    <i r="1">
      <x v="1980"/>
    </i>
    <i>
      <x v="845"/>
    </i>
    <i r="1">
      <x v="2005"/>
    </i>
    <i>
      <x v="855"/>
    </i>
    <i r="1">
      <x v="2025"/>
    </i>
    <i>
      <x v="856"/>
    </i>
    <i r="1">
      <x v="2031"/>
    </i>
    <i>
      <x v="868"/>
    </i>
    <i r="1">
      <x v="2057"/>
    </i>
    <i>
      <x v="869"/>
    </i>
    <i r="1">
      <x v="2058"/>
    </i>
    <i r="1">
      <x v="2083"/>
    </i>
    <i>
      <x v="871"/>
    </i>
    <i r="1">
      <x v="2066"/>
    </i>
    <i>
      <x v="874"/>
    </i>
    <i r="1">
      <x v="2079"/>
    </i>
    <i t="grand">
      <x/>
    </i>
  </rowItems>
  <colFields count="1">
    <field x="-2"/>
  </colFields>
  <colItems count="2">
    <i>
      <x/>
    </i>
    <i i="1">
      <x v="1"/>
    </i>
  </colItems>
  <pageFields count="1">
    <pageField fld="21" hier="-1"/>
  </pageFields>
  <dataFields count="2">
    <dataField name="Cuenta de SIN ACUSE" fld="21" subtotal="count" baseField="0" baseItem="0"/>
    <dataField name="Suma de Total" fld="14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838EC3-1E24-4353-822C-1C8516E5A1EE}" name="Tabla diná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D275" firstHeaderRow="0" firstDataRow="1" firstDataCol="2" rowPageCount="1" colPageCount="1"/>
  <pivotFields count="24">
    <pivotField compact="0" outline="0" showAll="0"/>
    <pivotField compact="0" outline="0" showAll="0"/>
    <pivotField axis="axisRow" compact="0" outline="0" showAll="0">
      <items count="2100"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5"/>
        <item m="1" x="1846"/>
        <item m="1" x="1847"/>
        <item m="1" x="1848"/>
        <item m="1" x="1850"/>
        <item m="1" x="1851"/>
        <item m="1" x="1852"/>
        <item m="1" x="1853"/>
        <item m="1" x="1854"/>
        <item m="1" x="1855"/>
        <item m="1" x="1856"/>
        <item m="1" x="1857"/>
        <item m="1" x="1858"/>
        <item m="1" x="1859"/>
        <item m="1" x="1860"/>
        <item m="1" x="1861"/>
        <item m="1" x="1862"/>
        <item m="1" x="1863"/>
        <item m="1" x="1864"/>
        <item m="1" x="1865"/>
        <item m="1" x="1866"/>
        <item m="1" x="1867"/>
        <item m="1" x="1868"/>
        <item m="1" x="1869"/>
        <item m="1" x="1870"/>
        <item m="1" x="1871"/>
        <item m="1" x="1872"/>
        <item m="1" x="1873"/>
        <item m="1" x="1874"/>
        <item m="1" x="1875"/>
        <item m="1" x="1876"/>
        <item m="1" x="1877"/>
        <item m="1" x="1878"/>
        <item m="1" x="1879"/>
        <item m="1" x="1880"/>
        <item m="1" x="1881"/>
        <item m="1" x="1882"/>
        <item m="1" x="1883"/>
        <item m="1" x="1884"/>
        <item m="1" x="1885"/>
        <item m="1" x="1886"/>
        <item m="1" x="1887"/>
        <item m="1" x="1888"/>
        <item m="1" x="1889"/>
        <item m="1" x="1890"/>
        <item m="1" x="1891"/>
        <item m="1" x="1892"/>
        <item m="1" x="1893"/>
        <item m="1" x="1894"/>
        <item m="1" x="1895"/>
        <item m="1" x="1896"/>
        <item m="1" x="1897"/>
        <item m="1" x="1898"/>
        <item m="1" x="1899"/>
        <item m="1" x="1900"/>
        <item m="1" x="1901"/>
        <item m="1" x="1902"/>
        <item m="1" x="1903"/>
        <item m="1" x="1904"/>
        <item m="1" x="1905"/>
        <item m="1" x="1906"/>
        <item m="1" x="1907"/>
        <item m="1" x="1908"/>
        <item m="1" x="1909"/>
        <item m="1" x="1910"/>
        <item m="1" x="1911"/>
        <item m="1" x="1912"/>
        <item m="1" x="1913"/>
        <item m="1" x="1914"/>
        <item m="1" x="1915"/>
        <item m="1" x="1916"/>
        <item m="1" x="1917"/>
        <item m="1" x="1918"/>
        <item m="1" x="1919"/>
        <item m="1" x="1920"/>
        <item m="1" x="1921"/>
        <item m="1" x="1922"/>
        <item m="1" x="1923"/>
        <item m="1" x="1924"/>
        <item m="1" x="1925"/>
        <item m="1" x="1926"/>
        <item m="1" x="1927"/>
        <item m="1" x="1928"/>
        <item m="1" x="1929"/>
        <item m="1" x="1930"/>
        <item m="1" x="1931"/>
        <item m="1" x="1932"/>
        <item m="1" x="1933"/>
        <item m="1" x="1934"/>
        <item m="1" x="1935"/>
        <item m="1" x="1936"/>
        <item m="1" x="1937"/>
        <item m="1" x="1938"/>
        <item m="1" x="1939"/>
        <item m="1" x="1940"/>
        <item m="1" x="1941"/>
        <item m="1" x="1942"/>
        <item m="1" x="1943"/>
        <item m="1" x="1944"/>
        <item m="1" x="1945"/>
        <item m="1" x="1946"/>
        <item m="1" x="194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1958"/>
        <item m="1" x="1959"/>
        <item m="1" x="1960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75"/>
        <item m="1" x="1976"/>
        <item m="1" x="1977"/>
        <item m="1" x="1978"/>
        <item m="1" x="1979"/>
        <item m="1" x="1980"/>
        <item m="1" x="1981"/>
        <item m="1" x="1982"/>
        <item m="1" x="1983"/>
        <item m="1" x="1984"/>
        <item m="1" x="1985"/>
        <item m="1" x="1986"/>
        <item m="1" x="1987"/>
        <item m="1" x="1988"/>
        <item m="1" x="1989"/>
        <item m="1" x="1990"/>
        <item m="1" x="1991"/>
        <item m="1" x="1992"/>
        <item m="1" x="1993"/>
        <item m="1" x="1994"/>
        <item m="1" x="1995"/>
        <item m="1" x="1996"/>
        <item m="1" x="1997"/>
        <item m="1" x="1998"/>
        <item m="1" x="1999"/>
        <item m="1" x="2000"/>
        <item m="1" x="2001"/>
        <item m="1" x="2002"/>
        <item m="1" x="2003"/>
        <item m="1" x="2004"/>
        <item m="1" x="2005"/>
        <item m="1" x="2006"/>
        <item m="1" x="2007"/>
        <item m="1" x="2008"/>
        <item m="1" x="2009"/>
        <item m="1" x="2010"/>
        <item m="1" x="2011"/>
        <item m="1" x="2012"/>
        <item m="1" x="2013"/>
        <item m="1" x="2014"/>
        <item m="1" x="2015"/>
        <item m="1" x="2016"/>
        <item m="1" x="2017"/>
        <item m="1" x="2018"/>
        <item m="1" x="2019"/>
        <item m="1" x="2020"/>
        <item m="1" x="2021"/>
        <item m="1" x="2022"/>
        <item m="1" x="2023"/>
        <item m="1" x="2024"/>
        <item m="1" x="2025"/>
        <item m="1" x="2026"/>
        <item m="1" x="2027"/>
        <item m="1" x="2028"/>
        <item m="1" x="2029"/>
        <item m="1" x="2030"/>
        <item m="1" x="2031"/>
        <item m="1" x="2032"/>
        <item m="1" x="2033"/>
        <item m="1" x="2034"/>
        <item m="1" x="2035"/>
        <item m="1" x="2036"/>
        <item m="1" x="2037"/>
        <item m="1" x="2038"/>
        <item m="1" x="2039"/>
        <item m="1" x="2040"/>
        <item m="1" x="2041"/>
        <item m="1" x="2042"/>
        <item m="1" x="2043"/>
        <item m="1" x="2044"/>
        <item m="1" x="2045"/>
        <item m="1" x="2046"/>
        <item m="1" x="2047"/>
        <item m="1" x="2048"/>
        <item m="1" x="2049"/>
        <item m="1" x="2050"/>
        <item m="1" x="2051"/>
        <item m="1" x="2052"/>
        <item m="1" x="2053"/>
        <item m="1" x="2054"/>
        <item m="1" x="2055"/>
        <item m="1" x="2056"/>
        <item m="1" x="2057"/>
        <item m="1" x="205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88"/>
        <item m="1" x="2089"/>
        <item m="1" x="2090"/>
        <item m="1" x="2091"/>
        <item m="1" x="2092"/>
        <item m="1" x="2093"/>
        <item m="1" x="2094"/>
        <item m="1" x="2095"/>
        <item m="1" x="2096"/>
        <item m="1" x="2097"/>
        <item m="1" x="2098"/>
        <item m="1" x="1849"/>
        <item m="1" x="103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3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4"/>
        <item x="60"/>
        <item x="61"/>
        <item x="62"/>
        <item x="63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5"/>
        <item x="106"/>
        <item x="107"/>
        <item x="108"/>
        <item x="109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3"/>
        <item x="164"/>
        <item x="165"/>
        <item x="166"/>
        <item x="167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162"/>
        <item x="168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397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533"/>
        <item x="573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679"/>
        <item x="730"/>
        <item x="731"/>
        <item x="32"/>
        <item x="34"/>
        <item x="85"/>
        <item x="104"/>
        <item x="110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136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38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883">
        <item x="110"/>
        <item m="1" x="648"/>
        <item m="1" x="810"/>
        <item x="376"/>
        <item x="270"/>
        <item m="1" x="878"/>
        <item m="1" x="877"/>
        <item m="1" x="785"/>
        <item x="193"/>
        <item x="192"/>
        <item x="226"/>
        <item m="1" x="644"/>
        <item x="431"/>
        <item x="364"/>
        <item m="1" x="821"/>
        <item m="1" x="804"/>
        <item m="1" x="703"/>
        <item x="206"/>
        <item m="1" x="588"/>
        <item x="530"/>
        <item m="1" x="767"/>
        <item x="533"/>
        <item m="1" x="555"/>
        <item x="483"/>
        <item x="532"/>
        <item m="1" x="562"/>
        <item m="1" x="672"/>
        <item m="1" x="693"/>
        <item m="1" x="853"/>
        <item m="1" x="664"/>
        <item m="1" x="797"/>
        <item m="1" x="711"/>
        <item m="1" x="592"/>
        <item x="435"/>
        <item m="1" x="689"/>
        <item m="1" x="584"/>
        <item x="234"/>
        <item x="367"/>
        <item x="426"/>
        <item m="1" x="848"/>
        <item m="1" x="795"/>
        <item m="1" x="638"/>
        <item m="1" x="640"/>
        <item m="1" x="771"/>
        <item m="1" x="857"/>
        <item x="369"/>
        <item m="1" x="762"/>
        <item x="18"/>
        <item m="1" x="646"/>
        <item m="1" x="759"/>
        <item m="1" x="867"/>
        <item m="1" x="578"/>
        <item m="1" x="571"/>
        <item x="146"/>
        <item m="1" x="681"/>
        <item m="1" x="860"/>
        <item x="405"/>
        <item m="1" x="861"/>
        <item m="1" x="569"/>
        <item m="1" x="697"/>
        <item x="393"/>
        <item m="1" x="601"/>
        <item x="231"/>
        <item m="1" x="772"/>
        <item m="1" x="706"/>
        <item m="1" x="796"/>
        <item x="248"/>
        <item m="1" x="685"/>
        <item m="1" x="749"/>
        <item m="1" x="738"/>
        <item m="1" x="718"/>
        <item x="540"/>
        <item x="70"/>
        <item x="47"/>
        <item m="1" x="793"/>
        <item x="336"/>
        <item m="1" x="850"/>
        <item m="1" x="843"/>
        <item x="252"/>
        <item m="1" x="586"/>
        <item x="537"/>
        <item x="58"/>
        <item x="513"/>
        <item x="41"/>
        <item m="1" x="835"/>
        <item m="1" x="717"/>
        <item x="187"/>
        <item x="24"/>
        <item x="66"/>
        <item m="1" x="600"/>
        <item m="1" x="829"/>
        <item m="1" x="815"/>
        <item m="1" x="643"/>
        <item x="258"/>
        <item x="205"/>
        <item x="277"/>
        <item x="208"/>
        <item m="1" x="677"/>
        <item m="1" x="559"/>
        <item m="1" x="577"/>
        <item m="1" x="692"/>
        <item m="1" x="637"/>
        <item x="495"/>
        <item m="1" x="582"/>
        <item m="1" x="837"/>
        <item m="1" x="650"/>
        <item m="1" x="783"/>
        <item m="1" x="833"/>
        <item m="1" x="610"/>
        <item x="14"/>
        <item x="160"/>
        <item m="1" x="823"/>
        <item x="300"/>
        <item x="464"/>
        <item x="88"/>
        <item m="1" x="854"/>
        <item m="1" x="570"/>
        <item x="6"/>
        <item x="102"/>
        <item x="419"/>
        <item m="1" x="740"/>
        <item m="1" x="830"/>
        <item x="373"/>
        <item x="220"/>
        <item x="374"/>
        <item m="1" x="589"/>
        <item x="291"/>
        <item m="1" x="756"/>
        <item m="1" x="673"/>
        <item x="229"/>
        <item x="390"/>
        <item x="375"/>
        <item x="131"/>
        <item m="1" x="789"/>
        <item x="36"/>
        <item m="1" x="652"/>
        <item x="8"/>
        <item m="1" x="715"/>
        <item m="1" x="659"/>
        <item m="1" x="858"/>
        <item m="1" x="671"/>
        <item m="1" x="831"/>
        <item x="219"/>
        <item m="1" x="832"/>
        <item m="1" x="825"/>
        <item x="433"/>
        <item m="1" x="708"/>
        <item m="1" x="765"/>
        <item m="1" x="666"/>
        <item m="1" x="801"/>
        <item m="1" x="782"/>
        <item m="1" x="847"/>
        <item m="1" x="845"/>
        <item m="1" x="773"/>
        <item x="297"/>
        <item m="1" x="725"/>
        <item m="1" x="859"/>
        <item x="429"/>
        <item m="1" x="726"/>
        <item m="1" x="607"/>
        <item m="1" x="561"/>
        <item m="1" x="800"/>
        <item x="180"/>
        <item x="356"/>
        <item x="366"/>
        <item x="456"/>
        <item x="176"/>
        <item x="182"/>
        <item m="1" x="720"/>
        <item x="254"/>
        <item x="421"/>
        <item m="1" x="842"/>
        <item x="54"/>
        <item x="406"/>
        <item m="1" x="747"/>
        <item x="325"/>
        <item x="313"/>
        <item x="138"/>
        <item m="1" x="663"/>
        <item m="1" x="777"/>
        <item m="1" x="606"/>
        <item m="1" x="572"/>
        <item x="460"/>
        <item x="197"/>
        <item x="221"/>
        <item m="1" x="683"/>
        <item x="22"/>
        <item m="1" x="784"/>
        <item m="1" x="727"/>
        <item m="1" x="594"/>
        <item m="1" x="667"/>
        <item x="53"/>
        <item m="1" x="788"/>
        <item m="1" x="812"/>
        <item m="1" x="729"/>
        <item x="2"/>
        <item x="82"/>
        <item x="224"/>
        <item x="159"/>
        <item m="1" x="563"/>
        <item m="1" x="564"/>
        <item x="260"/>
        <item m="1" x="612"/>
        <item m="1" x="690"/>
        <item m="1" x="719"/>
        <item x="59"/>
        <item m="1" x="614"/>
        <item x="454"/>
        <item m="1" x="879"/>
        <item m="1" x="739"/>
        <item x="185"/>
        <item m="1" x="779"/>
        <item x="34"/>
        <item m="1" x="744"/>
        <item m="1" x="716"/>
        <item x="371"/>
        <item m="1" x="694"/>
        <item m="1" x="712"/>
        <item x="4"/>
        <item x="3"/>
        <item m="1" x="866"/>
        <item m="1" x="802"/>
        <item m="1" x="682"/>
        <item m="1" x="573"/>
        <item m="1" x="709"/>
        <item m="1" x="865"/>
        <item m="1" x="733"/>
        <item m="1" x="633"/>
        <item m="1" x="846"/>
        <item m="1" x="626"/>
        <item x="362"/>
        <item x="447"/>
        <item m="1" x="629"/>
        <item x="153"/>
        <item m="1" x="631"/>
        <item x="64"/>
        <item x="310"/>
        <item x="157"/>
        <item m="1" x="809"/>
        <item x="189"/>
        <item m="1" x="700"/>
        <item x="288"/>
        <item x="261"/>
        <item x="202"/>
        <item x="497"/>
        <item m="1" x="863"/>
        <item m="1" x="707"/>
        <item m="1" x="660"/>
        <item x="178"/>
        <item x="380"/>
        <item x="81"/>
        <item m="1" x="748"/>
        <item x="107"/>
        <item x="162"/>
        <item x="275"/>
        <item m="1" x="695"/>
        <item m="1" x="732"/>
        <item m="1" x="684"/>
        <item m="1" x="653"/>
        <item m="1" x="862"/>
        <item m="1" x="696"/>
        <item x="307"/>
        <item x="218"/>
        <item m="1" x="735"/>
        <item m="1" x="844"/>
        <item x="510"/>
        <item m="1" x="776"/>
        <item x="174"/>
        <item m="1" x="668"/>
        <item m="1" x="849"/>
        <item x="50"/>
        <item x="337"/>
        <item x="196"/>
        <item m="1" x="870"/>
        <item m="1" x="761"/>
        <item m="1" x="619"/>
        <item m="1" x="645"/>
        <item x="347"/>
        <item m="1" x="591"/>
        <item x="457"/>
        <item x="90"/>
        <item x="477"/>
        <item x="327"/>
        <item x="283"/>
        <item m="1" x="611"/>
        <item x="293"/>
        <item x="127"/>
        <item m="1" x="628"/>
        <item x="32"/>
        <item m="1" x="824"/>
        <item m="1" x="551"/>
        <item m="1" x="603"/>
        <item m="1" x="565"/>
        <item m="1" x="787"/>
        <item x="212"/>
        <item m="1" x="790"/>
        <item m="1" x="593"/>
        <item m="1" x="574"/>
        <item m="1" x="636"/>
        <item x="141"/>
        <item x="77"/>
        <item x="114"/>
        <item x="184"/>
        <item x="285"/>
        <item x="444"/>
        <item m="1" x="868"/>
        <item m="1" x="826"/>
        <item m="1" x="751"/>
        <item m="1" x="792"/>
        <item x="225"/>
        <item x="334"/>
        <item x="203"/>
        <item x="379"/>
        <item x="125"/>
        <item x="155"/>
        <item x="145"/>
        <item m="1" x="662"/>
        <item x="417"/>
        <item x="490"/>
        <item m="1" x="599"/>
        <item m="1" x="757"/>
        <item x="85"/>
        <item m="1" x="641"/>
        <item m="1" x="734"/>
        <item m="1" x="803"/>
        <item m="1" x="752"/>
        <item x="480"/>
        <item m="1" x="632"/>
        <item m="1" x="828"/>
        <item x="99"/>
        <item x="129"/>
        <item m="1" x="621"/>
        <item m="1" x="872"/>
        <item x="243"/>
        <item m="1" x="702"/>
        <item m="1" x="807"/>
        <item x="428"/>
        <item x="105"/>
        <item m="1" x="808"/>
        <item m="1" x="799"/>
        <item x="194"/>
        <item m="1" x="657"/>
        <item x="207"/>
        <item x="100"/>
        <item m="1" x="605"/>
        <item m="1" x="661"/>
        <item x="395"/>
        <item m="1" x="595"/>
        <item x="449"/>
        <item m="1" x="873"/>
        <item m="1" x="745"/>
        <item x="289"/>
        <item x="20"/>
        <item x="500"/>
        <item m="1" x="622"/>
        <item m="1" x="875"/>
        <item x="242"/>
        <item x="5"/>
        <item m="1" x="838"/>
        <item m="1" x="713"/>
        <item x="65"/>
        <item x="62"/>
        <item m="1" x="618"/>
        <item x="91"/>
        <item x="274"/>
        <item x="488"/>
        <item x="74"/>
        <item m="1" x="608"/>
        <item m="1" x="814"/>
        <item m="1" x="624"/>
        <item m="1" x="674"/>
        <item x="308"/>
        <item m="1" x="581"/>
        <item x="247"/>
        <item m="1" x="794"/>
        <item m="1" x="817"/>
        <item m="1" x="557"/>
        <item x="476"/>
        <item x="204"/>
        <item m="1" x="597"/>
        <item m="1" x="791"/>
        <item m="1" x="880"/>
        <item m="1" x="728"/>
        <item m="1" x="820"/>
        <item m="1" x="701"/>
        <item m="1" x="670"/>
        <item m="1" x="699"/>
        <item x="148"/>
        <item x="443"/>
        <item m="1" x="764"/>
        <item m="1" x="836"/>
        <item x="394"/>
        <item m="1" x="553"/>
        <item m="1" x="710"/>
        <item x="209"/>
        <item x="126"/>
        <item m="1" x="763"/>
        <item m="1" x="665"/>
        <item m="1" x="769"/>
        <item m="1" x="580"/>
        <item m="1" x="642"/>
        <item m="1" x="737"/>
        <item m="1" x="698"/>
        <item m="1" x="743"/>
        <item m="1" x="768"/>
        <item x="515"/>
        <item x="368"/>
        <item m="1" x="560"/>
        <item m="1" x="656"/>
        <item x="268"/>
        <item x="535"/>
        <item x="276"/>
        <item x="430"/>
        <item m="1" x="596"/>
        <item x="75"/>
        <item m="1" x="617"/>
        <item m="1" x="675"/>
        <item m="1" x="651"/>
        <item m="1" x="876"/>
        <item x="30"/>
        <item x="123"/>
        <item m="1" x="691"/>
        <item m="1" x="598"/>
        <item x="413"/>
        <item x="211"/>
        <item x="410"/>
        <item m="1" x="731"/>
        <item m="1" x="840"/>
        <item m="1" x="649"/>
        <item x="266"/>
        <item m="1" x="746"/>
        <item m="1" x="813"/>
        <item x="474"/>
        <item x="78"/>
        <item m="1" x="871"/>
        <item x="119"/>
        <item m="1" x="680"/>
        <item m="1" x="881"/>
        <item m="1" x="686"/>
        <item m="1" x="705"/>
        <item x="168"/>
        <item m="1" x="754"/>
        <item x="271"/>
        <item m="1" x="806"/>
        <item x="365"/>
        <item m="1" x="855"/>
        <item m="1" x="639"/>
        <item x="519"/>
        <item x="411"/>
        <item x="412"/>
        <item x="101"/>
        <item m="1" x="687"/>
        <item m="1" x="834"/>
        <item x="122"/>
        <item m="1" x="576"/>
        <item x="124"/>
        <item m="1" x="647"/>
        <item m="1" x="654"/>
        <item m="1" x="613"/>
        <item x="16"/>
        <item x="521"/>
        <item x="210"/>
        <item x="304"/>
        <item x="55"/>
        <item m="1" x="579"/>
        <item m="1" x="760"/>
        <item m="1" x="822"/>
        <item m="1" x="864"/>
        <item m="1" x="721"/>
        <item m="1" x="869"/>
        <item x="251"/>
        <item m="1" x="627"/>
        <item m="1" x="750"/>
        <item x="542"/>
        <item m="1" x="634"/>
        <item x="63"/>
        <item m="1" x="805"/>
        <item m="1" x="841"/>
        <item m="1" x="770"/>
        <item x="525"/>
        <item m="1" x="827"/>
        <item m="1" x="688"/>
        <item x="237"/>
        <item m="1" x="658"/>
        <item x="451"/>
        <item x="321"/>
        <item x="92"/>
        <item x="136"/>
        <item m="1" x="704"/>
        <item m="1" x="874"/>
        <item m="1" x="552"/>
        <item m="1" x="741"/>
        <item m="1" x="730"/>
        <item m="1" x="818"/>
        <item m="1" x="819"/>
        <item m="1" x="556"/>
        <item m="1" x="851"/>
        <item x="45"/>
        <item m="1" x="811"/>
        <item m="1" x="753"/>
        <item m="1" x="714"/>
        <item x="479"/>
        <item m="1" x="758"/>
        <item m="1" x="585"/>
        <item x="272"/>
        <item x="98"/>
        <item x="262"/>
        <item x="95"/>
        <item x="172"/>
        <item x="459"/>
        <item m="1" x="609"/>
        <item m="1" x="554"/>
        <item x="108"/>
        <item x="42"/>
        <item m="1" x="766"/>
        <item m="1" x="798"/>
        <item m="1" x="774"/>
        <item x="324"/>
        <item m="1" x="816"/>
        <item x="469"/>
        <item x="83"/>
        <item m="1" x="676"/>
        <item m="1" x="755"/>
        <item m="1" x="781"/>
        <item x="23"/>
        <item m="1" x="567"/>
        <item x="56"/>
        <item x="188"/>
        <item m="1" x="587"/>
        <item m="1" x="839"/>
        <item m="1" x="852"/>
        <item x="349"/>
        <item m="1" x="615"/>
        <item x="67"/>
        <item m="1" x="856"/>
        <item m="1" x="742"/>
        <item m="1" x="604"/>
        <item m="1" x="568"/>
        <item x="408"/>
        <item m="1" x="625"/>
        <item x="439"/>
        <item m="1" x="669"/>
        <item m="1" x="635"/>
        <item m="1" x="775"/>
        <item m="1" x="778"/>
        <item m="1" x="786"/>
        <item x="89"/>
        <item m="1" x="620"/>
        <item x="350"/>
        <item m="1" x="590"/>
        <item m="1" x="655"/>
        <item m="1" x="679"/>
        <item x="199"/>
        <item m="1" x="736"/>
        <item m="1" x="630"/>
        <item x="531"/>
        <item m="1" x="723"/>
        <item x="472"/>
        <item x="230"/>
        <item m="1" x="558"/>
        <item x="79"/>
        <item x="311"/>
        <item x="134"/>
        <item x="57"/>
        <item m="1" x="602"/>
        <item x="147"/>
        <item m="1" x="616"/>
        <item x="357"/>
        <item x="416"/>
        <item m="1" x="678"/>
        <item x="346"/>
        <item m="1" x="780"/>
        <item x="256"/>
        <item x="361"/>
        <item m="1" x="583"/>
        <item x="215"/>
        <item m="1" x="566"/>
        <item m="1" x="623"/>
        <item x="179"/>
        <item m="1" x="724"/>
        <item m="1" x="575"/>
        <item m="1" x="722"/>
        <item x="52"/>
        <item x="0"/>
        <item x="1"/>
        <item x="7"/>
        <item x="9"/>
        <item x="10"/>
        <item x="11"/>
        <item x="12"/>
        <item x="13"/>
        <item x="15"/>
        <item x="17"/>
        <item x="19"/>
        <item x="21"/>
        <item x="25"/>
        <item x="26"/>
        <item x="27"/>
        <item x="28"/>
        <item x="29"/>
        <item x="31"/>
        <item x="33"/>
        <item x="35"/>
        <item x="37"/>
        <item m="1" x="545"/>
        <item x="38"/>
        <item x="39"/>
        <item x="40"/>
        <item x="43"/>
        <item x="44"/>
        <item x="46"/>
        <item x="48"/>
        <item x="49"/>
        <item x="51"/>
        <item x="60"/>
        <item x="61"/>
        <item x="68"/>
        <item x="69"/>
        <item x="71"/>
        <item x="72"/>
        <item x="73"/>
        <item x="76"/>
        <item x="80"/>
        <item x="84"/>
        <item x="86"/>
        <item x="87"/>
        <item x="93"/>
        <item x="94"/>
        <item x="96"/>
        <item x="97"/>
        <item x="103"/>
        <item x="104"/>
        <item x="106"/>
        <item x="109"/>
        <item x="111"/>
        <item x="112"/>
        <item x="113"/>
        <item x="115"/>
        <item x="116"/>
        <item x="117"/>
        <item x="118"/>
        <item x="120"/>
        <item x="121"/>
        <item x="128"/>
        <item x="130"/>
        <item x="132"/>
        <item x="133"/>
        <item x="135"/>
        <item x="137"/>
        <item x="139"/>
        <item x="140"/>
        <item x="142"/>
        <item x="143"/>
        <item x="144"/>
        <item x="149"/>
        <item x="150"/>
        <item x="151"/>
        <item x="152"/>
        <item x="154"/>
        <item x="156"/>
        <item x="158"/>
        <item x="161"/>
        <item x="163"/>
        <item x="164"/>
        <item x="165"/>
        <item x="166"/>
        <item x="167"/>
        <item x="169"/>
        <item x="170"/>
        <item x="171"/>
        <item x="173"/>
        <item x="175"/>
        <item x="177"/>
        <item x="181"/>
        <item x="183"/>
        <item x="186"/>
        <item x="190"/>
        <item x="191"/>
        <item x="195"/>
        <item x="198"/>
        <item x="200"/>
        <item x="201"/>
        <item x="213"/>
        <item x="214"/>
        <item x="216"/>
        <item x="217"/>
        <item x="222"/>
        <item x="223"/>
        <item x="227"/>
        <item x="228"/>
        <item x="232"/>
        <item x="233"/>
        <item x="235"/>
        <item x="236"/>
        <item x="238"/>
        <item x="239"/>
        <item x="240"/>
        <item x="241"/>
        <item x="244"/>
        <item x="245"/>
        <item x="246"/>
        <item x="249"/>
        <item x="250"/>
        <item x="253"/>
        <item x="255"/>
        <item x="257"/>
        <item x="259"/>
        <item x="263"/>
        <item x="264"/>
        <item x="265"/>
        <item x="267"/>
        <item x="269"/>
        <item x="273"/>
        <item x="278"/>
        <item x="279"/>
        <item x="280"/>
        <item x="281"/>
        <item x="282"/>
        <item x="284"/>
        <item x="286"/>
        <item x="287"/>
        <item x="290"/>
        <item x="292"/>
        <item x="294"/>
        <item x="295"/>
        <item x="296"/>
        <item x="298"/>
        <item x="299"/>
        <item x="301"/>
        <item x="302"/>
        <item x="303"/>
        <item x="305"/>
        <item x="306"/>
        <item x="309"/>
        <item x="312"/>
        <item x="314"/>
        <item x="315"/>
        <item x="316"/>
        <item x="317"/>
        <item x="318"/>
        <item x="319"/>
        <item x="320"/>
        <item x="322"/>
        <item x="323"/>
        <item x="326"/>
        <item x="328"/>
        <item x="329"/>
        <item x="330"/>
        <item x="331"/>
        <item x="332"/>
        <item x="333"/>
        <item x="335"/>
        <item x="338"/>
        <item x="339"/>
        <item x="340"/>
        <item x="341"/>
        <item x="342"/>
        <item x="343"/>
        <item x="344"/>
        <item x="345"/>
        <item x="348"/>
        <item x="351"/>
        <item x="352"/>
        <item x="353"/>
        <item x="354"/>
        <item x="355"/>
        <item x="358"/>
        <item x="359"/>
        <item x="360"/>
        <item x="363"/>
        <item x="370"/>
        <item x="372"/>
        <item x="377"/>
        <item x="378"/>
        <item x="381"/>
        <item x="382"/>
        <item x="383"/>
        <item x="384"/>
        <item x="385"/>
        <item x="386"/>
        <item x="387"/>
        <item x="388"/>
        <item x="389"/>
        <item x="391"/>
        <item x="392"/>
        <item x="396"/>
        <item x="397"/>
        <item x="398"/>
        <item x="399"/>
        <item x="400"/>
        <item x="401"/>
        <item x="402"/>
        <item x="403"/>
        <item x="404"/>
        <item x="407"/>
        <item x="409"/>
        <item x="414"/>
        <item x="415"/>
        <item x="418"/>
        <item x="420"/>
        <item x="422"/>
        <item x="423"/>
        <item x="424"/>
        <item x="425"/>
        <item x="427"/>
        <item x="432"/>
        <item x="434"/>
        <item x="436"/>
        <item x="437"/>
        <item x="438"/>
        <item x="440"/>
        <item x="441"/>
        <item x="442"/>
        <item x="445"/>
        <item x="446"/>
        <item x="448"/>
        <item x="450"/>
        <item x="452"/>
        <item x="453"/>
        <item x="455"/>
        <item x="458"/>
        <item x="461"/>
        <item x="462"/>
        <item x="463"/>
        <item x="465"/>
        <item x="466"/>
        <item x="467"/>
        <item x="468"/>
        <item x="470"/>
        <item x="471"/>
        <item x="473"/>
        <item x="475"/>
        <item x="478"/>
        <item x="481"/>
        <item x="482"/>
        <item x="484"/>
        <item x="485"/>
        <item x="486"/>
        <item x="487"/>
        <item x="489"/>
        <item x="491"/>
        <item x="492"/>
        <item x="493"/>
        <item x="494"/>
        <item x="496"/>
        <item x="498"/>
        <item x="499"/>
        <item x="501"/>
        <item x="502"/>
        <item x="503"/>
        <item x="504"/>
        <item x="505"/>
        <item x="506"/>
        <item x="507"/>
        <item x="508"/>
        <item x="509"/>
        <item x="511"/>
        <item x="512"/>
        <item x="514"/>
        <item x="516"/>
        <item x="517"/>
        <item x="518"/>
        <item m="1" x="546"/>
        <item m="1" x="547"/>
        <item m="1" x="548"/>
        <item m="1" x="549"/>
        <item m="1" x="550"/>
        <item x="520"/>
        <item x="522"/>
        <item x="523"/>
        <item x="524"/>
        <item x="526"/>
        <item x="527"/>
        <item x="528"/>
        <item x="529"/>
        <item x="534"/>
        <item x="536"/>
        <item x="538"/>
        <item x="539"/>
        <item x="541"/>
        <item x="543"/>
        <item x="544"/>
        <item t="default"/>
      </items>
    </pivotField>
    <pivotField compact="0" outline="0" showAll="0"/>
    <pivotField compact="0" numFmtId="164" outline="0" showAll="0"/>
    <pivotField compact="0" numFmtId="164" outline="0" showAll="0"/>
    <pivotField dataField="1"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axis="axisPage" dataField="1" compact="0" outline="0" multipleItemSelectionAllowed="1" showAll="0">
      <items count="4">
        <item m="1" x="2"/>
        <item x="1"/>
        <item h="1"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2">
    <field x="10"/>
    <field x="2"/>
  </rowFields>
  <rowItems count="272">
    <i>
      <x v="8"/>
      <x v="1367"/>
    </i>
    <i t="default">
      <x v="8"/>
    </i>
    <i>
      <x v="13"/>
      <x v="1684"/>
    </i>
    <i t="default">
      <x v="13"/>
    </i>
    <i>
      <x v="36"/>
      <x v="1430"/>
    </i>
    <i t="default">
      <x v="36"/>
    </i>
    <i>
      <x v="37"/>
      <x v="1766"/>
    </i>
    <i t="default">
      <x v="37"/>
    </i>
    <i>
      <x v="47"/>
      <x v="1837"/>
    </i>
    <i r="1">
      <x v="1857"/>
    </i>
    <i t="default">
      <x v="47"/>
    </i>
    <i>
      <x v="62"/>
      <x v="1424"/>
    </i>
    <i r="1">
      <x v="1711"/>
    </i>
    <i r="1">
      <x v="1712"/>
    </i>
    <i r="1">
      <x v="1952"/>
    </i>
    <i r="1">
      <x v="1953"/>
    </i>
    <i t="default">
      <x v="62"/>
    </i>
    <i>
      <x v="73"/>
      <x v="1135"/>
    </i>
    <i r="1">
      <x v="1136"/>
    </i>
    <i t="default">
      <x v="73"/>
    </i>
    <i>
      <x v="78"/>
      <x v="1467"/>
    </i>
    <i t="default">
      <x v="78"/>
    </i>
    <i>
      <x v="86"/>
      <x v="1887"/>
    </i>
    <i r="1">
      <x v="1888"/>
    </i>
    <i r="1">
      <x v="2011"/>
    </i>
    <i r="1">
      <x v="2018"/>
    </i>
    <i t="default">
      <x v="86"/>
    </i>
    <i>
      <x v="87"/>
      <x v="1464"/>
    </i>
    <i t="default">
      <x v="87"/>
    </i>
    <i>
      <x v="96"/>
      <x v="1389"/>
    </i>
    <i t="default">
      <x v="96"/>
    </i>
    <i>
      <x v="109"/>
      <x v="1088"/>
    </i>
    <i r="1">
      <x v="1089"/>
    </i>
    <i r="1">
      <x v="1186"/>
    </i>
    <i r="1">
      <x v="1227"/>
    </i>
    <i r="1">
      <x v="1233"/>
    </i>
    <i r="1">
      <x v="1234"/>
    </i>
    <i r="1">
      <x v="1235"/>
    </i>
    <i r="1">
      <x v="1433"/>
    </i>
    <i r="1">
      <x v="1434"/>
    </i>
    <i r="1">
      <x v="1866"/>
    </i>
    <i t="default">
      <x v="109"/>
    </i>
    <i>
      <x v="117"/>
      <x v="1074"/>
    </i>
    <i r="1">
      <x v="1075"/>
    </i>
    <i r="1">
      <x v="1076"/>
    </i>
    <i r="1">
      <x v="1077"/>
    </i>
    <i r="1">
      <x v="1078"/>
    </i>
    <i r="1">
      <x v="1079"/>
    </i>
    <i r="1">
      <x v="1080"/>
    </i>
    <i r="1">
      <x v="1187"/>
    </i>
    <i r="1">
      <x v="1228"/>
    </i>
    <i r="1">
      <x v="1229"/>
    </i>
    <i r="1">
      <x v="1331"/>
    </i>
    <i r="1">
      <x v="1332"/>
    </i>
    <i r="1">
      <x v="1333"/>
    </i>
    <i r="1">
      <x v="1334"/>
    </i>
    <i r="1">
      <x v="1431"/>
    </i>
    <i r="1">
      <x v="1662"/>
    </i>
    <i r="1">
      <x v="1664"/>
    </i>
    <i r="1">
      <x v="1999"/>
    </i>
    <i r="1">
      <x v="2000"/>
    </i>
    <i t="default">
      <x v="117"/>
    </i>
    <i>
      <x v="118"/>
      <x v="1205"/>
    </i>
    <i t="default">
      <x v="118"/>
    </i>
    <i>
      <x v="123"/>
      <x v="1405"/>
    </i>
    <i t="default">
      <x v="123"/>
    </i>
    <i>
      <x v="124"/>
      <x v="1698"/>
    </i>
    <i r="1">
      <x v="1960"/>
    </i>
    <i t="default">
      <x v="124"/>
    </i>
    <i>
      <x v="130"/>
      <x v="1727"/>
    </i>
    <i t="default">
      <x v="130"/>
    </i>
    <i>
      <x v="136"/>
      <x v="1327"/>
    </i>
    <i r="1">
      <x v="1328"/>
    </i>
    <i r="1">
      <x v="1329"/>
    </i>
    <i r="1">
      <x v="1330"/>
    </i>
    <i r="1">
      <x v="1432"/>
    </i>
    <i r="1">
      <x v="1435"/>
    </i>
    <i r="1">
      <x v="1868"/>
    </i>
    <i r="1">
      <x v="1869"/>
    </i>
    <i t="default">
      <x v="136"/>
    </i>
    <i>
      <x v="157"/>
      <x v="1811"/>
    </i>
    <i t="default">
      <x v="157"/>
    </i>
    <i>
      <x v="182"/>
      <x v="1911"/>
    </i>
    <i t="default">
      <x v="182"/>
    </i>
    <i>
      <x v="196"/>
      <x v="1584"/>
    </i>
    <i r="1">
      <x v="1734"/>
    </i>
    <i t="default">
      <x v="196"/>
    </i>
    <i>
      <x v="210"/>
      <x v="1353"/>
    </i>
    <i t="default">
      <x v="210"/>
    </i>
    <i>
      <x v="218"/>
      <x v="1069"/>
    </i>
    <i r="1">
      <x v="1182"/>
    </i>
    <i r="1">
      <x v="1625"/>
    </i>
    <i t="default">
      <x v="218"/>
    </i>
    <i>
      <x v="239"/>
      <x v="1357"/>
    </i>
    <i t="default">
      <x v="239"/>
    </i>
    <i>
      <x v="248"/>
      <x v="1678"/>
    </i>
    <i t="default">
      <x v="248"/>
    </i>
    <i>
      <x v="250"/>
      <x v="1178"/>
    </i>
    <i r="1">
      <x v="1179"/>
    </i>
    <i r="1">
      <x v="1180"/>
    </i>
    <i t="default">
      <x v="250"/>
    </i>
    <i>
      <x v="254"/>
      <x v="1685"/>
    </i>
    <i t="default">
      <x v="254"/>
    </i>
    <i>
      <x v="277"/>
      <x v="1646"/>
    </i>
    <i t="default">
      <x v="277"/>
    </i>
    <i>
      <x v="281"/>
      <x v="1962"/>
    </i>
    <i t="default">
      <x v="281"/>
    </i>
    <i>
      <x v="302"/>
      <x v="1348"/>
    </i>
    <i r="1">
      <x v="1349"/>
    </i>
    <i r="1">
      <x v="1350"/>
    </i>
    <i r="1">
      <x v="1351"/>
    </i>
    <i r="1">
      <x v="1374"/>
    </i>
    <i r="1">
      <x v="1643"/>
    </i>
    <i t="default">
      <x v="302"/>
    </i>
    <i>
      <x v="313"/>
      <x v="1249"/>
    </i>
    <i t="default">
      <x v="313"/>
    </i>
    <i>
      <x v="314"/>
      <x v="1296"/>
    </i>
    <i r="1">
      <x v="1297"/>
    </i>
    <i r="1">
      <x v="1298"/>
    </i>
    <i r="1">
      <x v="1299"/>
    </i>
    <i t="default">
      <x v="314"/>
    </i>
    <i>
      <x v="342"/>
      <x v="1839"/>
    </i>
    <i t="default">
      <x v="342"/>
    </i>
    <i>
      <x v="352"/>
      <x v="1097"/>
    </i>
    <i r="1">
      <x v="1647"/>
    </i>
    <i r="1">
      <x v="1945"/>
    </i>
    <i t="default">
      <x v="352"/>
    </i>
    <i>
      <x v="360"/>
      <x v="1157"/>
    </i>
    <i r="1">
      <x v="1158"/>
    </i>
    <i r="1">
      <x v="1159"/>
    </i>
    <i r="1">
      <x v="1255"/>
    </i>
    <i r="1">
      <x v="1256"/>
    </i>
    <i r="1">
      <x v="1257"/>
    </i>
    <i r="1">
      <x v="1258"/>
    </i>
    <i t="default">
      <x v="360"/>
    </i>
    <i>
      <x v="366"/>
      <x v="1466"/>
    </i>
    <i r="1">
      <x v="1567"/>
    </i>
    <i r="1">
      <x v="1568"/>
    </i>
    <i r="1">
      <x v="1569"/>
    </i>
    <i r="1">
      <x v="1570"/>
    </i>
    <i r="1">
      <x v="1632"/>
    </i>
    <i r="1">
      <x v="1665"/>
    </i>
    <i t="default">
      <x v="366"/>
    </i>
    <i>
      <x v="371"/>
      <x v="1565"/>
    </i>
    <i r="1">
      <x v="1566"/>
    </i>
    <i t="default">
      <x v="371"/>
    </i>
    <i>
      <x v="373"/>
      <x v="1459"/>
    </i>
    <i t="default">
      <x v="373"/>
    </i>
    <i>
      <x v="423"/>
      <x v="1776"/>
    </i>
    <i r="1">
      <x v="1780"/>
    </i>
    <i r="1">
      <x v="1821"/>
    </i>
    <i r="1">
      <x v="1824"/>
    </i>
    <i r="1">
      <x v="1825"/>
    </i>
    <i t="default">
      <x v="423"/>
    </i>
    <i>
      <x v="429"/>
      <x v="1490"/>
    </i>
    <i t="default">
      <x v="429"/>
    </i>
    <i>
      <x v="432"/>
      <x v="1950"/>
    </i>
    <i t="default">
      <x v="432"/>
    </i>
    <i>
      <x v="487"/>
      <x v="1270"/>
    </i>
    <i t="default">
      <x v="487"/>
    </i>
    <i>
      <x v="497"/>
      <x v="1133"/>
    </i>
    <i t="default">
      <x v="497"/>
    </i>
    <i>
      <x v="533"/>
      <x v="1161"/>
    </i>
    <i r="1">
      <x v="1654"/>
    </i>
    <i t="default">
      <x v="533"/>
    </i>
    <i>
      <x v="560"/>
      <x v="1175"/>
    </i>
    <i r="1">
      <x v="1176"/>
    </i>
    <i t="default">
      <x v="560"/>
    </i>
    <i>
      <x v="585"/>
      <x v="1081"/>
    </i>
    <i r="1">
      <x v="1336"/>
    </i>
    <i t="default">
      <x v="585"/>
    </i>
    <i>
      <x v="586"/>
      <x v="1083"/>
    </i>
    <i t="default">
      <x v="586"/>
    </i>
    <i>
      <x v="590"/>
      <x v="2001"/>
    </i>
    <i t="default">
      <x v="590"/>
    </i>
    <i>
      <x v="591"/>
      <x v="1090"/>
    </i>
    <i r="1">
      <x v="1091"/>
    </i>
    <i t="default">
      <x v="591"/>
    </i>
    <i>
      <x v="597"/>
      <x v="1104"/>
    </i>
    <i t="default">
      <x v="597"/>
    </i>
    <i>
      <x v="598"/>
      <x v="1881"/>
    </i>
    <i r="1">
      <x v="1882"/>
    </i>
    <i r="1">
      <x v="1883"/>
    </i>
    <i r="1">
      <x v="1884"/>
    </i>
    <i r="1">
      <x v="1885"/>
    </i>
    <i t="default">
      <x v="598"/>
    </i>
    <i>
      <x v="600"/>
      <x v="1113"/>
    </i>
    <i r="1">
      <x v="1116"/>
    </i>
    <i r="1">
      <x v="1131"/>
    </i>
    <i r="1">
      <x v="1376"/>
    </i>
    <i t="default">
      <x v="600"/>
    </i>
    <i>
      <x v="603"/>
      <x v="1122"/>
    </i>
    <i r="1">
      <x v="1471"/>
    </i>
    <i t="default">
      <x v="603"/>
    </i>
    <i>
      <x v="621"/>
      <x v="1171"/>
    </i>
    <i t="default">
      <x v="621"/>
    </i>
    <i>
      <x v="639"/>
      <x v="1436"/>
    </i>
    <i r="1">
      <x v="1437"/>
    </i>
    <i r="1">
      <x v="2098"/>
    </i>
    <i t="default">
      <x v="639"/>
    </i>
    <i>
      <x v="641"/>
      <x v="1968"/>
    </i>
    <i t="default">
      <x v="641"/>
    </i>
    <i>
      <x v="644"/>
      <x v="1254"/>
    </i>
    <i r="1">
      <x v="1420"/>
    </i>
    <i r="1">
      <x v="1749"/>
    </i>
    <i t="default">
      <x v="644"/>
    </i>
    <i>
      <x v="649"/>
      <x v="1276"/>
    </i>
    <i t="default">
      <x v="649"/>
    </i>
    <i>
      <x v="658"/>
      <x v="1294"/>
    </i>
    <i r="1">
      <x v="1295"/>
    </i>
    <i r="1">
      <x v="1531"/>
    </i>
    <i r="1">
      <x v="1572"/>
    </i>
    <i r="1">
      <x v="1995"/>
    </i>
    <i t="default">
      <x v="658"/>
    </i>
    <i>
      <x v="659"/>
      <x v="1300"/>
    </i>
    <i t="default">
      <x v="659"/>
    </i>
    <i>
      <x v="670"/>
      <x v="1325"/>
    </i>
    <i t="default">
      <x v="670"/>
    </i>
    <i>
      <x v="671"/>
      <x v="1335"/>
    </i>
    <i t="default">
      <x v="671"/>
    </i>
    <i>
      <x v="674"/>
      <x v="1347"/>
    </i>
    <i t="default">
      <x v="674"/>
    </i>
    <i>
      <x v="675"/>
      <x v="1354"/>
    </i>
    <i t="default">
      <x v="675"/>
    </i>
    <i>
      <x v="676"/>
      <x v="1358"/>
    </i>
    <i t="default">
      <x v="676"/>
    </i>
    <i>
      <x v="678"/>
      <x v="1370"/>
    </i>
    <i r="1">
      <x v="1474"/>
    </i>
    <i t="default">
      <x v="678"/>
    </i>
    <i>
      <x v="688"/>
      <x v="1891"/>
    </i>
    <i r="1">
      <x v="1895"/>
    </i>
    <i t="default">
      <x v="688"/>
    </i>
    <i>
      <x v="690"/>
      <x v="1426"/>
    </i>
    <i t="default">
      <x v="690"/>
    </i>
    <i>
      <x v="693"/>
      <x v="1504"/>
    </i>
    <i t="default">
      <x v="693"/>
    </i>
    <i>
      <x v="698"/>
      <x v="1454"/>
    </i>
    <i t="default">
      <x v="698"/>
    </i>
    <i>
      <x v="704"/>
      <x v="1541"/>
    </i>
    <i r="1">
      <x v="2029"/>
    </i>
    <i t="default">
      <x v="704"/>
    </i>
    <i>
      <x v="743"/>
      <x v="1592"/>
    </i>
    <i r="1">
      <x v="1823"/>
    </i>
    <i t="default">
      <x v="743"/>
    </i>
    <i>
      <x v="748"/>
      <x v="1964"/>
    </i>
    <i t="default">
      <x v="748"/>
    </i>
    <i>
      <x v="756"/>
      <x v="1635"/>
    </i>
    <i t="default">
      <x v="756"/>
    </i>
    <i>
      <x v="765"/>
      <x v="1663"/>
    </i>
    <i t="default">
      <x v="765"/>
    </i>
    <i>
      <x v="772"/>
      <x v="1706"/>
    </i>
    <i t="default">
      <x v="772"/>
    </i>
    <i>
      <x v="788"/>
      <x v="1751"/>
    </i>
    <i t="default">
      <x v="788"/>
    </i>
    <i>
      <x v="799"/>
      <x v="1792"/>
    </i>
    <i t="default">
      <x v="799"/>
    </i>
    <i>
      <x v="809"/>
      <x v="1835"/>
    </i>
    <i t="default">
      <x v="809"/>
    </i>
    <i>
      <x v="816"/>
      <x v="1862"/>
    </i>
    <i t="default">
      <x v="816"/>
    </i>
    <i>
      <x v="817"/>
      <x v="1930"/>
    </i>
    <i r="1">
      <x v="1966"/>
    </i>
    <i r="1">
      <x v="1967"/>
    </i>
    <i r="1">
      <x v="1991"/>
    </i>
    <i t="default">
      <x v="817"/>
    </i>
    <i>
      <x v="857"/>
      <x v="2032"/>
    </i>
    <i t="default">
      <x v="857"/>
    </i>
    <i>
      <x v="867"/>
      <x v="2047"/>
    </i>
    <i t="default">
      <x v="867"/>
    </i>
    <i>
      <x v="870"/>
      <x v="2063"/>
    </i>
    <i t="default">
      <x v="870"/>
    </i>
    <i t="grand">
      <x/>
    </i>
  </rowItems>
  <colFields count="1">
    <field x="-2"/>
  </colFields>
  <colItems count="2">
    <i>
      <x/>
    </i>
    <i i="1">
      <x v="1"/>
    </i>
  </colItems>
  <pageFields count="1">
    <pageField fld="19" hier="-1"/>
  </pageFields>
  <dataFields count="2">
    <dataField name="Cuenta de 3 ACUSE" fld="19" subtotal="count" baseField="0" baseItem="0"/>
    <dataField name="Suma de Total" fld="14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D64B55-54EA-4A0A-A344-D4B653039490}" name="TablaDiná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1583" firstHeaderRow="0" firstDataRow="1" firstDataCol="1" rowPageCount="1" colPageCount="1"/>
  <pivotFields count="24">
    <pivotField showAll="0"/>
    <pivotField showAll="0"/>
    <pivotField axis="axisRow" showAll="0">
      <items count="2100"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5"/>
        <item m="1" x="1846"/>
        <item m="1" x="1847"/>
        <item m="1" x="1848"/>
        <item m="1" x="1850"/>
        <item m="1" x="1851"/>
        <item m="1" x="1852"/>
        <item m="1" x="1853"/>
        <item m="1" x="1854"/>
        <item m="1" x="1855"/>
        <item m="1" x="1856"/>
        <item m="1" x="1857"/>
        <item m="1" x="1858"/>
        <item m="1" x="1859"/>
        <item m="1" x="1860"/>
        <item m="1" x="1861"/>
        <item m="1" x="1862"/>
        <item m="1" x="1863"/>
        <item m="1" x="1864"/>
        <item m="1" x="1865"/>
        <item m="1" x="1866"/>
        <item m="1" x="1867"/>
        <item m="1" x="1868"/>
        <item m="1" x="1869"/>
        <item m="1" x="1870"/>
        <item m="1" x="1871"/>
        <item m="1" x="1872"/>
        <item m="1" x="1873"/>
        <item m="1" x="1874"/>
        <item m="1" x="1875"/>
        <item m="1" x="1876"/>
        <item m="1" x="1877"/>
        <item m="1" x="1878"/>
        <item m="1" x="1879"/>
        <item m="1" x="1880"/>
        <item m="1" x="1881"/>
        <item m="1" x="1882"/>
        <item m="1" x="1883"/>
        <item m="1" x="1884"/>
        <item m="1" x="1885"/>
        <item m="1" x="1886"/>
        <item m="1" x="1887"/>
        <item m="1" x="1888"/>
        <item m="1" x="1889"/>
        <item m="1" x="1890"/>
        <item m="1" x="1891"/>
        <item m="1" x="1892"/>
        <item m="1" x="1893"/>
        <item m="1" x="1894"/>
        <item m="1" x="1895"/>
        <item m="1" x="1896"/>
        <item m="1" x="1897"/>
        <item m="1" x="1898"/>
        <item m="1" x="1899"/>
        <item m="1" x="1900"/>
        <item m="1" x="1901"/>
        <item m="1" x="1902"/>
        <item m="1" x="1903"/>
        <item m="1" x="1904"/>
        <item m="1" x="1905"/>
        <item m="1" x="1906"/>
        <item m="1" x="1907"/>
        <item m="1" x="1908"/>
        <item m="1" x="1909"/>
        <item m="1" x="1910"/>
        <item m="1" x="1911"/>
        <item m="1" x="1912"/>
        <item m="1" x="1913"/>
        <item m="1" x="1914"/>
        <item m="1" x="1915"/>
        <item m="1" x="1916"/>
        <item m="1" x="1917"/>
        <item m="1" x="1918"/>
        <item m="1" x="1919"/>
        <item m="1" x="1920"/>
        <item m="1" x="1921"/>
        <item m="1" x="1922"/>
        <item m="1" x="1923"/>
        <item m="1" x="1924"/>
        <item m="1" x="1925"/>
        <item m="1" x="1926"/>
        <item m="1" x="1927"/>
        <item m="1" x="1928"/>
        <item m="1" x="1929"/>
        <item m="1" x="1930"/>
        <item m="1" x="1931"/>
        <item m="1" x="1932"/>
        <item m="1" x="1933"/>
        <item m="1" x="1934"/>
        <item m="1" x="1935"/>
        <item m="1" x="1936"/>
        <item m="1" x="1937"/>
        <item m="1" x="1938"/>
        <item m="1" x="1939"/>
        <item m="1" x="1940"/>
        <item m="1" x="1941"/>
        <item m="1" x="1942"/>
        <item m="1" x="1943"/>
        <item m="1" x="1944"/>
        <item m="1" x="1945"/>
        <item m="1" x="1946"/>
        <item m="1" x="194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1958"/>
        <item m="1" x="1959"/>
        <item m="1" x="1960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75"/>
        <item m="1" x="1976"/>
        <item m="1" x="1977"/>
        <item m="1" x="1978"/>
        <item m="1" x="1979"/>
        <item m="1" x="1980"/>
        <item m="1" x="1981"/>
        <item m="1" x="1982"/>
        <item m="1" x="1983"/>
        <item m="1" x="1984"/>
        <item m="1" x="1985"/>
        <item m="1" x="1986"/>
        <item m="1" x="1987"/>
        <item m="1" x="1988"/>
        <item m="1" x="1989"/>
        <item m="1" x="1990"/>
        <item m="1" x="1991"/>
        <item m="1" x="1992"/>
        <item m="1" x="1993"/>
        <item m="1" x="1994"/>
        <item m="1" x="1995"/>
        <item m="1" x="1996"/>
        <item m="1" x="1997"/>
        <item m="1" x="1998"/>
        <item m="1" x="1999"/>
        <item m="1" x="2000"/>
        <item m="1" x="2001"/>
        <item m="1" x="2002"/>
        <item m="1" x="2003"/>
        <item m="1" x="2004"/>
        <item m="1" x="2005"/>
        <item m="1" x="2006"/>
        <item m="1" x="2007"/>
        <item m="1" x="2008"/>
        <item m="1" x="2009"/>
        <item m="1" x="2010"/>
        <item m="1" x="2011"/>
        <item m="1" x="2012"/>
        <item m="1" x="2013"/>
        <item m="1" x="2014"/>
        <item m="1" x="2015"/>
        <item m="1" x="2016"/>
        <item m="1" x="2017"/>
        <item m="1" x="2018"/>
        <item m="1" x="2019"/>
        <item m="1" x="2020"/>
        <item m="1" x="2021"/>
        <item m="1" x="2022"/>
        <item m="1" x="2023"/>
        <item m="1" x="2024"/>
        <item m="1" x="2025"/>
        <item m="1" x="2026"/>
        <item m="1" x="2027"/>
        <item m="1" x="2028"/>
        <item m="1" x="2029"/>
        <item m="1" x="2030"/>
        <item m="1" x="2031"/>
        <item m="1" x="2032"/>
        <item m="1" x="2033"/>
        <item m="1" x="2034"/>
        <item m="1" x="2035"/>
        <item m="1" x="2036"/>
        <item m="1" x="2037"/>
        <item m="1" x="2038"/>
        <item m="1" x="2039"/>
        <item m="1" x="2040"/>
        <item m="1" x="2041"/>
        <item m="1" x="2042"/>
        <item m="1" x="2043"/>
        <item m="1" x="2044"/>
        <item m="1" x="2045"/>
        <item m="1" x="2046"/>
        <item m="1" x="2047"/>
        <item m="1" x="2048"/>
        <item m="1" x="2049"/>
        <item m="1" x="2050"/>
        <item m="1" x="2051"/>
        <item m="1" x="2052"/>
        <item m="1" x="2053"/>
        <item m="1" x="2054"/>
        <item m="1" x="2055"/>
        <item m="1" x="2056"/>
        <item m="1" x="2057"/>
        <item m="1" x="205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88"/>
        <item m="1" x="2089"/>
        <item m="1" x="2090"/>
        <item m="1" x="2091"/>
        <item m="1" x="2092"/>
        <item m="1" x="2093"/>
        <item m="1" x="2094"/>
        <item m="1" x="2095"/>
        <item m="1" x="2096"/>
        <item m="1" x="2097"/>
        <item m="1" x="2098"/>
        <item m="1" x="1849"/>
        <item m="1" x="103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3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4"/>
        <item x="60"/>
        <item x="61"/>
        <item x="62"/>
        <item x="63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5"/>
        <item x="106"/>
        <item x="107"/>
        <item x="108"/>
        <item x="109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3"/>
        <item x="164"/>
        <item x="165"/>
        <item x="166"/>
        <item x="167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162"/>
        <item x="168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397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533"/>
        <item x="573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679"/>
        <item x="730"/>
        <item x="731"/>
        <item x="32"/>
        <item x="34"/>
        <item x="85"/>
        <item x="104"/>
        <item x="110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136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38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883">
        <item x="110"/>
        <item m="1" x="648"/>
        <item m="1" x="810"/>
        <item x="376"/>
        <item x="270"/>
        <item m="1" x="878"/>
        <item m="1" x="877"/>
        <item m="1" x="785"/>
        <item x="193"/>
        <item x="192"/>
        <item x="226"/>
        <item m="1" x="644"/>
        <item x="431"/>
        <item x="364"/>
        <item m="1" x="821"/>
        <item m="1" x="804"/>
        <item m="1" x="703"/>
        <item x="206"/>
        <item m="1" x="588"/>
        <item x="530"/>
        <item m="1" x="767"/>
        <item x="533"/>
        <item m="1" x="555"/>
        <item x="483"/>
        <item x="532"/>
        <item m="1" x="562"/>
        <item m="1" x="672"/>
        <item m="1" x="693"/>
        <item m="1" x="853"/>
        <item m="1" x="664"/>
        <item m="1" x="797"/>
        <item m="1" x="711"/>
        <item m="1" x="592"/>
        <item x="435"/>
        <item m="1" x="689"/>
        <item m="1" x="584"/>
        <item x="234"/>
        <item x="367"/>
        <item x="426"/>
        <item m="1" x="848"/>
        <item m="1" x="795"/>
        <item m="1" x="638"/>
        <item m="1" x="640"/>
        <item m="1" x="771"/>
        <item m="1" x="857"/>
        <item x="369"/>
        <item m="1" x="762"/>
        <item x="18"/>
        <item m="1" x="646"/>
        <item m="1" x="759"/>
        <item m="1" x="867"/>
        <item m="1" x="578"/>
        <item m="1" x="571"/>
        <item x="146"/>
        <item m="1" x="681"/>
        <item m="1" x="860"/>
        <item x="405"/>
        <item m="1" x="861"/>
        <item m="1" x="569"/>
        <item m="1" x="697"/>
        <item x="393"/>
        <item m="1" x="601"/>
        <item x="231"/>
        <item m="1" x="772"/>
        <item m="1" x="706"/>
        <item m="1" x="796"/>
        <item x="248"/>
        <item m="1" x="685"/>
        <item m="1" x="749"/>
        <item m="1" x="738"/>
        <item m="1" x="718"/>
        <item x="540"/>
        <item x="70"/>
        <item x="47"/>
        <item m="1" x="793"/>
        <item x="336"/>
        <item m="1" x="850"/>
        <item m="1" x="843"/>
        <item x="252"/>
        <item m="1" x="586"/>
        <item x="537"/>
        <item x="58"/>
        <item x="513"/>
        <item x="41"/>
        <item m="1" x="835"/>
        <item m="1" x="717"/>
        <item x="187"/>
        <item x="24"/>
        <item x="66"/>
        <item m="1" x="600"/>
        <item m="1" x="829"/>
        <item m="1" x="815"/>
        <item m="1" x="643"/>
        <item x="258"/>
        <item x="205"/>
        <item x="277"/>
        <item x="208"/>
        <item m="1" x="677"/>
        <item m="1" x="559"/>
        <item m="1" x="577"/>
        <item m="1" x="692"/>
        <item m="1" x="637"/>
        <item x="495"/>
        <item m="1" x="582"/>
        <item m="1" x="837"/>
        <item m="1" x="650"/>
        <item m="1" x="783"/>
        <item m="1" x="833"/>
        <item m="1" x="610"/>
        <item x="14"/>
        <item x="160"/>
        <item m="1" x="823"/>
        <item x="300"/>
        <item x="464"/>
        <item x="88"/>
        <item m="1" x="854"/>
        <item m="1" x="570"/>
        <item x="6"/>
        <item x="102"/>
        <item x="419"/>
        <item m="1" x="740"/>
        <item m="1" x="830"/>
        <item x="373"/>
        <item x="220"/>
        <item x="374"/>
        <item m="1" x="589"/>
        <item x="291"/>
        <item m="1" x="756"/>
        <item m="1" x="673"/>
        <item x="229"/>
        <item x="390"/>
        <item x="375"/>
        <item x="131"/>
        <item m="1" x="789"/>
        <item x="36"/>
        <item m="1" x="652"/>
        <item x="8"/>
        <item m="1" x="715"/>
        <item m="1" x="659"/>
        <item m="1" x="858"/>
        <item m="1" x="671"/>
        <item m="1" x="831"/>
        <item x="219"/>
        <item m="1" x="832"/>
        <item m="1" x="825"/>
        <item x="433"/>
        <item m="1" x="708"/>
        <item m="1" x="765"/>
        <item m="1" x="666"/>
        <item m="1" x="801"/>
        <item m="1" x="782"/>
        <item m="1" x="847"/>
        <item m="1" x="845"/>
        <item m="1" x="773"/>
        <item x="297"/>
        <item m="1" x="725"/>
        <item m="1" x="859"/>
        <item x="429"/>
        <item m="1" x="726"/>
        <item m="1" x="607"/>
        <item m="1" x="561"/>
        <item m="1" x="800"/>
        <item x="180"/>
        <item x="356"/>
        <item x="366"/>
        <item x="456"/>
        <item x="176"/>
        <item x="182"/>
        <item m="1" x="720"/>
        <item x="254"/>
        <item x="421"/>
        <item m="1" x="842"/>
        <item x="54"/>
        <item x="406"/>
        <item m="1" x="747"/>
        <item x="325"/>
        <item x="313"/>
        <item x="138"/>
        <item m="1" x="663"/>
        <item m="1" x="777"/>
        <item m="1" x="606"/>
        <item m="1" x="572"/>
        <item x="460"/>
        <item x="197"/>
        <item x="221"/>
        <item m="1" x="683"/>
        <item x="22"/>
        <item m="1" x="784"/>
        <item m="1" x="727"/>
        <item m="1" x="594"/>
        <item m="1" x="667"/>
        <item x="53"/>
        <item m="1" x="788"/>
        <item m="1" x="812"/>
        <item m="1" x="729"/>
        <item x="2"/>
        <item x="82"/>
        <item x="224"/>
        <item x="159"/>
        <item m="1" x="563"/>
        <item m="1" x="564"/>
        <item x="260"/>
        <item m="1" x="612"/>
        <item m="1" x="690"/>
        <item m="1" x="719"/>
        <item x="59"/>
        <item m="1" x="614"/>
        <item x="454"/>
        <item m="1" x="879"/>
        <item m="1" x="739"/>
        <item x="185"/>
        <item m="1" x="779"/>
        <item x="34"/>
        <item m="1" x="744"/>
        <item m="1" x="716"/>
        <item x="371"/>
        <item m="1" x="694"/>
        <item m="1" x="712"/>
        <item x="4"/>
        <item x="3"/>
        <item m="1" x="866"/>
        <item m="1" x="802"/>
        <item m="1" x="682"/>
        <item m="1" x="573"/>
        <item m="1" x="709"/>
        <item m="1" x="865"/>
        <item m="1" x="733"/>
        <item m="1" x="633"/>
        <item m="1" x="846"/>
        <item m="1" x="626"/>
        <item x="362"/>
        <item x="447"/>
        <item m="1" x="629"/>
        <item x="153"/>
        <item m="1" x="631"/>
        <item x="64"/>
        <item x="310"/>
        <item x="157"/>
        <item m="1" x="809"/>
        <item x="189"/>
        <item m="1" x="700"/>
        <item x="288"/>
        <item x="261"/>
        <item x="202"/>
        <item x="497"/>
        <item m="1" x="863"/>
        <item m="1" x="707"/>
        <item m="1" x="660"/>
        <item x="178"/>
        <item x="380"/>
        <item x="81"/>
        <item m="1" x="748"/>
        <item x="107"/>
        <item x="162"/>
        <item x="275"/>
        <item m="1" x="695"/>
        <item m="1" x="732"/>
        <item m="1" x="684"/>
        <item m="1" x="653"/>
        <item m="1" x="862"/>
        <item m="1" x="696"/>
        <item x="307"/>
        <item x="218"/>
        <item m="1" x="735"/>
        <item m="1" x="844"/>
        <item x="510"/>
        <item m="1" x="776"/>
        <item x="174"/>
        <item m="1" x="668"/>
        <item m="1" x="849"/>
        <item x="50"/>
        <item x="337"/>
        <item x="196"/>
        <item m="1" x="870"/>
        <item m="1" x="761"/>
        <item m="1" x="619"/>
        <item m="1" x="645"/>
        <item x="347"/>
        <item m="1" x="591"/>
        <item x="457"/>
        <item x="90"/>
        <item x="477"/>
        <item x="327"/>
        <item x="283"/>
        <item m="1" x="611"/>
        <item x="293"/>
        <item x="127"/>
        <item m="1" x="628"/>
        <item x="32"/>
        <item m="1" x="824"/>
        <item m="1" x="551"/>
        <item m="1" x="603"/>
        <item m="1" x="565"/>
        <item m="1" x="787"/>
        <item x="212"/>
        <item m="1" x="790"/>
        <item m="1" x="593"/>
        <item m="1" x="574"/>
        <item m="1" x="636"/>
        <item x="141"/>
        <item x="77"/>
        <item x="114"/>
        <item x="184"/>
        <item x="285"/>
        <item x="444"/>
        <item m="1" x="868"/>
        <item m="1" x="826"/>
        <item m="1" x="751"/>
        <item m="1" x="792"/>
        <item x="225"/>
        <item x="334"/>
        <item x="203"/>
        <item x="379"/>
        <item x="125"/>
        <item x="155"/>
        <item x="145"/>
        <item m="1" x="662"/>
        <item x="417"/>
        <item x="490"/>
        <item m="1" x="599"/>
        <item m="1" x="757"/>
        <item x="85"/>
        <item m="1" x="641"/>
        <item m="1" x="734"/>
        <item m="1" x="803"/>
        <item m="1" x="752"/>
        <item x="480"/>
        <item m="1" x="632"/>
        <item m="1" x="828"/>
        <item x="99"/>
        <item x="129"/>
        <item m="1" x="621"/>
        <item m="1" x="872"/>
        <item x="243"/>
        <item m="1" x="702"/>
        <item m="1" x="807"/>
        <item x="428"/>
        <item x="105"/>
        <item m="1" x="808"/>
        <item m="1" x="799"/>
        <item x="194"/>
        <item m="1" x="657"/>
        <item x="207"/>
        <item x="100"/>
        <item m="1" x="605"/>
        <item m="1" x="661"/>
        <item x="395"/>
        <item m="1" x="595"/>
        <item x="449"/>
        <item m="1" x="873"/>
        <item m="1" x="745"/>
        <item x="289"/>
        <item x="20"/>
        <item x="500"/>
        <item m="1" x="622"/>
        <item m="1" x="875"/>
        <item x="242"/>
        <item x="5"/>
        <item m="1" x="838"/>
        <item m="1" x="713"/>
        <item x="65"/>
        <item x="62"/>
        <item m="1" x="618"/>
        <item x="91"/>
        <item x="274"/>
        <item x="488"/>
        <item x="74"/>
        <item m="1" x="608"/>
        <item m="1" x="814"/>
        <item m="1" x="624"/>
        <item m="1" x="674"/>
        <item x="308"/>
        <item m="1" x="581"/>
        <item x="247"/>
        <item m="1" x="794"/>
        <item m="1" x="817"/>
        <item m="1" x="557"/>
        <item x="476"/>
        <item x="204"/>
        <item m="1" x="597"/>
        <item m="1" x="791"/>
        <item m="1" x="880"/>
        <item m="1" x="728"/>
        <item m="1" x="820"/>
        <item m="1" x="701"/>
        <item m="1" x="670"/>
        <item m="1" x="699"/>
        <item x="148"/>
        <item x="443"/>
        <item m="1" x="764"/>
        <item m="1" x="836"/>
        <item x="394"/>
        <item m="1" x="553"/>
        <item m="1" x="710"/>
        <item x="209"/>
        <item x="126"/>
        <item m="1" x="763"/>
        <item m="1" x="665"/>
        <item m="1" x="769"/>
        <item m="1" x="580"/>
        <item m="1" x="642"/>
        <item m="1" x="737"/>
        <item m="1" x="698"/>
        <item m="1" x="743"/>
        <item m="1" x="768"/>
        <item x="515"/>
        <item x="368"/>
        <item m="1" x="560"/>
        <item m="1" x="656"/>
        <item x="268"/>
        <item x="535"/>
        <item x="276"/>
        <item x="430"/>
        <item m="1" x="596"/>
        <item x="75"/>
        <item m="1" x="617"/>
        <item m="1" x="675"/>
        <item m="1" x="651"/>
        <item m="1" x="876"/>
        <item x="30"/>
        <item x="123"/>
        <item m="1" x="691"/>
        <item m="1" x="598"/>
        <item x="413"/>
        <item x="211"/>
        <item x="410"/>
        <item m="1" x="731"/>
        <item m="1" x="840"/>
        <item m="1" x="649"/>
        <item x="266"/>
        <item m="1" x="746"/>
        <item m="1" x="813"/>
        <item x="474"/>
        <item x="78"/>
        <item m="1" x="871"/>
        <item x="119"/>
        <item m="1" x="680"/>
        <item m="1" x="881"/>
        <item m="1" x="686"/>
        <item m="1" x="705"/>
        <item x="168"/>
        <item m="1" x="754"/>
        <item x="271"/>
        <item m="1" x="806"/>
        <item x="365"/>
        <item m="1" x="855"/>
        <item m="1" x="639"/>
        <item x="519"/>
        <item x="411"/>
        <item x="412"/>
        <item x="101"/>
        <item m="1" x="687"/>
        <item m="1" x="834"/>
        <item x="122"/>
        <item m="1" x="576"/>
        <item x="124"/>
        <item m="1" x="647"/>
        <item m="1" x="654"/>
        <item m="1" x="613"/>
        <item x="16"/>
        <item x="521"/>
        <item x="210"/>
        <item x="304"/>
        <item x="55"/>
        <item m="1" x="579"/>
        <item m="1" x="760"/>
        <item m="1" x="822"/>
        <item m="1" x="864"/>
        <item m="1" x="721"/>
        <item m="1" x="869"/>
        <item x="251"/>
        <item m="1" x="627"/>
        <item m="1" x="750"/>
        <item x="542"/>
        <item m="1" x="634"/>
        <item x="63"/>
        <item m="1" x="805"/>
        <item m="1" x="841"/>
        <item m="1" x="770"/>
        <item x="525"/>
        <item m="1" x="827"/>
        <item m="1" x="688"/>
        <item x="237"/>
        <item m="1" x="658"/>
        <item x="451"/>
        <item x="321"/>
        <item x="92"/>
        <item x="136"/>
        <item m="1" x="704"/>
        <item m="1" x="874"/>
        <item m="1" x="552"/>
        <item m="1" x="741"/>
        <item m="1" x="730"/>
        <item m="1" x="818"/>
        <item m="1" x="819"/>
        <item m="1" x="556"/>
        <item m="1" x="851"/>
        <item x="45"/>
        <item m="1" x="811"/>
        <item m="1" x="753"/>
        <item m="1" x="714"/>
        <item x="479"/>
        <item m="1" x="758"/>
        <item m="1" x="585"/>
        <item x="272"/>
        <item x="98"/>
        <item x="262"/>
        <item x="95"/>
        <item x="172"/>
        <item x="459"/>
        <item m="1" x="609"/>
        <item m="1" x="554"/>
        <item x="108"/>
        <item x="42"/>
        <item m="1" x="766"/>
        <item m="1" x="798"/>
        <item m="1" x="774"/>
        <item x="324"/>
        <item m="1" x="816"/>
        <item x="469"/>
        <item x="83"/>
        <item m="1" x="676"/>
        <item m="1" x="755"/>
        <item m="1" x="781"/>
        <item x="23"/>
        <item m="1" x="567"/>
        <item x="56"/>
        <item x="188"/>
        <item m="1" x="587"/>
        <item m="1" x="839"/>
        <item m="1" x="852"/>
        <item x="349"/>
        <item m="1" x="615"/>
        <item x="67"/>
        <item m="1" x="856"/>
        <item m="1" x="742"/>
        <item m="1" x="604"/>
        <item m="1" x="568"/>
        <item x="408"/>
        <item m="1" x="625"/>
        <item x="439"/>
        <item m="1" x="669"/>
        <item m="1" x="635"/>
        <item m="1" x="775"/>
        <item m="1" x="778"/>
        <item m="1" x="786"/>
        <item x="89"/>
        <item m="1" x="620"/>
        <item x="350"/>
        <item m="1" x="590"/>
        <item m="1" x="655"/>
        <item m="1" x="679"/>
        <item x="199"/>
        <item m="1" x="736"/>
        <item m="1" x="630"/>
        <item x="531"/>
        <item m="1" x="723"/>
        <item x="472"/>
        <item x="230"/>
        <item m="1" x="558"/>
        <item x="79"/>
        <item x="311"/>
        <item x="134"/>
        <item x="57"/>
        <item m="1" x="602"/>
        <item x="147"/>
        <item m="1" x="616"/>
        <item x="357"/>
        <item x="416"/>
        <item m="1" x="678"/>
        <item x="346"/>
        <item m="1" x="780"/>
        <item x="256"/>
        <item x="361"/>
        <item m="1" x="583"/>
        <item x="215"/>
        <item m="1" x="566"/>
        <item m="1" x="623"/>
        <item x="179"/>
        <item m="1" x="724"/>
        <item m="1" x="575"/>
        <item m="1" x="722"/>
        <item x="52"/>
        <item x="0"/>
        <item x="1"/>
        <item x="7"/>
        <item x="9"/>
        <item x="10"/>
        <item x="11"/>
        <item x="12"/>
        <item x="13"/>
        <item x="15"/>
        <item x="17"/>
        <item x="19"/>
        <item x="21"/>
        <item x="25"/>
        <item x="26"/>
        <item x="27"/>
        <item x="28"/>
        <item x="29"/>
        <item x="31"/>
        <item x="33"/>
        <item x="35"/>
        <item x="37"/>
        <item m="1" x="545"/>
        <item x="38"/>
        <item x="39"/>
        <item x="40"/>
        <item x="43"/>
        <item x="44"/>
        <item x="46"/>
        <item x="48"/>
        <item x="49"/>
        <item x="51"/>
        <item x="60"/>
        <item x="61"/>
        <item x="68"/>
        <item x="69"/>
        <item x="71"/>
        <item x="72"/>
        <item x="73"/>
        <item x="76"/>
        <item x="80"/>
        <item x="84"/>
        <item x="86"/>
        <item x="87"/>
        <item x="93"/>
        <item x="94"/>
        <item x="96"/>
        <item x="97"/>
        <item x="103"/>
        <item x="104"/>
        <item x="106"/>
        <item x="109"/>
        <item x="111"/>
        <item x="112"/>
        <item x="113"/>
        <item x="115"/>
        <item x="116"/>
        <item x="117"/>
        <item x="118"/>
        <item x="120"/>
        <item x="121"/>
        <item x="128"/>
        <item x="130"/>
        <item x="132"/>
        <item x="133"/>
        <item x="135"/>
        <item x="137"/>
        <item x="139"/>
        <item x="140"/>
        <item x="142"/>
        <item x="143"/>
        <item x="144"/>
        <item x="149"/>
        <item x="150"/>
        <item x="151"/>
        <item x="152"/>
        <item x="154"/>
        <item x="156"/>
        <item x="158"/>
        <item x="161"/>
        <item x="163"/>
        <item x="164"/>
        <item x="165"/>
        <item x="166"/>
        <item x="167"/>
        <item x="169"/>
        <item x="170"/>
        <item x="171"/>
        <item x="173"/>
        <item x="175"/>
        <item x="177"/>
        <item x="181"/>
        <item x="183"/>
        <item x="186"/>
        <item x="190"/>
        <item x="191"/>
        <item x="195"/>
        <item x="198"/>
        <item x="200"/>
        <item x="201"/>
        <item x="213"/>
        <item x="214"/>
        <item x="216"/>
        <item x="217"/>
        <item x="222"/>
        <item x="223"/>
        <item x="227"/>
        <item x="228"/>
        <item x="232"/>
        <item x="233"/>
        <item x="235"/>
        <item x="236"/>
        <item x="238"/>
        <item x="239"/>
        <item x="240"/>
        <item x="241"/>
        <item x="244"/>
        <item x="245"/>
        <item x="246"/>
        <item x="249"/>
        <item x="250"/>
        <item x="253"/>
        <item x="255"/>
        <item x="257"/>
        <item x="259"/>
        <item x="263"/>
        <item x="264"/>
        <item x="265"/>
        <item x="267"/>
        <item x="269"/>
        <item x="273"/>
        <item x="278"/>
        <item x="279"/>
        <item x="280"/>
        <item x="281"/>
        <item x="282"/>
        <item x="284"/>
        <item x="286"/>
        <item x="287"/>
        <item x="290"/>
        <item x="292"/>
        <item x="294"/>
        <item x="295"/>
        <item x="296"/>
        <item x="298"/>
        <item x="299"/>
        <item x="301"/>
        <item x="302"/>
        <item x="303"/>
        <item x="305"/>
        <item x="306"/>
        <item x="309"/>
        <item x="312"/>
        <item x="314"/>
        <item x="315"/>
        <item x="316"/>
        <item x="317"/>
        <item x="318"/>
        <item x="319"/>
        <item x="320"/>
        <item x="322"/>
        <item x="323"/>
        <item x="326"/>
        <item x="328"/>
        <item x="329"/>
        <item x="330"/>
        <item x="331"/>
        <item x="332"/>
        <item x="333"/>
        <item x="335"/>
        <item x="338"/>
        <item x="339"/>
        <item x="340"/>
        <item x="341"/>
        <item x="342"/>
        <item x="343"/>
        <item x="344"/>
        <item x="345"/>
        <item x="348"/>
        <item x="351"/>
        <item x="352"/>
        <item x="353"/>
        <item x="354"/>
        <item x="355"/>
        <item x="358"/>
        <item x="359"/>
        <item x="360"/>
        <item x="363"/>
        <item x="370"/>
        <item x="372"/>
        <item x="377"/>
        <item x="378"/>
        <item x="381"/>
        <item x="382"/>
        <item x="383"/>
        <item x="384"/>
        <item x="385"/>
        <item x="386"/>
        <item x="387"/>
        <item x="388"/>
        <item x="389"/>
        <item x="391"/>
        <item x="392"/>
        <item x="396"/>
        <item x="397"/>
        <item x="398"/>
        <item x="399"/>
        <item x="400"/>
        <item x="401"/>
        <item x="402"/>
        <item x="403"/>
        <item x="404"/>
        <item x="407"/>
        <item x="409"/>
        <item x="414"/>
        <item x="415"/>
        <item x="418"/>
        <item x="420"/>
        <item x="422"/>
        <item x="423"/>
        <item x="424"/>
        <item x="425"/>
        <item x="427"/>
        <item x="432"/>
        <item x="434"/>
        <item x="436"/>
        <item x="437"/>
        <item x="438"/>
        <item x="440"/>
        <item x="441"/>
        <item x="442"/>
        <item x="445"/>
        <item x="446"/>
        <item x="448"/>
        <item x="450"/>
        <item x="452"/>
        <item x="453"/>
        <item x="455"/>
        <item x="458"/>
        <item x="461"/>
        <item x="462"/>
        <item x="463"/>
        <item x="465"/>
        <item x="466"/>
        <item x="467"/>
        <item x="468"/>
        <item x="470"/>
        <item x="471"/>
        <item x="473"/>
        <item x="475"/>
        <item x="478"/>
        <item x="481"/>
        <item x="482"/>
        <item x="484"/>
        <item x="485"/>
        <item x="486"/>
        <item x="487"/>
        <item x="489"/>
        <item x="491"/>
        <item x="492"/>
        <item x="493"/>
        <item x="494"/>
        <item x="496"/>
        <item x="498"/>
        <item x="499"/>
        <item x="501"/>
        <item x="502"/>
        <item x="503"/>
        <item x="504"/>
        <item x="505"/>
        <item x="506"/>
        <item x="507"/>
        <item x="508"/>
        <item x="509"/>
        <item x="511"/>
        <item x="512"/>
        <item x="514"/>
        <item x="516"/>
        <item x="517"/>
        <item x="518"/>
        <item m="1" x="546"/>
        <item m="1" x="547"/>
        <item m="1" x="548"/>
        <item m="1" x="549"/>
        <item m="1" x="550"/>
        <item x="520"/>
        <item x="522"/>
        <item x="523"/>
        <item x="524"/>
        <item x="526"/>
        <item x="527"/>
        <item x="528"/>
        <item x="529"/>
        <item x="534"/>
        <item x="536"/>
        <item x="538"/>
        <item x="539"/>
        <item x="541"/>
        <item x="543"/>
        <item x="544"/>
        <item t="default"/>
      </items>
    </pivotField>
    <pivotField showAll="0"/>
    <pivotField numFmtId="164" showAll="0"/>
    <pivotField numFmtId="164" showAll="0"/>
    <pivotField dataField="1" numFmtId="164" showAll="0"/>
    <pivotField showAll="0"/>
    <pivotField showAll="0"/>
    <pivotField showAll="0"/>
    <pivotField showAll="0"/>
    <pivotField showAll="0"/>
    <pivotField axis="axisPage" dataField="1" showAll="0">
      <items count="3">
        <item x="1"/>
        <item x="0"/>
        <item t="default"/>
      </items>
    </pivotField>
    <pivotField showAll="0"/>
    <pivotField multipleItemSelectionAllowed="1" showAll="0"/>
    <pivotField showAll="0"/>
  </pivotFields>
  <rowFields count="2">
    <field x="10"/>
    <field x="2"/>
  </rowFields>
  <rowItems count="1580">
    <i>
      <x/>
    </i>
    <i r="1">
      <x v="1216"/>
    </i>
    <i>
      <x v="3"/>
    </i>
    <i r="1">
      <x v="1703"/>
    </i>
    <i r="1">
      <x v="1704"/>
    </i>
    <i r="1">
      <x v="1705"/>
    </i>
    <i r="1">
      <x v="1877"/>
    </i>
    <i>
      <x v="4"/>
    </i>
    <i r="1">
      <x v="1501"/>
    </i>
    <i r="1">
      <x v="1886"/>
    </i>
    <i>
      <x v="8"/>
    </i>
    <i r="1">
      <x v="1365"/>
    </i>
    <i r="1">
      <x v="1366"/>
    </i>
    <i r="1">
      <x v="1367"/>
    </i>
    <i>
      <x v="9"/>
    </i>
    <i r="1">
      <x v="1360"/>
    </i>
    <i r="1">
      <x v="1361"/>
    </i>
    <i r="1">
      <x v="1362"/>
    </i>
    <i r="1">
      <x v="1363"/>
    </i>
    <i r="1">
      <x v="1364"/>
    </i>
    <i r="1">
      <x v="1593"/>
    </i>
    <i>
      <x v="10"/>
    </i>
    <i r="1">
      <x v="1418"/>
    </i>
    <i>
      <x v="12"/>
    </i>
    <i r="1">
      <x v="1814"/>
    </i>
    <i>
      <x v="13"/>
    </i>
    <i r="1">
      <x v="1684"/>
    </i>
    <i>
      <x v="17"/>
    </i>
    <i r="1">
      <x v="1385"/>
    </i>
    <i r="1">
      <x v="1658"/>
    </i>
    <i>
      <x v="19"/>
    </i>
    <i r="1">
      <x v="2080"/>
    </i>
    <i>
      <x v="21"/>
    </i>
    <i r="1">
      <x v="2084"/>
    </i>
    <i>
      <x v="23"/>
    </i>
    <i r="1">
      <x v="1976"/>
    </i>
    <i>
      <x v="24"/>
    </i>
    <i r="1">
      <x v="2082"/>
    </i>
    <i>
      <x v="33"/>
    </i>
    <i r="1">
      <x v="1832"/>
    </i>
    <i>
      <x v="36"/>
    </i>
    <i r="1">
      <x v="1430"/>
    </i>
    <i>
      <x v="37"/>
    </i>
    <i r="1">
      <x v="1689"/>
    </i>
    <i r="1">
      <x v="1766"/>
    </i>
    <i>
      <x v="38"/>
    </i>
    <i r="1">
      <x v="1808"/>
    </i>
    <i r="1">
      <x v="1908"/>
    </i>
    <i>
      <x v="45"/>
    </i>
    <i r="1">
      <x v="1691"/>
    </i>
    <i>
      <x v="47"/>
    </i>
    <i r="1">
      <x v="1094"/>
    </i>
    <i r="1">
      <x v="1837"/>
    </i>
    <i r="1">
      <x v="1857"/>
    </i>
    <i>
      <x v="53"/>
    </i>
    <i r="1">
      <x v="1284"/>
    </i>
    <i r="1">
      <x v="1918"/>
    </i>
    <i>
      <x v="56"/>
    </i>
    <i r="1">
      <x v="1759"/>
    </i>
    <i r="1">
      <x v="1762"/>
    </i>
    <i r="1">
      <x v="2013"/>
    </i>
    <i r="1">
      <x v="2014"/>
    </i>
    <i>
      <x v="60"/>
    </i>
    <i r="1">
      <x v="1730"/>
    </i>
    <i>
      <x v="62"/>
    </i>
    <i r="1">
      <x v="1424"/>
    </i>
    <i r="1">
      <x v="1711"/>
    </i>
    <i r="1">
      <x v="1712"/>
    </i>
    <i r="1">
      <x v="1952"/>
    </i>
    <i r="1">
      <x v="1953"/>
    </i>
    <i>
      <x v="66"/>
    </i>
    <i r="1">
      <x v="1460"/>
    </i>
    <i>
      <x v="71"/>
    </i>
    <i r="1">
      <x v="2093"/>
    </i>
    <i>
      <x v="72"/>
    </i>
    <i r="1">
      <x v="1166"/>
    </i>
    <i r="1">
      <x v="1521"/>
    </i>
    <i r="1">
      <x v="1579"/>
    </i>
    <i>
      <x v="73"/>
    </i>
    <i r="1">
      <x v="1135"/>
    </i>
    <i r="1">
      <x v="1136"/>
    </i>
    <i>
      <x v="75"/>
    </i>
    <i r="1">
      <x v="1619"/>
    </i>
    <i r="1">
      <x v="1676"/>
    </i>
    <i r="1">
      <x v="1890"/>
    </i>
    <i>
      <x v="78"/>
    </i>
    <i r="1">
      <x v="1467"/>
    </i>
    <i>
      <x v="80"/>
    </i>
    <i r="1">
      <x v="2089"/>
    </i>
    <i r="1">
      <x v="2090"/>
    </i>
    <i>
      <x v="81"/>
    </i>
    <i r="1">
      <x v="1147"/>
    </i>
    <i r="1">
      <x v="1947"/>
    </i>
    <i>
      <x v="82"/>
    </i>
    <i r="1">
      <x v="2033"/>
    </i>
    <i>
      <x v="83"/>
    </i>
    <i r="1">
      <x v="1128"/>
    </i>
    <i>
      <x v="86"/>
    </i>
    <i r="1">
      <x v="1355"/>
    </i>
    <i r="1">
      <x v="1373"/>
    </i>
    <i r="1">
      <x v="1699"/>
    </i>
    <i r="1">
      <x v="1700"/>
    </i>
    <i r="1">
      <x v="1701"/>
    </i>
    <i r="1">
      <x v="1732"/>
    </i>
    <i r="1">
      <x v="1733"/>
    </i>
    <i r="1">
      <x v="1887"/>
    </i>
    <i r="1">
      <x v="1888"/>
    </i>
    <i r="1">
      <x v="2011"/>
    </i>
    <i r="1">
      <x v="2018"/>
    </i>
    <i>
      <x v="87"/>
    </i>
    <i r="1">
      <x v="1100"/>
    </i>
    <i r="1">
      <x v="1464"/>
    </i>
    <i>
      <x v="88"/>
    </i>
    <i r="1">
      <x v="1160"/>
    </i>
    <i r="1">
      <x v="1261"/>
    </i>
    <i r="1">
      <x v="1801"/>
    </i>
    <i r="1">
      <x v="1802"/>
    </i>
    <i r="1">
      <x v="1803"/>
    </i>
    <i r="1">
      <x v="1804"/>
    </i>
    <i r="1">
      <x v="1805"/>
    </i>
    <i r="1">
      <x v="1806"/>
    </i>
    <i r="1">
      <x v="1989"/>
    </i>
    <i>
      <x v="93"/>
    </i>
    <i r="1">
      <x v="1478"/>
    </i>
    <i r="1">
      <x v="1998"/>
    </i>
    <i>
      <x v="94"/>
    </i>
    <i r="1">
      <x v="1383"/>
    </i>
    <i>
      <x v="95"/>
    </i>
    <i r="1">
      <x v="1520"/>
    </i>
    <i>
      <x v="96"/>
    </i>
    <i r="1">
      <x v="1389"/>
    </i>
    <i>
      <x v="102"/>
    </i>
    <i r="1">
      <x v="1997"/>
    </i>
    <i>
      <x v="109"/>
    </i>
    <i r="1">
      <x v="1088"/>
    </i>
    <i r="1">
      <x v="1089"/>
    </i>
    <i r="1">
      <x v="1186"/>
    </i>
    <i r="1">
      <x v="1227"/>
    </i>
    <i r="1">
      <x v="1233"/>
    </i>
    <i r="1">
      <x v="1234"/>
    </i>
    <i r="1">
      <x v="1235"/>
    </i>
    <i r="1">
      <x v="1433"/>
    </i>
    <i r="1">
      <x v="1434"/>
    </i>
    <i r="1">
      <x v="1626"/>
    </i>
    <i r="1">
      <x v="1866"/>
    </i>
    <i r="1">
      <x v="1867"/>
    </i>
    <i>
      <x v="110"/>
    </i>
    <i r="1">
      <x v="1308"/>
    </i>
    <i r="1">
      <x v="2064"/>
    </i>
    <i>
      <x v="112"/>
    </i>
    <i r="1">
      <x v="1554"/>
    </i>
    <i>
      <x v="113"/>
    </i>
    <i r="1">
      <x v="1916"/>
    </i>
    <i r="1">
      <x v="1941"/>
    </i>
    <i r="1">
      <x v="1994"/>
    </i>
    <i>
      <x v="114"/>
    </i>
    <i r="1">
      <x v="1191"/>
    </i>
    <i>
      <x v="117"/>
    </i>
    <i r="1">
      <x v="1073"/>
    </i>
    <i r="1">
      <x v="1074"/>
    </i>
    <i r="1">
      <x v="1075"/>
    </i>
    <i r="1">
      <x v="1076"/>
    </i>
    <i r="1">
      <x v="1077"/>
    </i>
    <i r="1">
      <x v="1078"/>
    </i>
    <i r="1">
      <x v="1079"/>
    </i>
    <i r="1">
      <x v="1080"/>
    </i>
    <i r="1">
      <x v="1187"/>
    </i>
    <i r="1">
      <x v="1228"/>
    </i>
    <i r="1">
      <x v="1229"/>
    </i>
    <i r="1">
      <x v="1331"/>
    </i>
    <i r="1">
      <x v="1332"/>
    </i>
    <i r="1">
      <x v="1333"/>
    </i>
    <i r="1">
      <x v="1334"/>
    </i>
    <i r="1">
      <x v="1431"/>
    </i>
    <i r="1">
      <x v="1662"/>
    </i>
    <i r="1">
      <x v="1664"/>
    </i>
    <i r="1">
      <x v="1999"/>
    </i>
    <i r="1">
      <x v="2000"/>
    </i>
    <i>
      <x v="118"/>
    </i>
    <i r="1">
      <x v="1205"/>
    </i>
    <i>
      <x v="119"/>
    </i>
    <i r="1">
      <x v="1791"/>
    </i>
    <i>
      <x v="122"/>
    </i>
    <i r="1">
      <x v="1697"/>
    </i>
    <i>
      <x v="123"/>
    </i>
    <i r="1">
      <x v="1405"/>
    </i>
    <i>
      <x v="124"/>
    </i>
    <i r="1">
      <x v="1698"/>
    </i>
    <i r="1">
      <x v="1960"/>
    </i>
    <i>
      <x v="126"/>
    </i>
    <i r="1">
      <x v="1542"/>
    </i>
    <i>
      <x v="129"/>
    </i>
    <i r="1">
      <x v="1422"/>
    </i>
    <i r="1">
      <x v="1425"/>
    </i>
    <i>
      <x v="130"/>
    </i>
    <i r="1">
      <x v="1727"/>
    </i>
    <i>
      <x v="131"/>
    </i>
    <i r="1">
      <x v="1702"/>
    </i>
    <i>
      <x v="132"/>
    </i>
    <i r="1">
      <x v="1259"/>
    </i>
    <i>
      <x v="134"/>
    </i>
    <i r="1">
      <x v="1121"/>
    </i>
    <i r="1">
      <x v="1429"/>
    </i>
    <i r="1">
      <x v="1694"/>
    </i>
    <i r="1">
      <x v="1896"/>
    </i>
    <i r="1">
      <x v="2023"/>
    </i>
    <i r="1">
      <x v="2062"/>
    </i>
    <i>
      <x v="136"/>
    </i>
    <i r="1">
      <x v="1082"/>
    </i>
    <i r="1">
      <x v="1226"/>
    </i>
    <i r="1">
      <x v="1231"/>
    </i>
    <i r="1">
      <x v="1232"/>
    </i>
    <i r="1">
      <x v="1327"/>
    </i>
    <i r="1">
      <x v="1328"/>
    </i>
    <i r="1">
      <x v="1329"/>
    </i>
    <i r="1">
      <x v="1330"/>
    </i>
    <i r="1">
      <x v="1432"/>
    </i>
    <i r="1">
      <x v="1435"/>
    </i>
    <i r="1">
      <x v="1868"/>
    </i>
    <i r="1">
      <x v="1869"/>
    </i>
    <i>
      <x v="142"/>
    </i>
    <i r="1">
      <x v="1401"/>
    </i>
    <i>
      <x v="145"/>
    </i>
    <i r="1">
      <x v="1820"/>
    </i>
    <i>
      <x v="154"/>
    </i>
    <i r="1">
      <x v="1550"/>
    </i>
    <i r="1">
      <x v="1597"/>
    </i>
    <i>
      <x v="157"/>
    </i>
    <i r="1">
      <x v="1811"/>
    </i>
    <i r="1">
      <x v="1978"/>
    </i>
    <i>
      <x v="162"/>
    </i>
    <i r="1">
      <x v="1342"/>
    </i>
    <i r="1">
      <x v="1944"/>
    </i>
    <i>
      <x v="163"/>
    </i>
    <i r="1">
      <x v="1666"/>
    </i>
    <i r="1">
      <x v="1822"/>
    </i>
    <i>
      <x v="164"/>
    </i>
    <i r="1">
      <x v="1688"/>
    </i>
    <i>
      <x v="165"/>
    </i>
    <i r="1">
      <x v="1893"/>
    </i>
    <i>
      <x v="166"/>
    </i>
    <i r="1">
      <x v="1338"/>
    </i>
    <i r="1">
      <x v="1446"/>
    </i>
    <i r="1">
      <x v="1940"/>
    </i>
    <i>
      <x v="167"/>
    </i>
    <i r="1">
      <x v="1346"/>
    </i>
    <i>
      <x v="169"/>
    </i>
    <i r="1">
      <x v="1469"/>
    </i>
    <i>
      <x v="170"/>
    </i>
    <i r="1">
      <x v="1796"/>
    </i>
    <i>
      <x v="172"/>
    </i>
    <i r="1">
      <x v="1143"/>
    </i>
    <i>
      <x v="173"/>
    </i>
    <i r="1">
      <x v="1760"/>
    </i>
    <i r="1">
      <x v="1850"/>
    </i>
    <i>
      <x v="175"/>
    </i>
    <i r="1">
      <x v="1598"/>
    </i>
    <i r="1">
      <x v="1599"/>
    </i>
    <i>
      <x v="176"/>
    </i>
    <i r="1">
      <x v="1580"/>
    </i>
    <i>
      <x v="177"/>
    </i>
    <i r="1">
      <x v="1273"/>
    </i>
    <i r="1">
      <x v="1274"/>
    </i>
    <i>
      <x v="182"/>
    </i>
    <i r="1">
      <x v="1910"/>
    </i>
    <i r="1">
      <x v="1911"/>
    </i>
    <i r="1">
      <x v="2056"/>
    </i>
    <i>
      <x v="183"/>
    </i>
    <i r="1">
      <x v="1372"/>
    </i>
    <i r="1">
      <x v="1409"/>
    </i>
    <i r="1">
      <x v="2021"/>
    </i>
    <i>
      <x v="184"/>
    </i>
    <i r="1">
      <x v="1406"/>
    </i>
    <i r="1">
      <x v="1576"/>
    </i>
    <i r="1">
      <x v="1679"/>
    </i>
    <i>
      <x v="186"/>
    </i>
    <i r="1">
      <x v="1098"/>
    </i>
    <i>
      <x v="191"/>
    </i>
    <i r="1">
      <x v="1142"/>
    </i>
    <i>
      <x v="195"/>
    </i>
    <i r="1">
      <x v="1067"/>
    </i>
    <i r="1">
      <x v="1622"/>
    </i>
    <i r="1">
      <x v="1755"/>
    </i>
    <i r="1">
      <x v="1774"/>
    </i>
    <i>
      <x v="196"/>
    </i>
    <i r="1">
      <x v="1183"/>
    </i>
    <i r="1">
      <x v="1260"/>
    </i>
    <i r="1">
      <x v="1584"/>
    </i>
    <i r="1">
      <x v="1734"/>
    </i>
    <i>
      <x v="197"/>
    </i>
    <i r="1">
      <x v="1415"/>
    </i>
    <i r="1">
      <x v="1416"/>
    </i>
    <i r="1">
      <x v="1457"/>
    </i>
    <i r="1">
      <x v="1793"/>
    </i>
    <i r="1">
      <x v="1794"/>
    </i>
    <i r="1">
      <x v="1795"/>
    </i>
    <i>
      <x v="198"/>
    </i>
    <i r="1">
      <x v="1307"/>
    </i>
    <i r="1">
      <x v="1311"/>
    </i>
    <i r="1">
      <x v="1693"/>
    </i>
    <i>
      <x v="201"/>
    </i>
    <i r="1">
      <x v="1480"/>
    </i>
    <i r="1">
      <x v="1481"/>
    </i>
    <i r="1">
      <x v="1506"/>
    </i>
    <i>
      <x v="205"/>
    </i>
    <i r="1">
      <x v="1148"/>
    </i>
    <i r="1">
      <x v="1239"/>
    </i>
    <i>
      <x v="207"/>
    </i>
    <i r="1">
      <x v="1875"/>
    </i>
    <i>
      <x v="210"/>
    </i>
    <i r="1">
      <x v="1353"/>
    </i>
    <i>
      <x v="212"/>
    </i>
    <i r="1">
      <x v="1119"/>
    </i>
    <i>
      <x v="215"/>
    </i>
    <i r="1">
      <x v="1695"/>
    </i>
    <i>
      <x v="218"/>
    </i>
    <i r="1">
      <x v="1069"/>
    </i>
    <i r="1">
      <x v="1182"/>
    </i>
    <i r="1">
      <x v="1625"/>
    </i>
    <i r="1">
      <x v="1672"/>
    </i>
    <i r="1">
      <x v="1687"/>
    </i>
    <i r="1">
      <x v="1744"/>
    </i>
    <i r="1">
      <x v="1775"/>
    </i>
    <i r="1">
      <x v="1778"/>
    </i>
    <i r="1">
      <x v="1787"/>
    </i>
    <i>
      <x v="219"/>
    </i>
    <i r="1">
      <x v="1068"/>
    </i>
    <i r="1">
      <x v="1181"/>
    </i>
    <i r="1">
      <x v="1241"/>
    </i>
    <i r="1">
      <x v="1337"/>
    </i>
    <i r="1">
      <x v="1384"/>
    </i>
    <i r="1">
      <x v="1449"/>
    </i>
    <i r="1">
      <x v="1623"/>
    </i>
    <i r="1">
      <x v="1651"/>
    </i>
    <i r="1">
      <x v="1745"/>
    </i>
    <i r="1">
      <x v="1777"/>
    </i>
    <i r="1">
      <x v="1788"/>
    </i>
    <i r="1">
      <x v="1943"/>
    </i>
    <i>
      <x v="230"/>
    </i>
    <i r="1">
      <x v="1682"/>
    </i>
    <i>
      <x v="231"/>
    </i>
    <i r="1">
      <x v="1856"/>
    </i>
    <i>
      <x v="233"/>
    </i>
    <i r="1">
      <x v="1293"/>
    </i>
    <i>
      <x v="235"/>
    </i>
    <i r="1">
      <x v="1156"/>
    </i>
    <i>
      <x v="236"/>
    </i>
    <i r="1">
      <x v="1575"/>
    </i>
    <i>
      <x v="237"/>
    </i>
    <i r="1">
      <x v="1301"/>
    </i>
    <i r="1">
      <x v="1498"/>
    </i>
    <i r="1">
      <x v="1499"/>
    </i>
    <i r="1">
      <x v="1500"/>
    </i>
    <i>
      <x v="239"/>
    </i>
    <i r="1">
      <x v="1357"/>
    </i>
    <i>
      <x v="241"/>
    </i>
    <i r="1">
      <x v="1538"/>
    </i>
    <i>
      <x v="242"/>
    </i>
    <i r="1">
      <x v="1482"/>
    </i>
    <i r="1">
      <x v="1483"/>
    </i>
    <i r="1">
      <x v="1484"/>
    </i>
    <i r="1">
      <x v="1485"/>
    </i>
    <i>
      <x v="243"/>
    </i>
    <i r="1">
      <x v="1380"/>
    </i>
    <i>
      <x v="244"/>
    </i>
    <i r="1">
      <x v="2003"/>
    </i>
    <i>
      <x v="248"/>
    </i>
    <i r="1">
      <x v="1340"/>
    </i>
    <i r="1">
      <x v="1678"/>
    </i>
    <i>
      <x v="249"/>
    </i>
    <i r="1">
      <x v="1710"/>
    </i>
    <i>
      <x v="250"/>
    </i>
    <i r="1">
      <x v="1178"/>
    </i>
    <i r="1">
      <x v="1179"/>
    </i>
    <i r="1">
      <x v="1180"/>
    </i>
    <i>
      <x v="252"/>
    </i>
    <i r="1">
      <x v="1213"/>
    </i>
    <i r="1">
      <x v="1410"/>
    </i>
    <i>
      <x v="253"/>
    </i>
    <i r="1">
      <x v="1310"/>
    </i>
    <i r="1">
      <x v="1773"/>
    </i>
    <i r="1">
      <x v="2071"/>
    </i>
    <i>
      <x v="254"/>
    </i>
    <i r="1">
      <x v="1515"/>
    </i>
    <i r="1">
      <x v="1685"/>
    </i>
    <i r="1">
      <x v="1829"/>
    </i>
    <i r="1">
      <x v="1830"/>
    </i>
    <i r="1">
      <x v="1831"/>
    </i>
    <i>
      <x v="261"/>
    </i>
    <i r="1">
      <x v="1564"/>
    </i>
    <i r="1">
      <x v="2074"/>
    </i>
    <i>
      <x v="262"/>
    </i>
    <i r="1">
      <x v="1400"/>
    </i>
    <i r="1">
      <x v="1838"/>
    </i>
    <i r="1">
      <x v="1939"/>
    </i>
    <i r="1">
      <x v="2042"/>
    </i>
    <i>
      <x v="265"/>
    </i>
    <i r="1">
      <x v="2030"/>
    </i>
    <i>
      <x v="267"/>
    </i>
    <i r="1">
      <x v="1326"/>
    </i>
    <i r="1">
      <x v="2048"/>
    </i>
    <i>
      <x v="270"/>
    </i>
    <i r="1">
      <x v="1139"/>
    </i>
    <i>
      <x v="271"/>
    </i>
    <i r="1">
      <x v="1621"/>
    </i>
    <i>
      <x v="272"/>
    </i>
    <i r="1">
      <x v="1371"/>
    </i>
    <i>
      <x v="277"/>
    </i>
    <i r="1">
      <x v="1646"/>
    </i>
    <i>
      <x v="279"/>
    </i>
    <i r="1">
      <x v="1894"/>
    </i>
    <i>
      <x v="280"/>
    </i>
    <i r="1">
      <x v="1193"/>
    </i>
    <i r="1">
      <x v="1573"/>
    </i>
    <i r="1">
      <x v="1864"/>
    </i>
    <i r="1">
      <x v="1865"/>
    </i>
    <i r="1">
      <x v="1977"/>
    </i>
    <i r="1">
      <x v="2067"/>
    </i>
    <i>
      <x v="281"/>
    </i>
    <i r="1">
      <x v="1962"/>
    </i>
    <i>
      <x v="282"/>
    </i>
    <i r="1">
      <x v="1602"/>
    </i>
    <i>
      <x v="283"/>
    </i>
    <i r="1">
      <x v="1530"/>
    </i>
    <i>
      <x v="285"/>
    </i>
    <i r="1">
      <x v="1544"/>
    </i>
    <i r="1">
      <x v="1546"/>
    </i>
    <i>
      <x v="286"/>
    </i>
    <i r="1">
      <x v="1251"/>
    </i>
    <i r="1">
      <x v="1275"/>
    </i>
    <i>
      <x v="288"/>
    </i>
    <i r="1">
      <x v="1115"/>
    </i>
    <i r="1">
      <x v="1653"/>
    </i>
    <i>
      <x v="294"/>
    </i>
    <i r="1">
      <x v="1393"/>
    </i>
    <i>
      <x v="299"/>
    </i>
    <i r="1">
      <x v="1278"/>
    </i>
    <i r="1">
      <x v="1279"/>
    </i>
    <i r="1">
      <x v="1799"/>
    </i>
    <i>
      <x v="300"/>
    </i>
    <i r="1">
      <x v="1173"/>
    </i>
    <i r="1">
      <x v="1302"/>
    </i>
    <i r="1">
      <x v="1303"/>
    </i>
    <i r="1">
      <x v="1304"/>
    </i>
    <i r="1">
      <x v="1305"/>
    </i>
    <i>
      <x v="301"/>
    </i>
    <i r="1">
      <x v="1222"/>
    </i>
    <i>
      <x v="302"/>
    </i>
    <i r="1">
      <x v="1348"/>
    </i>
    <i r="1">
      <x v="1349"/>
    </i>
    <i r="1">
      <x v="1350"/>
    </i>
    <i r="1">
      <x v="1351"/>
    </i>
    <i r="1">
      <x v="1352"/>
    </i>
    <i r="1">
      <x v="1374"/>
    </i>
    <i r="1">
      <x v="1643"/>
    </i>
    <i r="1">
      <x v="1644"/>
    </i>
    <i>
      <x v="303"/>
    </i>
    <i r="1">
      <x v="1534"/>
    </i>
    <i>
      <x v="304"/>
    </i>
    <i r="1">
      <x v="1851"/>
    </i>
    <i r="1">
      <x v="2034"/>
    </i>
    <i r="1">
      <x v="2050"/>
    </i>
    <i>
      <x v="309"/>
    </i>
    <i r="1">
      <x v="1417"/>
    </i>
    <i r="1">
      <x v="1758"/>
    </i>
    <i>
      <x v="310"/>
    </i>
    <i r="1">
      <x v="1612"/>
    </i>
    <i r="1">
      <x v="1613"/>
    </i>
    <i r="1">
      <x v="1614"/>
    </i>
    <i>
      <x v="311"/>
    </i>
    <i r="1">
      <x v="1381"/>
    </i>
    <i>
      <x v="312"/>
    </i>
    <i r="1">
      <x v="1709"/>
    </i>
    <i>
      <x v="313"/>
    </i>
    <i r="1">
      <x v="1249"/>
    </i>
    <i>
      <x v="314"/>
    </i>
    <i r="1">
      <x v="1296"/>
    </i>
    <i r="1">
      <x v="1297"/>
    </i>
    <i r="1">
      <x v="1298"/>
    </i>
    <i r="1">
      <x v="1299"/>
    </i>
    <i>
      <x v="315"/>
    </i>
    <i r="1">
      <x v="1283"/>
    </i>
    <i r="1">
      <x v="1601"/>
    </i>
    <i>
      <x v="317"/>
    </i>
    <i r="1">
      <x v="1789"/>
    </i>
    <i>
      <x v="318"/>
    </i>
    <i r="1">
      <x v="1986"/>
    </i>
    <i>
      <x v="321"/>
    </i>
    <i r="1">
      <x v="1188"/>
    </i>
    <i r="1">
      <x v="1206"/>
    </i>
    <i r="1">
      <x v="1516"/>
    </i>
    <i r="1">
      <x v="1571"/>
    </i>
    <i>
      <x v="326"/>
    </i>
    <i r="1">
      <x v="1970"/>
    </i>
    <i>
      <x v="329"/>
    </i>
    <i r="1">
      <x v="1202"/>
    </i>
    <i>
      <x v="330"/>
    </i>
    <i r="1">
      <x v="1253"/>
    </i>
    <i r="1">
      <x v="1634"/>
    </i>
    <i>
      <x v="333"/>
    </i>
    <i r="1">
      <x v="1453"/>
    </i>
    <i r="1">
      <x v="1557"/>
    </i>
    <i r="1">
      <x v="1671"/>
    </i>
    <i r="1">
      <x v="1819"/>
    </i>
    <i>
      <x v="336"/>
    </i>
    <i r="1">
      <x v="1810"/>
    </i>
    <i r="1">
      <x v="2069"/>
    </i>
    <i>
      <x v="337"/>
    </i>
    <i r="1">
      <x v="1210"/>
    </i>
    <i r="1">
      <x v="1211"/>
    </i>
    <i>
      <x v="340"/>
    </i>
    <i r="1">
      <x v="1368"/>
    </i>
    <i r="1">
      <x v="1369"/>
    </i>
    <i r="1">
      <x v="1553"/>
    </i>
    <i r="1">
      <x v="1562"/>
    </i>
    <i r="1">
      <x v="1610"/>
    </i>
    <i r="1">
      <x v="1812"/>
    </i>
    <i>
      <x v="342"/>
    </i>
    <i r="1">
      <x v="1388"/>
    </i>
    <i r="1">
      <x v="1510"/>
    </i>
    <i r="1">
      <x v="1839"/>
    </i>
    <i>
      <x v="343"/>
    </i>
    <i r="1">
      <x v="1203"/>
    </i>
    <i r="1">
      <x v="1219"/>
    </i>
    <i>
      <x v="346"/>
    </i>
    <i r="1">
      <x v="1743"/>
    </i>
    <i>
      <x v="348"/>
    </i>
    <i r="1">
      <x v="1860"/>
    </i>
    <i r="1">
      <x v="1878"/>
    </i>
    <i r="1">
      <x v="1879"/>
    </i>
    <i>
      <x v="351"/>
    </i>
    <i r="1">
      <x v="1539"/>
    </i>
    <i r="1">
      <x v="1615"/>
    </i>
    <i r="1">
      <x v="1899"/>
    </i>
    <i r="1">
      <x v="1900"/>
    </i>
    <i r="1">
      <x v="1901"/>
    </i>
    <i r="1">
      <x v="1902"/>
    </i>
    <i r="1">
      <x v="1903"/>
    </i>
    <i r="1">
      <x v="1904"/>
    </i>
    <i>
      <x v="352"/>
    </i>
    <i r="1">
      <x v="1096"/>
    </i>
    <i r="1">
      <x v="1097"/>
    </i>
    <i r="1">
      <x v="1647"/>
    </i>
    <i r="1">
      <x v="1945"/>
    </i>
    <i>
      <x v="353"/>
    </i>
    <i r="1">
      <x v="2007"/>
    </i>
    <i>
      <x v="356"/>
    </i>
    <i r="1">
      <x v="1452"/>
    </i>
    <i r="1">
      <x v="1558"/>
    </i>
    <i r="1">
      <x v="1817"/>
    </i>
    <i r="1">
      <x v="1818"/>
    </i>
    <i r="1">
      <x v="2052"/>
    </i>
    <i>
      <x v="357"/>
    </i>
    <i r="1">
      <x v="1070"/>
    </i>
    <i r="1">
      <x v="1071"/>
    </i>
    <i r="1">
      <x v="1072"/>
    </i>
    <i>
      <x v="360"/>
    </i>
    <i r="1">
      <x v="1157"/>
    </i>
    <i r="1">
      <x v="1158"/>
    </i>
    <i r="1">
      <x v="1159"/>
    </i>
    <i r="1">
      <x v="1255"/>
    </i>
    <i r="1">
      <x v="1256"/>
    </i>
    <i r="1">
      <x v="1257"/>
    </i>
    <i r="1">
      <x v="1258"/>
    </i>
    <i>
      <x v="361"/>
    </i>
    <i r="1">
      <x v="1151"/>
    </i>
    <i r="1">
      <x v="1223"/>
    </i>
    <i>
      <x v="363"/>
    </i>
    <i r="1">
      <x v="1194"/>
    </i>
    <i r="1">
      <x v="1264"/>
    </i>
    <i>
      <x v="364"/>
    </i>
    <i r="1">
      <x v="1514"/>
    </i>
    <i>
      <x v="365"/>
    </i>
    <i r="1">
      <x v="1984"/>
    </i>
    <i>
      <x v="366"/>
    </i>
    <i r="1">
      <x v="1170"/>
    </i>
    <i r="1">
      <x v="1466"/>
    </i>
    <i r="1">
      <x v="1567"/>
    </i>
    <i r="1">
      <x v="1568"/>
    </i>
    <i r="1">
      <x v="1569"/>
    </i>
    <i r="1">
      <x v="1570"/>
    </i>
    <i r="1">
      <x v="1632"/>
    </i>
    <i r="1">
      <x v="1665"/>
    </i>
    <i r="1">
      <x v="2072"/>
    </i>
    <i>
      <x v="371"/>
    </i>
    <i r="1">
      <x v="1565"/>
    </i>
    <i r="1">
      <x v="1566"/>
    </i>
    <i>
      <x v="373"/>
    </i>
    <i r="1">
      <x v="1459"/>
    </i>
    <i>
      <x v="377"/>
    </i>
    <i r="1">
      <x v="1955"/>
    </i>
    <i r="1">
      <x v="1956"/>
    </i>
    <i>
      <x v="378"/>
    </i>
    <i r="1">
      <x v="1382"/>
    </i>
    <i r="1">
      <x v="2078"/>
    </i>
    <i>
      <x v="387"/>
    </i>
    <i r="1">
      <x v="1288"/>
    </i>
    <i>
      <x v="388"/>
    </i>
    <i r="1">
      <x v="1849"/>
    </i>
    <i r="1">
      <x v="2077"/>
    </i>
    <i>
      <x v="391"/>
    </i>
    <i r="1">
      <x v="1735"/>
    </i>
    <i r="1">
      <x v="1736"/>
    </i>
    <i r="1">
      <x v="1737"/>
    </i>
    <i r="1">
      <x v="1738"/>
    </i>
    <i r="1">
      <x v="1942"/>
    </i>
    <i>
      <x v="394"/>
    </i>
    <i r="1">
      <x v="1390"/>
    </i>
    <i>
      <x v="395"/>
    </i>
    <i r="1">
      <x v="1250"/>
    </i>
    <i>
      <x v="405"/>
    </i>
    <i r="1">
      <x v="2037"/>
    </i>
    <i r="1">
      <x v="2038"/>
    </i>
    <i>
      <x v="406"/>
    </i>
    <i r="1">
      <x v="1690"/>
    </i>
    <i>
      <x v="409"/>
    </i>
    <i r="1">
      <x v="1492"/>
    </i>
    <i r="1">
      <x v="1493"/>
    </i>
    <i r="1">
      <x v="1494"/>
    </i>
    <i r="1">
      <x v="1495"/>
    </i>
    <i>
      <x v="410"/>
    </i>
    <i r="1">
      <x v="2087"/>
    </i>
    <i>
      <x v="411"/>
    </i>
    <i r="1">
      <x v="1518"/>
    </i>
    <i r="1">
      <x v="1519"/>
    </i>
    <i>
      <x v="412"/>
    </i>
    <i r="1">
      <x v="1813"/>
    </i>
    <i>
      <x v="414"/>
    </i>
    <i r="1">
      <x v="1949"/>
    </i>
    <i>
      <x v="419"/>
    </i>
    <i r="1">
      <x v="1112"/>
    </i>
    <i r="1">
      <x v="1114"/>
    </i>
    <i>
      <x v="420"/>
    </i>
    <i r="1">
      <x v="1245"/>
    </i>
    <i>
      <x v="423"/>
    </i>
    <i r="1">
      <x v="1776"/>
    </i>
    <i r="1">
      <x v="1780"/>
    </i>
    <i r="1">
      <x v="1821"/>
    </i>
    <i r="1">
      <x v="1824"/>
    </i>
    <i r="1">
      <x v="1825"/>
    </i>
    <i>
      <x v="424"/>
    </i>
    <i r="1">
      <x v="1392"/>
    </i>
    <i>
      <x v="425"/>
    </i>
    <i r="1">
      <x v="1767"/>
    </i>
    <i>
      <x v="429"/>
    </i>
    <i r="1">
      <x v="1490"/>
    </i>
    <i>
      <x v="432"/>
    </i>
    <i r="1">
      <x v="1950"/>
    </i>
    <i>
      <x v="433"/>
    </i>
    <i r="1">
      <x v="1174"/>
    </i>
    <i r="1">
      <x v="1286"/>
    </i>
    <i>
      <x v="435"/>
    </i>
    <i r="1">
      <x v="1238"/>
    </i>
    <i r="1">
      <x v="1512"/>
    </i>
    <i r="1">
      <x v="1935"/>
    </i>
    <i r="1">
      <x v="1996"/>
    </i>
    <i>
      <x v="440"/>
    </i>
    <i r="1">
      <x v="1318"/>
    </i>
    <i r="1">
      <x v="1386"/>
    </i>
    <i r="1">
      <x v="1509"/>
    </i>
    <i r="1">
      <x v="1674"/>
    </i>
    <i>
      <x v="442"/>
    </i>
    <i r="1">
      <x v="1502"/>
    </i>
    <i>
      <x v="444"/>
    </i>
    <i r="1">
      <x v="1686"/>
    </i>
    <i>
      <x v="447"/>
    </i>
    <i r="1">
      <x v="2045"/>
    </i>
    <i>
      <x v="448"/>
    </i>
    <i r="1">
      <x v="1770"/>
    </i>
    <i>
      <x v="449"/>
    </i>
    <i r="1">
      <x v="1772"/>
    </i>
    <i r="1">
      <x v="1872"/>
    </i>
    <i>
      <x v="450"/>
    </i>
    <i r="1">
      <x v="1204"/>
    </i>
    <i>
      <x v="453"/>
    </i>
    <i r="1">
      <x v="1244"/>
    </i>
    <i>
      <x v="455"/>
    </i>
    <i r="1">
      <x v="1247"/>
    </i>
    <i r="1">
      <x v="1269"/>
    </i>
    <i r="1">
      <x v="1407"/>
    </i>
    <i r="1">
      <x v="1854"/>
    </i>
    <i r="1">
      <x v="2026"/>
    </i>
    <i>
      <x v="459"/>
    </i>
    <i r="1">
      <x v="1092"/>
    </i>
    <i r="1">
      <x v="1826"/>
    </i>
    <i>
      <x v="460"/>
    </i>
    <i r="1">
      <x v="2053"/>
    </i>
    <i>
      <x v="461"/>
    </i>
    <i r="1">
      <x v="1391"/>
    </i>
    <i>
      <x v="462"/>
    </i>
    <i r="1">
      <x v="1560"/>
    </i>
    <i>
      <x v="463"/>
    </i>
    <i r="1">
      <x v="1144"/>
    </i>
    <i r="1">
      <x v="1889"/>
    </i>
    <i>
      <x v="470"/>
    </i>
    <i r="1">
      <x v="1465"/>
    </i>
    <i>
      <x v="473"/>
    </i>
    <i r="1">
      <x v="2095"/>
    </i>
    <i>
      <x v="475"/>
    </i>
    <i r="1">
      <x v="1152"/>
    </i>
    <i r="1">
      <x v="1153"/>
    </i>
    <i r="1">
      <x v="1154"/>
    </i>
    <i r="1">
      <x v="1155"/>
    </i>
    <i>
      <x v="479"/>
    </i>
    <i r="1">
      <x v="2065"/>
    </i>
    <i>
      <x v="482"/>
    </i>
    <i r="1">
      <x v="1443"/>
    </i>
    <i>
      <x v="484"/>
    </i>
    <i r="1">
      <x v="1863"/>
    </i>
    <i>
      <x v="485"/>
    </i>
    <i r="1">
      <x v="1589"/>
    </i>
    <i r="1">
      <x v="1779"/>
    </i>
    <i>
      <x v="486"/>
    </i>
    <i r="1">
      <x v="1195"/>
    </i>
    <i r="1">
      <x v="1923"/>
    </i>
    <i>
      <x v="487"/>
    </i>
    <i r="1">
      <x v="1270"/>
    </i>
    <i>
      <x v="497"/>
    </i>
    <i r="1">
      <x v="1133"/>
    </i>
    <i>
      <x v="501"/>
    </i>
    <i r="1">
      <x v="1965"/>
    </i>
    <i>
      <x v="504"/>
    </i>
    <i r="1">
      <x v="1503"/>
    </i>
    <i>
      <x v="505"/>
    </i>
    <i r="1">
      <x v="1201"/>
    </i>
    <i r="1">
      <x v="2051"/>
    </i>
    <i>
      <x v="506"/>
    </i>
    <i r="1">
      <x v="1486"/>
    </i>
    <i>
      <x v="507"/>
    </i>
    <i r="1">
      <x v="1198"/>
    </i>
    <i r="1">
      <x v="1209"/>
    </i>
    <i r="1">
      <x v="1741"/>
    </i>
    <i>
      <x v="508"/>
    </i>
    <i r="1">
      <x v="1323"/>
    </i>
    <i r="1">
      <x v="1324"/>
    </i>
    <i>
      <x v="509"/>
    </i>
    <i r="1">
      <x v="1907"/>
    </i>
    <i>
      <x v="512"/>
    </i>
    <i r="1">
      <x v="1214"/>
    </i>
    <i r="1">
      <x v="1248"/>
    </i>
    <i r="1">
      <x v="1667"/>
    </i>
    <i>
      <x v="513"/>
    </i>
    <i r="1">
      <x v="1129"/>
    </i>
    <i>
      <x v="517"/>
    </i>
    <i r="1">
      <x v="1594"/>
    </i>
    <i>
      <x v="519"/>
    </i>
    <i r="1">
      <x v="1928"/>
    </i>
    <i r="1">
      <x v="1969"/>
    </i>
    <i>
      <x v="520"/>
    </i>
    <i r="1">
      <x v="1184"/>
    </i>
    <i>
      <x v="524"/>
    </i>
    <i r="1">
      <x v="1099"/>
    </i>
    <i r="1">
      <x v="1263"/>
    </i>
    <i r="1">
      <x v="1870"/>
    </i>
    <i r="1">
      <x v="1920"/>
    </i>
    <i r="1">
      <x v="1921"/>
    </i>
    <i>
      <x v="526"/>
    </i>
    <i r="1">
      <x v="1145"/>
    </i>
    <i>
      <x v="527"/>
    </i>
    <i r="1">
      <x v="1356"/>
    </i>
    <i r="1">
      <x v="1605"/>
    </i>
    <i r="1">
      <x v="1932"/>
    </i>
    <i>
      <x v="531"/>
    </i>
    <i r="1">
      <x v="1649"/>
    </i>
    <i r="1">
      <x v="1845"/>
    </i>
    <i r="1">
      <x v="1858"/>
    </i>
    <i r="1">
      <x v="1961"/>
    </i>
    <i r="1">
      <x v="1974"/>
    </i>
    <i>
      <x v="533"/>
    </i>
    <i r="1">
      <x v="1161"/>
    </i>
    <i r="1">
      <x v="1654"/>
    </i>
    <i>
      <x v="538"/>
    </i>
    <i r="1">
      <x v="1764"/>
    </i>
    <i r="1">
      <x v="1925"/>
    </i>
    <i>
      <x v="540"/>
    </i>
    <i r="1">
      <x v="1840"/>
    </i>
    <i r="1">
      <x v="1841"/>
    </i>
    <i r="1">
      <x v="1842"/>
    </i>
    <i r="1">
      <x v="1915"/>
    </i>
    <i r="1">
      <x v="1933"/>
    </i>
    <i r="1">
      <x v="2004"/>
    </i>
    <i>
      <x v="546"/>
    </i>
    <i r="1">
      <x v="1192"/>
    </i>
    <i r="1">
      <x v="1265"/>
    </i>
    <i r="1">
      <x v="1387"/>
    </i>
    <i r="1">
      <x v="1595"/>
    </i>
    <i r="1">
      <x v="1656"/>
    </i>
    <i r="1">
      <x v="1761"/>
    </i>
    <i r="1">
      <x v="1782"/>
    </i>
    <i r="1">
      <x v="2044"/>
    </i>
    <i r="1">
      <x v="2054"/>
    </i>
    <i r="1">
      <x v="2055"/>
    </i>
    <i r="1">
      <x v="2060"/>
    </i>
    <i>
      <x v="548"/>
    </i>
    <i r="1">
      <x v="1650"/>
    </i>
    <i r="1">
      <x v="1847"/>
    </i>
    <i r="1">
      <x v="1958"/>
    </i>
    <i r="1">
      <x v="1959"/>
    </i>
    <i>
      <x v="552"/>
    </i>
    <i r="1">
      <x v="1377"/>
    </i>
    <i>
      <x v="555"/>
    </i>
    <i r="1">
      <x v="2081"/>
    </i>
    <i>
      <x v="557"/>
    </i>
    <i r="1">
      <x v="1936"/>
    </i>
    <i>
      <x v="558"/>
    </i>
    <i r="1">
      <x v="1423"/>
    </i>
    <i r="1">
      <x v="1708"/>
    </i>
    <i r="1">
      <x v="1742"/>
    </i>
    <i>
      <x v="560"/>
    </i>
    <i r="1">
      <x v="1175"/>
    </i>
    <i r="1">
      <x v="1176"/>
    </i>
    <i>
      <x v="561"/>
    </i>
    <i r="1">
      <x v="1577"/>
    </i>
    <i>
      <x v="562"/>
    </i>
    <i r="1">
      <x v="1267"/>
    </i>
    <i r="1">
      <x v="1394"/>
    </i>
    <i r="1">
      <x v="1402"/>
    </i>
    <i r="1">
      <x v="1403"/>
    </i>
    <i r="1">
      <x v="1441"/>
    </i>
    <i r="1">
      <x v="1497"/>
    </i>
    <i>
      <x v="563"/>
    </i>
    <i r="1">
      <x v="1146"/>
    </i>
    <i>
      <x v="565"/>
    </i>
    <i r="1">
      <x v="1285"/>
    </i>
    <i r="1">
      <x v="1616"/>
    </i>
    <i r="1">
      <x v="1919"/>
    </i>
    <i>
      <x v="567"/>
    </i>
    <i r="1">
      <x v="1670"/>
    </i>
    <i r="1">
      <x v="2075"/>
    </i>
    <i>
      <x v="568"/>
    </i>
    <i r="1">
      <x v="1786"/>
    </i>
    <i r="1">
      <x v="1876"/>
    </i>
    <i>
      <x v="570"/>
    </i>
    <i r="1">
      <x v="1642"/>
    </i>
    <i r="1">
      <x v="1739"/>
    </i>
    <i>
      <x v="572"/>
    </i>
    <i r="1">
      <x v="1473"/>
    </i>
    <i>
      <x v="573"/>
    </i>
    <i r="1">
      <x v="1681"/>
    </i>
    <i>
      <x v="575"/>
    </i>
    <i r="1">
      <x v="1397"/>
    </i>
    <i>
      <x v="578"/>
    </i>
    <i r="1">
      <x v="1341"/>
    </i>
    <i r="1">
      <x v="1404"/>
    </i>
    <i r="1">
      <x v="1513"/>
    </i>
    <i r="1">
      <x v="1527"/>
    </i>
    <i>
      <x v="582"/>
    </i>
    <i r="1">
      <x v="1141"/>
    </i>
    <i r="1">
      <x v="1636"/>
    </i>
    <i>
      <x v="583"/>
    </i>
    <i r="1">
      <x v="1065"/>
    </i>
    <i>
      <x v="584"/>
    </i>
    <i r="1">
      <x v="1066"/>
    </i>
    <i>
      <x v="585"/>
    </i>
    <i r="1">
      <x v="1081"/>
    </i>
    <i r="1">
      <x v="1336"/>
    </i>
    <i>
      <x v="586"/>
    </i>
    <i r="1">
      <x v="1083"/>
    </i>
    <i>
      <x v="587"/>
    </i>
    <i r="1">
      <x v="1084"/>
    </i>
    <i>
      <x v="588"/>
    </i>
    <i r="1">
      <x v="1085"/>
    </i>
    <i>
      <x v="589"/>
    </i>
    <i r="1">
      <x v="1086"/>
    </i>
    <i>
      <x v="590"/>
    </i>
    <i r="1">
      <x v="1087"/>
    </i>
    <i r="1">
      <x v="1230"/>
    </i>
    <i r="1">
      <x v="1438"/>
    </i>
    <i r="1">
      <x v="2001"/>
    </i>
    <i>
      <x v="591"/>
    </i>
    <i r="1">
      <x v="1090"/>
    </i>
    <i r="1">
      <x v="1091"/>
    </i>
    <i r="1">
      <x v="1439"/>
    </i>
    <i>
      <x v="592"/>
    </i>
    <i r="1">
      <x v="1093"/>
    </i>
    <i>
      <x v="593"/>
    </i>
    <i r="1">
      <x v="1095"/>
    </i>
    <i>
      <x v="594"/>
    </i>
    <i r="1">
      <x v="1246"/>
    </i>
    <i r="1">
      <x v="1946"/>
    </i>
    <i>
      <x v="595"/>
    </i>
    <i r="1">
      <x v="1101"/>
    </i>
    <i r="1">
      <x v="1102"/>
    </i>
    <i r="1">
      <x v="1892"/>
    </i>
    <i>
      <x v="596"/>
    </i>
    <i r="1">
      <x v="1103"/>
    </i>
    <i r="1">
      <x v="1641"/>
    </i>
    <i>
      <x v="597"/>
    </i>
    <i r="1">
      <x v="1104"/>
    </i>
    <i>
      <x v="598"/>
    </i>
    <i r="1">
      <x v="1105"/>
    </i>
    <i r="1">
      <x v="1106"/>
    </i>
    <i r="1">
      <x v="1881"/>
    </i>
    <i r="1">
      <x v="1882"/>
    </i>
    <i r="1">
      <x v="1883"/>
    </i>
    <i r="1">
      <x v="1884"/>
    </i>
    <i r="1">
      <x v="1885"/>
    </i>
    <i r="1">
      <x v="2049"/>
    </i>
    <i>
      <x v="599"/>
    </i>
    <i r="1">
      <x v="1107"/>
    </i>
    <i r="1">
      <x v="1108"/>
    </i>
    <i r="1">
      <x v="1109"/>
    </i>
    <i r="1">
      <x v="1110"/>
    </i>
    <i r="1">
      <x v="1111"/>
    </i>
    <i r="1">
      <x v="1532"/>
    </i>
    <i r="1">
      <x v="1768"/>
    </i>
    <i>
      <x v="600"/>
    </i>
    <i r="1">
      <x v="1113"/>
    </i>
    <i r="1">
      <x v="1116"/>
    </i>
    <i r="1">
      <x v="1131"/>
    </i>
    <i r="1">
      <x v="1376"/>
    </i>
    <i>
      <x v="601"/>
    </i>
    <i r="1">
      <x v="1117"/>
    </i>
    <i r="1">
      <x v="1118"/>
    </i>
    <i>
      <x v="602"/>
    </i>
    <i r="1">
      <x v="1120"/>
    </i>
    <i r="1">
      <x v="1197"/>
    </i>
    <i>
      <x v="603"/>
    </i>
    <i r="1">
      <x v="1122"/>
    </i>
    <i r="1">
      <x v="1471"/>
    </i>
    <i>
      <x v="605"/>
    </i>
    <i r="1">
      <x v="1124"/>
    </i>
    <i>
      <x v="606"/>
    </i>
    <i r="1">
      <x v="1125"/>
    </i>
    <i r="1">
      <x v="1126"/>
    </i>
    <i r="1">
      <x v="1127"/>
    </i>
    <i>
      <x v="607"/>
    </i>
    <i r="1">
      <x v="1123"/>
    </i>
    <i>
      <x v="608"/>
    </i>
    <i r="1">
      <x v="1130"/>
    </i>
    <i>
      <x v="609"/>
    </i>
    <i r="1">
      <x v="1132"/>
    </i>
    <i>
      <x v="610"/>
    </i>
    <i r="1">
      <x v="1134"/>
    </i>
    <i>
      <x v="611"/>
    </i>
    <i r="1">
      <x v="1137"/>
    </i>
    <i>
      <x v="612"/>
    </i>
    <i r="1">
      <x v="1138"/>
    </i>
    <i>
      <x v="613"/>
    </i>
    <i r="1">
      <x v="1140"/>
    </i>
    <i r="1">
      <x v="1620"/>
    </i>
    <i>
      <x v="614"/>
    </i>
    <i r="1">
      <x v="1149"/>
    </i>
    <i>
      <x v="615"/>
    </i>
    <i r="1">
      <x v="1150"/>
    </i>
    <i>
      <x v="616"/>
    </i>
    <i r="1">
      <x v="1162"/>
    </i>
    <i r="1">
      <x v="1163"/>
    </i>
    <i r="1">
      <x v="1164"/>
    </i>
    <i r="1">
      <x v="1165"/>
    </i>
    <i r="1">
      <x v="1638"/>
    </i>
    <i>
      <x v="617"/>
    </i>
    <i r="1">
      <x v="1948"/>
    </i>
    <i>
      <x v="618"/>
    </i>
    <i r="1">
      <x v="1167"/>
    </i>
    <i r="1">
      <x v="1172"/>
    </i>
    <i r="1">
      <x v="1769"/>
    </i>
    <i>
      <x v="619"/>
    </i>
    <i r="1">
      <x v="1168"/>
    </i>
    <i>
      <x v="620"/>
    </i>
    <i r="1">
      <x v="1169"/>
    </i>
    <i r="1">
      <x v="1990"/>
    </i>
    <i>
      <x v="621"/>
    </i>
    <i r="1">
      <x v="1171"/>
    </i>
    <i>
      <x v="622"/>
    </i>
    <i r="1">
      <x v="1177"/>
    </i>
    <i r="1">
      <x v="1722"/>
    </i>
    <i r="1">
      <x v="1723"/>
    </i>
    <i r="1">
      <x v="1724"/>
    </i>
    <i>
      <x v="623"/>
    </i>
    <i r="1">
      <x v="1185"/>
    </i>
    <i r="1">
      <x v="1596"/>
    </i>
    <i>
      <x v="624"/>
    </i>
    <i r="1">
      <x v="1189"/>
    </i>
    <i r="1">
      <x v="1673"/>
    </i>
    <i>
      <x v="625"/>
    </i>
    <i r="1">
      <x v="1190"/>
    </i>
    <i r="1">
      <x v="1317"/>
    </i>
    <i r="1">
      <x v="1458"/>
    </i>
    <i r="1">
      <x v="1522"/>
    </i>
    <i>
      <x v="626"/>
    </i>
    <i r="1">
      <x v="2046"/>
    </i>
    <i>
      <x v="627"/>
    </i>
    <i r="1">
      <x v="1196"/>
    </i>
    <i>
      <x v="628"/>
    </i>
    <i r="1">
      <x v="1199"/>
    </i>
    <i>
      <x v="629"/>
    </i>
    <i r="1">
      <x v="1200"/>
    </i>
    <i r="1">
      <x v="1781"/>
    </i>
    <i>
      <x v="630"/>
    </i>
    <i r="1">
      <x v="1207"/>
    </i>
    <i r="1">
      <x v="1843"/>
    </i>
    <i r="1">
      <x v="1951"/>
    </i>
    <i>
      <x v="631"/>
    </i>
    <i r="1">
      <x v="1208"/>
    </i>
    <i r="1">
      <x v="1669"/>
    </i>
    <i r="1">
      <x v="2028"/>
    </i>
    <i>
      <x v="632"/>
    </i>
    <i r="1">
      <x v="1212"/>
    </i>
    <i>
      <x v="633"/>
    </i>
    <i r="1">
      <x v="1215"/>
    </i>
    <i>
      <x v="634"/>
    </i>
    <i r="1">
      <x v="1217"/>
    </i>
    <i r="1">
      <x v="1218"/>
    </i>
    <i>
      <x v="635"/>
    </i>
    <i r="1">
      <x v="1220"/>
    </i>
    <i>
      <x v="636"/>
    </i>
    <i r="1">
      <x v="1221"/>
    </i>
    <i r="1">
      <x v="1411"/>
    </i>
    <i r="1">
      <x v="1525"/>
    </i>
    <i>
      <x v="637"/>
    </i>
    <i r="1">
      <x v="1224"/>
    </i>
    <i r="1">
      <x v="1225"/>
    </i>
    <i r="1">
      <x v="1272"/>
    </i>
    <i>
      <x v="638"/>
    </i>
    <i r="1">
      <x v="1412"/>
    </i>
    <i r="1">
      <x v="1450"/>
    </i>
    <i r="1">
      <x v="1771"/>
    </i>
    <i>
      <x v="639"/>
    </i>
    <i r="1">
      <x v="1236"/>
    </i>
    <i r="1">
      <x v="1436"/>
    </i>
    <i r="1">
      <x v="1437"/>
    </i>
    <i r="1">
      <x v="2098"/>
    </i>
    <i>
      <x v="640"/>
    </i>
    <i r="1">
      <x v="1237"/>
    </i>
    <i>
      <x v="641"/>
    </i>
    <i r="1">
      <x v="1240"/>
    </i>
    <i r="1">
      <x v="1652"/>
    </i>
    <i r="1">
      <x v="1968"/>
    </i>
    <i>
      <x v="642"/>
    </i>
    <i r="1">
      <x v="1242"/>
    </i>
    <i r="1">
      <x v="1243"/>
    </i>
    <i>
      <x v="643"/>
    </i>
    <i r="1">
      <x v="1252"/>
    </i>
    <i r="1">
      <x v="1827"/>
    </i>
    <i>
      <x v="644"/>
    </i>
    <i r="1">
      <x v="1254"/>
    </i>
    <i r="1">
      <x v="1420"/>
    </i>
    <i r="1">
      <x v="1749"/>
    </i>
    <i>
      <x v="645"/>
    </i>
    <i r="1">
      <x v="1262"/>
    </i>
    <i>
      <x v="646"/>
    </i>
    <i r="1">
      <x v="1266"/>
    </i>
    <i>
      <x v="647"/>
    </i>
    <i r="1">
      <x v="1268"/>
    </i>
    <i>
      <x v="648"/>
    </i>
    <i r="1">
      <x v="1271"/>
    </i>
    <i>
      <x v="649"/>
    </i>
    <i r="1">
      <x v="1276"/>
    </i>
    <i>
      <x v="650"/>
    </i>
    <i r="1">
      <x v="1277"/>
    </i>
    <i>
      <x v="651"/>
    </i>
    <i r="1">
      <x v="1280"/>
    </i>
    <i>
      <x v="652"/>
    </i>
    <i r="1">
      <x v="1281"/>
    </i>
    <i r="1">
      <x v="1287"/>
    </i>
    <i>
      <x v="653"/>
    </i>
    <i r="1">
      <x v="1282"/>
    </i>
    <i>
      <x v="654"/>
    </i>
    <i r="1">
      <x v="1289"/>
    </i>
    <i>
      <x v="655"/>
    </i>
    <i r="1">
      <x v="1290"/>
    </i>
    <i r="1">
      <x v="1511"/>
    </i>
    <i>
      <x v="656"/>
    </i>
    <i r="1">
      <x v="1291"/>
    </i>
    <i>
      <x v="657"/>
    </i>
    <i r="1">
      <x v="1292"/>
    </i>
    <i>
      <x v="658"/>
    </i>
    <i r="1">
      <x v="1294"/>
    </i>
    <i r="1">
      <x v="1295"/>
    </i>
    <i r="1">
      <x v="1531"/>
    </i>
    <i r="1">
      <x v="1572"/>
    </i>
    <i r="1">
      <x v="1995"/>
    </i>
    <i>
      <x v="659"/>
    </i>
    <i r="1">
      <x v="1300"/>
    </i>
    <i>
      <x v="660"/>
    </i>
    <i r="1">
      <x v="1306"/>
    </i>
    <i r="1">
      <x v="1871"/>
    </i>
    <i>
      <x v="661"/>
    </i>
    <i r="1">
      <x v="1309"/>
    </i>
    <i>
      <x v="662"/>
    </i>
    <i r="1">
      <x v="1312"/>
    </i>
    <i>
      <x v="663"/>
    </i>
    <i r="1">
      <x v="1313"/>
    </i>
    <i>
      <x v="664"/>
    </i>
    <i r="1">
      <x v="1314"/>
    </i>
    <i>
      <x v="665"/>
    </i>
    <i r="1">
      <x v="1315"/>
    </i>
    <i r="1">
      <x v="1413"/>
    </i>
    <i r="1">
      <x v="1645"/>
    </i>
    <i r="1">
      <x v="1982"/>
    </i>
    <i>
      <x v="666"/>
    </i>
    <i r="1">
      <x v="1316"/>
    </i>
    <i>
      <x v="667"/>
    </i>
    <i r="1">
      <x v="1319"/>
    </i>
    <i r="1">
      <x v="1320"/>
    </i>
    <i>
      <x v="668"/>
    </i>
    <i r="1">
      <x v="1321"/>
    </i>
    <i>
      <x v="669"/>
    </i>
    <i r="1">
      <x v="1322"/>
    </i>
    <i>
      <x v="670"/>
    </i>
    <i r="1">
      <x v="1325"/>
    </i>
    <i r="1">
      <x v="1617"/>
    </i>
    <i>
      <x v="671"/>
    </i>
    <i r="1">
      <x v="1335"/>
    </i>
    <i>
      <x v="672"/>
    </i>
    <i r="1">
      <x v="1339"/>
    </i>
    <i>
      <x v="673"/>
    </i>
    <i r="1">
      <x v="1343"/>
    </i>
    <i r="1">
      <x v="1344"/>
    </i>
    <i r="1">
      <x v="1345"/>
    </i>
    <i r="1">
      <x v="1628"/>
    </i>
    <i>
      <x v="674"/>
    </i>
    <i r="1">
      <x v="1347"/>
    </i>
    <i>
      <x v="675"/>
    </i>
    <i r="1">
      <x v="1354"/>
    </i>
    <i>
      <x v="676"/>
    </i>
    <i r="1">
      <x v="1358"/>
    </i>
    <i>
      <x v="677"/>
    </i>
    <i r="1">
      <x v="1359"/>
    </i>
    <i>
      <x v="678"/>
    </i>
    <i r="1">
      <x v="1370"/>
    </i>
    <i r="1">
      <x v="1474"/>
    </i>
    <i>
      <x v="679"/>
    </i>
    <i r="1">
      <x v="1375"/>
    </i>
    <i>
      <x v="680"/>
    </i>
    <i r="1">
      <x v="1378"/>
    </i>
    <i>
      <x v="681"/>
    </i>
    <i r="1">
      <x v="1379"/>
    </i>
    <i>
      <x v="682"/>
    </i>
    <i r="1">
      <x v="1395"/>
    </i>
    <i>
      <x v="683"/>
    </i>
    <i r="1">
      <x v="1396"/>
    </i>
    <i>
      <x v="684"/>
    </i>
    <i r="1">
      <x v="1398"/>
    </i>
    <i r="1">
      <x v="1517"/>
    </i>
    <i>
      <x v="685"/>
    </i>
    <i r="1">
      <x v="1399"/>
    </i>
    <i>
      <x v="686"/>
    </i>
    <i r="1">
      <x v="1408"/>
    </i>
    <i>
      <x v="687"/>
    </i>
    <i r="1">
      <x v="1414"/>
    </i>
    <i>
      <x v="688"/>
    </i>
    <i r="1">
      <x v="1419"/>
    </i>
    <i r="1">
      <x v="1891"/>
    </i>
    <i r="1">
      <x v="1895"/>
    </i>
    <i>
      <x v="689"/>
    </i>
    <i r="1">
      <x v="1421"/>
    </i>
    <i>
      <x v="690"/>
    </i>
    <i r="1">
      <x v="1426"/>
    </i>
    <i r="1">
      <x v="1427"/>
    </i>
    <i r="1">
      <x v="1591"/>
    </i>
    <i r="1">
      <x v="1668"/>
    </i>
    <i>
      <x v="691"/>
    </i>
    <i r="1">
      <x v="1428"/>
    </i>
    <i>
      <x v="692"/>
    </i>
    <i r="1">
      <x v="1440"/>
    </i>
    <i>
      <x v="693"/>
    </i>
    <i r="1">
      <x v="1442"/>
    </i>
    <i r="1">
      <x v="1504"/>
    </i>
    <i r="1">
      <x v="1655"/>
    </i>
    <i>
      <x v="694"/>
    </i>
    <i r="1">
      <x v="1444"/>
    </i>
    <i>
      <x v="695"/>
    </i>
    <i r="1">
      <x v="1445"/>
    </i>
    <i>
      <x v="696"/>
    </i>
    <i r="1">
      <x v="1447"/>
    </i>
    <i r="1">
      <x v="1448"/>
    </i>
    <i>
      <x v="697"/>
    </i>
    <i r="1">
      <x v="1451"/>
    </i>
    <i>
      <x v="698"/>
    </i>
    <i r="1">
      <x v="1454"/>
    </i>
    <i>
      <x v="699"/>
    </i>
    <i r="1">
      <x v="1472"/>
    </i>
    <i>
      <x v="700"/>
    </i>
    <i r="1">
      <x v="1455"/>
    </i>
    <i r="1">
      <x v="1456"/>
    </i>
    <i r="1">
      <x v="1462"/>
    </i>
    <i>
      <x v="701"/>
    </i>
    <i r="1">
      <x v="1461"/>
    </i>
    <i>
      <x v="702"/>
    </i>
    <i r="1">
      <x v="1463"/>
    </i>
    <i>
      <x v="703"/>
    </i>
    <i r="1">
      <x v="1468"/>
    </i>
    <i>
      <x v="704"/>
    </i>
    <i r="1">
      <x v="1470"/>
    </i>
    <i r="1">
      <x v="1541"/>
    </i>
    <i r="1">
      <x v="2029"/>
    </i>
    <i r="1">
      <x v="2043"/>
    </i>
    <i>
      <x v="705"/>
    </i>
    <i r="1">
      <x v="1475"/>
    </i>
    <i r="1">
      <x v="1476"/>
    </i>
    <i r="1">
      <x v="1477"/>
    </i>
    <i r="1">
      <x v="1507"/>
    </i>
    <i r="1">
      <x v="1508"/>
    </i>
    <i>
      <x v="706"/>
    </i>
    <i r="1">
      <x v="1479"/>
    </i>
    <i>
      <x v="707"/>
    </i>
    <i r="1">
      <x v="1487"/>
    </i>
    <i>
      <x v="708"/>
    </i>
    <i r="1">
      <x v="1488"/>
    </i>
    <i r="1">
      <x v="2086"/>
    </i>
    <i>
      <x v="709"/>
    </i>
    <i r="1">
      <x v="1489"/>
    </i>
    <i r="1">
      <x v="1905"/>
    </i>
    <i>
      <x v="710"/>
    </i>
    <i r="1">
      <x v="1491"/>
    </i>
    <i>
      <x v="711"/>
    </i>
    <i r="1">
      <x v="1496"/>
    </i>
    <i>
      <x v="712"/>
    </i>
    <i r="1">
      <x v="1505"/>
    </i>
    <i>
      <x v="713"/>
    </i>
    <i r="1">
      <x v="1523"/>
    </i>
    <i r="1">
      <x v="1630"/>
    </i>
    <i r="1">
      <x v="1934"/>
    </i>
    <i>
      <x v="714"/>
    </i>
    <i r="1">
      <x v="1524"/>
    </i>
    <i>
      <x v="715"/>
    </i>
    <i r="1">
      <x v="1526"/>
    </i>
    <i>
      <x v="716"/>
    </i>
    <i r="1">
      <x v="1528"/>
    </i>
    <i>
      <x v="717"/>
    </i>
    <i r="1">
      <x v="1529"/>
    </i>
    <i>
      <x v="718"/>
    </i>
    <i r="1">
      <x v="1533"/>
    </i>
    <i>
      <x v="719"/>
    </i>
    <i r="1">
      <x v="1535"/>
    </i>
    <i>
      <x v="720"/>
    </i>
    <i r="1">
      <x v="1536"/>
    </i>
    <i r="1">
      <x v="1537"/>
    </i>
    <i>
      <x v="721"/>
    </i>
    <i r="1">
      <x v="1540"/>
    </i>
    <i>
      <x v="722"/>
    </i>
    <i r="1">
      <x v="1543"/>
    </i>
    <i r="1">
      <x v="1545"/>
    </i>
    <i>
      <x v="723"/>
    </i>
    <i r="1">
      <x v="1547"/>
    </i>
    <i r="1">
      <x v="1740"/>
    </i>
    <i>
      <x v="724"/>
    </i>
    <i r="1">
      <x v="1548"/>
    </i>
    <i>
      <x v="725"/>
    </i>
    <i r="1">
      <x v="1549"/>
    </i>
    <i>
      <x v="726"/>
    </i>
    <i r="1">
      <x v="1551"/>
    </i>
    <i>
      <x v="727"/>
    </i>
    <i r="1">
      <x v="1552"/>
    </i>
    <i>
      <x v="728"/>
    </i>
    <i r="1">
      <x v="1555"/>
    </i>
    <i>
      <x v="729"/>
    </i>
    <i r="1">
      <x v="1556"/>
    </i>
    <i>
      <x v="730"/>
    </i>
    <i r="1">
      <x v="1559"/>
    </i>
    <i>
      <x v="731"/>
    </i>
    <i r="1">
      <x v="1561"/>
    </i>
    <i>
      <x v="732"/>
    </i>
    <i r="1">
      <x v="1563"/>
    </i>
    <i>
      <x v="733"/>
    </i>
    <i r="1">
      <x v="1574"/>
    </i>
    <i>
      <x v="734"/>
    </i>
    <i r="1">
      <x v="1578"/>
    </i>
    <i r="1">
      <x v="2024"/>
    </i>
    <i>
      <x v="735"/>
    </i>
    <i r="1">
      <x v="1581"/>
    </i>
    <i>
      <x v="736"/>
    </i>
    <i r="1">
      <x v="1582"/>
    </i>
    <i>
      <x v="737"/>
    </i>
    <i r="1">
      <x v="1583"/>
    </i>
    <i>
      <x v="738"/>
    </i>
    <i r="1">
      <x v="1585"/>
    </i>
    <i>
      <x v="739"/>
    </i>
    <i r="1">
      <x v="1586"/>
    </i>
    <i>
      <x v="740"/>
    </i>
    <i r="1">
      <x v="1587"/>
    </i>
    <i>
      <x v="741"/>
    </i>
    <i r="1">
      <x v="1588"/>
    </i>
    <i>
      <x v="742"/>
    </i>
    <i r="1">
      <x v="1590"/>
    </i>
    <i r="1">
      <x v="1627"/>
    </i>
    <i>
      <x v="743"/>
    </i>
    <i r="1">
      <x v="1592"/>
    </i>
    <i r="1">
      <x v="1823"/>
    </i>
    <i>
      <x v="744"/>
    </i>
    <i r="1">
      <x v="1600"/>
    </i>
    <i>
      <x v="745"/>
    </i>
    <i r="1">
      <x v="1603"/>
    </i>
    <i>
      <x v="746"/>
    </i>
    <i r="1">
      <x v="1604"/>
    </i>
    <i>
      <x v="747"/>
    </i>
    <i r="1">
      <x v="1606"/>
    </i>
    <i r="1">
      <x v="1607"/>
    </i>
    <i r="1">
      <x v="1836"/>
    </i>
    <i>
      <x v="748"/>
    </i>
    <i r="1">
      <x v="1608"/>
    </i>
    <i r="1">
      <x v="1964"/>
    </i>
    <i>
      <x v="749"/>
    </i>
    <i r="1">
      <x v="1609"/>
    </i>
    <i r="1">
      <x v="2073"/>
    </i>
    <i>
      <x v="750"/>
    </i>
    <i r="1">
      <x v="1611"/>
    </i>
    <i>
      <x v="751"/>
    </i>
    <i r="1">
      <x v="1618"/>
    </i>
    <i>
      <x v="752"/>
    </i>
    <i r="1">
      <x v="1624"/>
    </i>
    <i r="1">
      <x v="1855"/>
    </i>
    <i>
      <x v="753"/>
    </i>
    <i r="1">
      <x v="1629"/>
    </i>
    <i r="1">
      <x v="1909"/>
    </i>
    <i r="1">
      <x v="2061"/>
    </i>
    <i>
      <x v="754"/>
    </i>
    <i r="1">
      <x v="1631"/>
    </i>
    <i>
      <x v="755"/>
    </i>
    <i r="1">
      <x v="1633"/>
    </i>
    <i>
      <x v="756"/>
    </i>
    <i r="1">
      <x v="1635"/>
    </i>
    <i>
      <x v="757"/>
    </i>
    <i r="1">
      <x v="1637"/>
    </i>
    <i>
      <x v="758"/>
    </i>
    <i r="1">
      <x v="1639"/>
    </i>
    <i>
      <x v="759"/>
    </i>
    <i r="1">
      <x v="1640"/>
    </i>
    <i>
      <x v="760"/>
    </i>
    <i r="1">
      <x v="1648"/>
    </i>
    <i>
      <x v="761"/>
    </i>
    <i r="1">
      <x v="1657"/>
    </i>
    <i>
      <x v="762"/>
    </i>
    <i r="1">
      <x v="1659"/>
    </i>
    <i r="1">
      <x v="1861"/>
    </i>
    <i>
      <x v="763"/>
    </i>
    <i r="1">
      <x v="1660"/>
    </i>
    <i>
      <x v="764"/>
    </i>
    <i r="1">
      <x v="1661"/>
    </i>
    <i>
      <x v="765"/>
    </i>
    <i r="1">
      <x v="1663"/>
    </i>
    <i>
      <x v="766"/>
    </i>
    <i r="1">
      <x v="1675"/>
    </i>
    <i>
      <x v="767"/>
    </i>
    <i r="1">
      <x v="1677"/>
    </i>
    <i>
      <x v="768"/>
    </i>
    <i r="1">
      <x v="1680"/>
    </i>
    <i>
      <x v="769"/>
    </i>
    <i r="1">
      <x v="1683"/>
    </i>
    <i>
      <x v="770"/>
    </i>
    <i r="1">
      <x v="1692"/>
    </i>
    <i>
      <x v="771"/>
    </i>
    <i r="1">
      <x v="1696"/>
    </i>
    <i>
      <x v="772"/>
    </i>
    <i r="1">
      <x v="1706"/>
    </i>
    <i>
      <x v="773"/>
    </i>
    <i r="1">
      <x v="1707"/>
    </i>
    <i>
      <x v="774"/>
    </i>
    <i r="1">
      <x v="1713"/>
    </i>
    <i>
      <x v="775"/>
    </i>
    <i r="1">
      <x v="1714"/>
    </i>
    <i r="1">
      <x v="1715"/>
    </i>
    <i r="1">
      <x v="1716"/>
    </i>
    <i r="1">
      <x v="1731"/>
    </i>
    <i>
      <x v="776"/>
    </i>
    <i r="1">
      <x v="1717"/>
    </i>
    <i>
      <x v="777"/>
    </i>
    <i r="1">
      <x v="1718"/>
    </i>
    <i>
      <x v="778"/>
    </i>
    <i r="1">
      <x v="1719"/>
    </i>
    <i>
      <x v="779"/>
    </i>
    <i r="1">
      <x v="1720"/>
    </i>
    <i>
      <x v="780"/>
    </i>
    <i r="1">
      <x v="1721"/>
    </i>
    <i>
      <x v="781"/>
    </i>
    <i r="1">
      <x v="1725"/>
    </i>
    <i>
      <x v="782"/>
    </i>
    <i r="1">
      <x v="1726"/>
    </i>
    <i>
      <x v="783"/>
    </i>
    <i r="1">
      <x v="1728"/>
    </i>
    <i>
      <x v="784"/>
    </i>
    <i r="1">
      <x v="1729"/>
    </i>
    <i>
      <x v="785"/>
    </i>
    <i r="1">
      <x v="1746"/>
    </i>
    <i r="1">
      <x v="1747"/>
    </i>
    <i>
      <x v="786"/>
    </i>
    <i r="1">
      <x v="1748"/>
    </i>
    <i>
      <x v="787"/>
    </i>
    <i r="1">
      <x v="1750"/>
    </i>
    <i>
      <x v="788"/>
    </i>
    <i r="1">
      <x v="1751"/>
    </i>
    <i>
      <x v="789"/>
    </i>
    <i r="1">
      <x v="1752"/>
    </i>
    <i>
      <x v="790"/>
    </i>
    <i r="1">
      <x v="1753"/>
    </i>
    <i>
      <x v="791"/>
    </i>
    <i r="1">
      <x v="1754"/>
    </i>
    <i>
      <x v="792"/>
    </i>
    <i r="1">
      <x v="1756"/>
    </i>
    <i>
      <x v="793"/>
    </i>
    <i r="1">
      <x v="1757"/>
    </i>
    <i>
      <x v="794"/>
    </i>
    <i r="1">
      <x v="1763"/>
    </i>
    <i>
      <x v="795"/>
    </i>
    <i r="1">
      <x v="1765"/>
    </i>
    <i r="1">
      <x v="1816"/>
    </i>
    <i>
      <x v="796"/>
    </i>
    <i r="1">
      <x v="1783"/>
    </i>
    <i r="1">
      <x v="1784"/>
    </i>
    <i>
      <x v="797"/>
    </i>
    <i r="1">
      <x v="1785"/>
    </i>
    <i>
      <x v="798"/>
    </i>
    <i r="1">
      <x v="1790"/>
    </i>
    <i>
      <x v="799"/>
    </i>
    <i r="1">
      <x v="1792"/>
    </i>
    <i>
      <x v="800"/>
    </i>
    <i r="1">
      <x v="1797"/>
    </i>
    <i>
      <x v="801"/>
    </i>
    <i r="1">
      <x v="1798"/>
    </i>
    <i>
      <x v="802"/>
    </i>
    <i r="1">
      <x v="1800"/>
    </i>
    <i>
      <x v="803"/>
    </i>
    <i r="1">
      <x v="1807"/>
    </i>
    <i>
      <x v="804"/>
    </i>
    <i r="1">
      <x v="1809"/>
    </i>
    <i>
      <x v="805"/>
    </i>
    <i r="1">
      <x v="1815"/>
    </i>
    <i>
      <x v="806"/>
    </i>
    <i r="1">
      <x v="1828"/>
    </i>
    <i>
      <x v="807"/>
    </i>
    <i r="1">
      <x v="1833"/>
    </i>
    <i r="1">
      <x v="2009"/>
    </i>
    <i r="1">
      <x v="2015"/>
    </i>
    <i>
      <x v="808"/>
    </i>
    <i r="1">
      <x v="1834"/>
    </i>
    <i>
      <x v="809"/>
    </i>
    <i r="1">
      <x v="1835"/>
    </i>
    <i>
      <x v="810"/>
    </i>
    <i r="1">
      <x v="1844"/>
    </i>
    <i>
      <x v="811"/>
    </i>
    <i r="1">
      <x v="1846"/>
    </i>
    <i r="1">
      <x v="1957"/>
    </i>
    <i>
      <x v="812"/>
    </i>
    <i r="1">
      <x v="1848"/>
    </i>
    <i>
      <x v="813"/>
    </i>
    <i r="1">
      <x v="1852"/>
    </i>
    <i>
      <x v="814"/>
    </i>
    <i r="1">
      <x v="1853"/>
    </i>
    <i>
      <x v="815"/>
    </i>
    <i r="1">
      <x v="1859"/>
    </i>
    <i>
      <x v="816"/>
    </i>
    <i r="1">
      <x v="1862"/>
    </i>
    <i>
      <x v="817"/>
    </i>
    <i r="1">
      <x v="1873"/>
    </i>
    <i r="1">
      <x v="1906"/>
    </i>
    <i r="1">
      <x v="1930"/>
    </i>
    <i r="1">
      <x v="1966"/>
    </i>
    <i r="1">
      <x v="1967"/>
    </i>
    <i r="1">
      <x v="1991"/>
    </i>
    <i>
      <x v="818"/>
    </i>
    <i r="1">
      <x v="1874"/>
    </i>
    <i>
      <x v="819"/>
    </i>
    <i r="1">
      <x v="1880"/>
    </i>
    <i>
      <x v="820"/>
    </i>
    <i r="1">
      <x v="1897"/>
    </i>
    <i r="1">
      <x v="1898"/>
    </i>
    <i>
      <x v="821"/>
    </i>
    <i r="1">
      <x v="1912"/>
    </i>
    <i>
      <x v="822"/>
    </i>
    <i r="1">
      <x v="1913"/>
    </i>
    <i>
      <x v="823"/>
    </i>
    <i r="1">
      <x v="1914"/>
    </i>
    <i>
      <x v="824"/>
    </i>
    <i r="1">
      <x v="1917"/>
    </i>
    <i>
      <x v="825"/>
    </i>
    <i r="1">
      <x v="1922"/>
    </i>
    <i>
      <x v="826"/>
    </i>
    <i r="1">
      <x v="1924"/>
    </i>
    <i r="1">
      <x v="1926"/>
    </i>
    <i>
      <x v="827"/>
    </i>
    <i r="1">
      <x v="1927"/>
    </i>
    <i>
      <x v="828"/>
    </i>
    <i r="1">
      <x v="1929"/>
    </i>
    <i>
      <x v="829"/>
    </i>
    <i r="1">
      <x v="1931"/>
    </i>
    <i r="1">
      <x v="2027"/>
    </i>
    <i>
      <x v="830"/>
    </i>
    <i r="1">
      <x v="1937"/>
    </i>
    <i r="1">
      <x v="1938"/>
    </i>
    <i>
      <x v="831"/>
    </i>
    <i r="1">
      <x v="1954"/>
    </i>
    <i r="1">
      <x v="2059"/>
    </i>
    <i>
      <x v="832"/>
    </i>
    <i r="1">
      <x v="1963"/>
    </i>
    <i>
      <x v="833"/>
    </i>
    <i r="1">
      <x v="1971"/>
    </i>
    <i r="1">
      <x v="1972"/>
    </i>
    <i r="1">
      <x v="1973"/>
    </i>
    <i>
      <x v="834"/>
    </i>
    <i r="1">
      <x v="1975"/>
    </i>
    <i>
      <x v="835"/>
    </i>
    <i r="1">
      <x v="1979"/>
    </i>
    <i>
      <x v="836"/>
    </i>
    <i r="1">
      <x v="1980"/>
    </i>
    <i>
      <x v="837"/>
    </i>
    <i r="1">
      <x v="1981"/>
    </i>
    <i>
      <x v="838"/>
    </i>
    <i r="1">
      <x v="1983"/>
    </i>
    <i>
      <x v="839"/>
    </i>
    <i r="1">
      <x v="1985"/>
    </i>
    <i>
      <x v="840"/>
    </i>
    <i r="1">
      <x v="1987"/>
    </i>
    <i>
      <x v="841"/>
    </i>
    <i r="1">
      <x v="1988"/>
    </i>
    <i>
      <x v="842"/>
    </i>
    <i r="1">
      <x v="1992"/>
    </i>
    <i>
      <x v="843"/>
    </i>
    <i r="1">
      <x v="1993"/>
    </i>
    <i>
      <x v="844"/>
    </i>
    <i r="1">
      <x v="2002"/>
    </i>
    <i>
      <x v="845"/>
    </i>
    <i r="1">
      <x v="2005"/>
    </i>
    <i>
      <x v="846"/>
    </i>
    <i r="1">
      <x v="2006"/>
    </i>
    <i>
      <x v="847"/>
    </i>
    <i r="1">
      <x v="2008"/>
    </i>
    <i>
      <x v="848"/>
    </i>
    <i r="1">
      <x v="2010"/>
    </i>
    <i>
      <x v="849"/>
    </i>
    <i r="1">
      <x v="2012"/>
    </i>
    <i>
      <x v="850"/>
    </i>
    <i r="1">
      <x v="2016"/>
    </i>
    <i>
      <x v="851"/>
    </i>
    <i r="1">
      <x v="2017"/>
    </i>
    <i>
      <x v="852"/>
    </i>
    <i r="1">
      <x v="2019"/>
    </i>
    <i>
      <x v="853"/>
    </i>
    <i r="1">
      <x v="2020"/>
    </i>
    <i>
      <x v="854"/>
    </i>
    <i r="1">
      <x v="2022"/>
    </i>
    <i>
      <x v="855"/>
    </i>
    <i r="1">
      <x v="2025"/>
    </i>
    <i>
      <x v="856"/>
    </i>
    <i r="1">
      <x v="2031"/>
    </i>
    <i>
      <x v="857"/>
    </i>
    <i r="1">
      <x v="2032"/>
    </i>
    <i>
      <x v="858"/>
    </i>
    <i r="1">
      <x v="2035"/>
    </i>
    <i r="1">
      <x v="2036"/>
    </i>
    <i r="1">
      <x v="2076"/>
    </i>
    <i>
      <x v="859"/>
    </i>
    <i r="1">
      <x v="2039"/>
    </i>
    <i>
      <x v="860"/>
    </i>
    <i r="1">
      <x v="2040"/>
    </i>
    <i>
      <x v="861"/>
    </i>
    <i r="1">
      <x v="2041"/>
    </i>
    <i>
      <x v="867"/>
    </i>
    <i r="1">
      <x v="2047"/>
    </i>
    <i>
      <x v="868"/>
    </i>
    <i r="1">
      <x v="2057"/>
    </i>
    <i>
      <x v="869"/>
    </i>
    <i r="1">
      <x v="2058"/>
    </i>
    <i r="1">
      <x v="2083"/>
    </i>
    <i>
      <x v="870"/>
    </i>
    <i r="1">
      <x v="2063"/>
    </i>
    <i>
      <x v="871"/>
    </i>
    <i r="1">
      <x v="2066"/>
    </i>
    <i>
      <x v="872"/>
    </i>
    <i r="1">
      <x v="2068"/>
    </i>
    <i>
      <x v="873"/>
    </i>
    <i r="1">
      <x v="2070"/>
    </i>
    <i>
      <x v="874"/>
    </i>
    <i r="1">
      <x v="2079"/>
    </i>
    <i>
      <x v="875"/>
    </i>
    <i r="1">
      <x v="2085"/>
    </i>
    <i>
      <x v="876"/>
    </i>
    <i r="1">
      <x v="2088"/>
    </i>
    <i>
      <x v="877"/>
    </i>
    <i r="1">
      <x v="2091"/>
    </i>
    <i>
      <x v="878"/>
    </i>
    <i r="1">
      <x v="2092"/>
    </i>
    <i>
      <x v="879"/>
    </i>
    <i r="1">
      <x v="2094"/>
    </i>
    <i>
      <x v="880"/>
    </i>
    <i r="1">
      <x v="2096"/>
    </i>
    <i>
      <x v="881"/>
    </i>
    <i r="1">
      <x v="2097"/>
    </i>
    <i t="grand">
      <x/>
    </i>
  </rowItems>
  <colFields count="1">
    <field x="-2"/>
  </colFields>
  <colItems count="2">
    <i>
      <x/>
    </i>
    <i i="1">
      <x v="1"/>
    </i>
  </colItems>
  <pageFields count="1">
    <pageField fld="20" hier="-1"/>
  </pageFields>
  <dataFields count="2">
    <dataField name="Cuenta de RECHAZADA" fld="20" subtotal="count" baseField="0" baseItem="0"/>
    <dataField name="Suma de Total" fld="14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096F0E-D69C-424E-B597-B91EC888DA9E}" name="Tabla dinámica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1583" firstHeaderRow="0" firstDataRow="1" firstDataCol="1" rowPageCount="1" colPageCount="1"/>
  <pivotFields count="24">
    <pivotField showAll="0"/>
    <pivotField showAll="0"/>
    <pivotField axis="axisRow" showAll="0">
      <items count="2100"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5"/>
        <item m="1" x="1846"/>
        <item m="1" x="1847"/>
        <item m="1" x="1848"/>
        <item m="1" x="1850"/>
        <item m="1" x="1851"/>
        <item m="1" x="1852"/>
        <item m="1" x="1853"/>
        <item m="1" x="1854"/>
        <item m="1" x="1855"/>
        <item m="1" x="1856"/>
        <item m="1" x="1857"/>
        <item m="1" x="1858"/>
        <item m="1" x="1859"/>
        <item m="1" x="1860"/>
        <item m="1" x="1861"/>
        <item m="1" x="1862"/>
        <item m="1" x="1863"/>
        <item m="1" x="1864"/>
        <item m="1" x="1865"/>
        <item m="1" x="1866"/>
        <item m="1" x="1867"/>
        <item m="1" x="1868"/>
        <item m="1" x="1869"/>
        <item m="1" x="1870"/>
        <item m="1" x="1871"/>
        <item m="1" x="1872"/>
        <item m="1" x="1873"/>
        <item m="1" x="1874"/>
        <item m="1" x="1875"/>
        <item m="1" x="1876"/>
        <item m="1" x="1877"/>
        <item m="1" x="1878"/>
        <item m="1" x="1879"/>
        <item m="1" x="1880"/>
        <item m="1" x="1881"/>
        <item m="1" x="1882"/>
        <item m="1" x="1883"/>
        <item m="1" x="1884"/>
        <item m="1" x="1885"/>
        <item m="1" x="1886"/>
        <item m="1" x="1887"/>
        <item m="1" x="1888"/>
        <item m="1" x="1889"/>
        <item m="1" x="1890"/>
        <item m="1" x="1891"/>
        <item m="1" x="1892"/>
        <item m="1" x="1893"/>
        <item m="1" x="1894"/>
        <item m="1" x="1895"/>
        <item m="1" x="1896"/>
        <item m="1" x="1897"/>
        <item m="1" x="1898"/>
        <item m="1" x="1899"/>
        <item m="1" x="1900"/>
        <item m="1" x="1901"/>
        <item m="1" x="1902"/>
        <item m="1" x="1903"/>
        <item m="1" x="1904"/>
        <item m="1" x="1905"/>
        <item m="1" x="1906"/>
        <item m="1" x="1907"/>
        <item m="1" x="1908"/>
        <item m="1" x="1909"/>
        <item m="1" x="1910"/>
        <item m="1" x="1911"/>
        <item m="1" x="1912"/>
        <item m="1" x="1913"/>
        <item m="1" x="1914"/>
        <item m="1" x="1915"/>
        <item m="1" x="1916"/>
        <item m="1" x="1917"/>
        <item m="1" x="1918"/>
        <item m="1" x="1919"/>
        <item m="1" x="1920"/>
        <item m="1" x="1921"/>
        <item m="1" x="1922"/>
        <item m="1" x="1923"/>
        <item m="1" x="1924"/>
        <item m="1" x="1925"/>
        <item m="1" x="1926"/>
        <item m="1" x="1927"/>
        <item m="1" x="1928"/>
        <item m="1" x="1929"/>
        <item m="1" x="1930"/>
        <item m="1" x="1931"/>
        <item m="1" x="1932"/>
        <item m="1" x="1933"/>
        <item m="1" x="1934"/>
        <item m="1" x="1935"/>
        <item m="1" x="1936"/>
        <item m="1" x="1937"/>
        <item m="1" x="1938"/>
        <item m="1" x="1939"/>
        <item m="1" x="1940"/>
        <item m="1" x="1941"/>
        <item m="1" x="1942"/>
        <item m="1" x="1943"/>
        <item m="1" x="1944"/>
        <item m="1" x="1945"/>
        <item m="1" x="1946"/>
        <item m="1" x="194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1958"/>
        <item m="1" x="1959"/>
        <item m="1" x="1960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75"/>
        <item m="1" x="1976"/>
        <item m="1" x="1977"/>
        <item m="1" x="1978"/>
        <item m="1" x="1979"/>
        <item m="1" x="1980"/>
        <item m="1" x="1981"/>
        <item m="1" x="1982"/>
        <item m="1" x="1983"/>
        <item m="1" x="1984"/>
        <item m="1" x="1985"/>
        <item m="1" x="1986"/>
        <item m="1" x="1987"/>
        <item m="1" x="1988"/>
        <item m="1" x="1989"/>
        <item m="1" x="1990"/>
        <item m="1" x="1991"/>
        <item m="1" x="1992"/>
        <item m="1" x="1993"/>
        <item m="1" x="1994"/>
        <item m="1" x="1995"/>
        <item m="1" x="1996"/>
        <item m="1" x="1997"/>
        <item m="1" x="1998"/>
        <item m="1" x="1999"/>
        <item m="1" x="2000"/>
        <item m="1" x="2001"/>
        <item m="1" x="2002"/>
        <item m="1" x="2003"/>
        <item m="1" x="2004"/>
        <item m="1" x="2005"/>
        <item m="1" x="2006"/>
        <item m="1" x="2007"/>
        <item m="1" x="2008"/>
        <item m="1" x="2009"/>
        <item m="1" x="2010"/>
        <item m="1" x="2011"/>
        <item m="1" x="2012"/>
        <item m="1" x="2013"/>
        <item m="1" x="2014"/>
        <item m="1" x="2015"/>
        <item m="1" x="2016"/>
        <item m="1" x="2017"/>
        <item m="1" x="2018"/>
        <item m="1" x="2019"/>
        <item m="1" x="2020"/>
        <item m="1" x="2021"/>
        <item m="1" x="2022"/>
        <item m="1" x="2023"/>
        <item m="1" x="2024"/>
        <item m="1" x="2025"/>
        <item m="1" x="2026"/>
        <item m="1" x="2027"/>
        <item m="1" x="2028"/>
        <item m="1" x="2029"/>
        <item m="1" x="2030"/>
        <item m="1" x="2031"/>
        <item m="1" x="2032"/>
        <item m="1" x="2033"/>
        <item m="1" x="2034"/>
        <item m="1" x="2035"/>
        <item m="1" x="2036"/>
        <item m="1" x="2037"/>
        <item m="1" x="2038"/>
        <item m="1" x="2039"/>
        <item m="1" x="2040"/>
        <item m="1" x="2041"/>
        <item m="1" x="2042"/>
        <item m="1" x="2043"/>
        <item m="1" x="2044"/>
        <item m="1" x="2045"/>
        <item m="1" x="2046"/>
        <item m="1" x="2047"/>
        <item m="1" x="2048"/>
        <item m="1" x="2049"/>
        <item m="1" x="2050"/>
        <item m="1" x="2051"/>
        <item m="1" x="2052"/>
        <item m="1" x="2053"/>
        <item m="1" x="2054"/>
        <item m="1" x="2055"/>
        <item m="1" x="2056"/>
        <item m="1" x="2057"/>
        <item m="1" x="205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88"/>
        <item m="1" x="2089"/>
        <item m="1" x="2090"/>
        <item m="1" x="2091"/>
        <item m="1" x="2092"/>
        <item m="1" x="2093"/>
        <item m="1" x="2094"/>
        <item m="1" x="2095"/>
        <item m="1" x="2096"/>
        <item m="1" x="2097"/>
        <item m="1" x="2098"/>
        <item m="1" x="1849"/>
        <item m="1" x="103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3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4"/>
        <item x="60"/>
        <item x="61"/>
        <item x="62"/>
        <item x="63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5"/>
        <item x="106"/>
        <item x="107"/>
        <item x="108"/>
        <item x="109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3"/>
        <item x="164"/>
        <item x="165"/>
        <item x="166"/>
        <item x="167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162"/>
        <item x="168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397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533"/>
        <item x="573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679"/>
        <item x="730"/>
        <item x="731"/>
        <item x="32"/>
        <item x="34"/>
        <item x="85"/>
        <item x="104"/>
        <item x="110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136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38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883">
        <item x="110"/>
        <item m="1" x="648"/>
        <item m="1" x="810"/>
        <item x="376"/>
        <item x="270"/>
        <item m="1" x="878"/>
        <item m="1" x="877"/>
        <item m="1" x="785"/>
        <item x="193"/>
        <item x="192"/>
        <item x="226"/>
        <item m="1" x="644"/>
        <item x="431"/>
        <item x="364"/>
        <item m="1" x="821"/>
        <item m="1" x="804"/>
        <item m="1" x="703"/>
        <item x="206"/>
        <item m="1" x="588"/>
        <item x="530"/>
        <item m="1" x="767"/>
        <item x="533"/>
        <item m="1" x="555"/>
        <item x="483"/>
        <item x="532"/>
        <item m="1" x="562"/>
        <item m="1" x="672"/>
        <item m="1" x="693"/>
        <item m="1" x="853"/>
        <item m="1" x="664"/>
        <item m="1" x="797"/>
        <item m="1" x="711"/>
        <item m="1" x="592"/>
        <item x="435"/>
        <item m="1" x="689"/>
        <item m="1" x="584"/>
        <item x="234"/>
        <item x="367"/>
        <item x="426"/>
        <item m="1" x="848"/>
        <item m="1" x="795"/>
        <item m="1" x="638"/>
        <item m="1" x="640"/>
        <item m="1" x="771"/>
        <item m="1" x="857"/>
        <item x="369"/>
        <item m="1" x="762"/>
        <item x="18"/>
        <item m="1" x="646"/>
        <item m="1" x="759"/>
        <item m="1" x="867"/>
        <item m="1" x="578"/>
        <item m="1" x="571"/>
        <item x="146"/>
        <item m="1" x="681"/>
        <item m="1" x="860"/>
        <item x="405"/>
        <item m="1" x="861"/>
        <item m="1" x="569"/>
        <item m="1" x="697"/>
        <item x="393"/>
        <item m="1" x="601"/>
        <item x="231"/>
        <item m="1" x="772"/>
        <item m="1" x="706"/>
        <item m="1" x="796"/>
        <item x="248"/>
        <item m="1" x="685"/>
        <item m="1" x="749"/>
        <item m="1" x="738"/>
        <item m="1" x="718"/>
        <item x="540"/>
        <item x="70"/>
        <item x="47"/>
        <item m="1" x="793"/>
        <item x="336"/>
        <item m="1" x="850"/>
        <item m="1" x="843"/>
        <item x="252"/>
        <item m="1" x="586"/>
        <item x="537"/>
        <item x="58"/>
        <item x="513"/>
        <item x="41"/>
        <item m="1" x="835"/>
        <item m="1" x="717"/>
        <item x="187"/>
        <item x="24"/>
        <item x="66"/>
        <item m="1" x="600"/>
        <item m="1" x="829"/>
        <item m="1" x="815"/>
        <item m="1" x="643"/>
        <item x="258"/>
        <item x="205"/>
        <item x="277"/>
        <item x="208"/>
        <item m="1" x="677"/>
        <item m="1" x="559"/>
        <item m="1" x="577"/>
        <item m="1" x="692"/>
        <item m="1" x="637"/>
        <item x="495"/>
        <item m="1" x="582"/>
        <item m="1" x="837"/>
        <item m="1" x="650"/>
        <item m="1" x="783"/>
        <item m="1" x="833"/>
        <item m="1" x="610"/>
        <item x="14"/>
        <item x="160"/>
        <item m="1" x="823"/>
        <item x="300"/>
        <item x="464"/>
        <item x="88"/>
        <item m="1" x="854"/>
        <item m="1" x="570"/>
        <item x="6"/>
        <item x="102"/>
        <item x="419"/>
        <item m="1" x="740"/>
        <item m="1" x="830"/>
        <item x="373"/>
        <item x="220"/>
        <item x="374"/>
        <item m="1" x="589"/>
        <item x="291"/>
        <item m="1" x="756"/>
        <item m="1" x="673"/>
        <item x="229"/>
        <item x="390"/>
        <item x="375"/>
        <item x="131"/>
        <item m="1" x="789"/>
        <item x="36"/>
        <item m="1" x="652"/>
        <item x="8"/>
        <item m="1" x="715"/>
        <item m="1" x="659"/>
        <item m="1" x="858"/>
        <item m="1" x="671"/>
        <item m="1" x="831"/>
        <item x="219"/>
        <item m="1" x="832"/>
        <item m="1" x="825"/>
        <item x="433"/>
        <item m="1" x="708"/>
        <item m="1" x="765"/>
        <item m="1" x="666"/>
        <item m="1" x="801"/>
        <item m="1" x="782"/>
        <item m="1" x="847"/>
        <item m="1" x="845"/>
        <item m="1" x="773"/>
        <item x="297"/>
        <item m="1" x="725"/>
        <item m="1" x="859"/>
        <item x="429"/>
        <item m="1" x="726"/>
        <item m="1" x="607"/>
        <item m="1" x="561"/>
        <item m="1" x="800"/>
        <item x="180"/>
        <item x="356"/>
        <item x="366"/>
        <item x="456"/>
        <item x="176"/>
        <item x="182"/>
        <item m="1" x="720"/>
        <item x="254"/>
        <item x="421"/>
        <item m="1" x="842"/>
        <item x="54"/>
        <item x="406"/>
        <item m="1" x="747"/>
        <item x="325"/>
        <item x="313"/>
        <item x="138"/>
        <item m="1" x="663"/>
        <item m="1" x="777"/>
        <item m="1" x="606"/>
        <item m="1" x="572"/>
        <item x="460"/>
        <item x="197"/>
        <item x="221"/>
        <item m="1" x="683"/>
        <item x="22"/>
        <item m="1" x="784"/>
        <item m="1" x="727"/>
        <item m="1" x="594"/>
        <item m="1" x="667"/>
        <item x="53"/>
        <item m="1" x="788"/>
        <item m="1" x="812"/>
        <item m="1" x="729"/>
        <item x="2"/>
        <item x="82"/>
        <item x="224"/>
        <item x="159"/>
        <item m="1" x="563"/>
        <item m="1" x="564"/>
        <item x="260"/>
        <item m="1" x="612"/>
        <item m="1" x="690"/>
        <item m="1" x="719"/>
        <item x="59"/>
        <item m="1" x="614"/>
        <item x="454"/>
        <item m="1" x="879"/>
        <item m="1" x="739"/>
        <item x="185"/>
        <item m="1" x="779"/>
        <item x="34"/>
        <item m="1" x="744"/>
        <item m="1" x="716"/>
        <item x="371"/>
        <item m="1" x="694"/>
        <item m="1" x="712"/>
        <item x="4"/>
        <item x="3"/>
        <item m="1" x="866"/>
        <item m="1" x="802"/>
        <item m="1" x="682"/>
        <item m="1" x="573"/>
        <item m="1" x="709"/>
        <item m="1" x="865"/>
        <item m="1" x="733"/>
        <item m="1" x="633"/>
        <item m="1" x="846"/>
        <item m="1" x="626"/>
        <item x="362"/>
        <item x="447"/>
        <item m="1" x="629"/>
        <item x="153"/>
        <item m="1" x="631"/>
        <item x="64"/>
        <item x="310"/>
        <item x="157"/>
        <item m="1" x="809"/>
        <item x="189"/>
        <item m="1" x="700"/>
        <item x="288"/>
        <item x="261"/>
        <item x="202"/>
        <item x="497"/>
        <item m="1" x="863"/>
        <item m="1" x="707"/>
        <item m="1" x="660"/>
        <item x="178"/>
        <item x="380"/>
        <item x="81"/>
        <item m="1" x="748"/>
        <item x="107"/>
        <item x="162"/>
        <item x="275"/>
        <item m="1" x="695"/>
        <item m="1" x="732"/>
        <item m="1" x="684"/>
        <item m="1" x="653"/>
        <item m="1" x="862"/>
        <item m="1" x="696"/>
        <item x="307"/>
        <item x="218"/>
        <item m="1" x="735"/>
        <item m="1" x="844"/>
        <item x="510"/>
        <item m="1" x="776"/>
        <item x="174"/>
        <item m="1" x="668"/>
        <item m="1" x="849"/>
        <item x="50"/>
        <item x="337"/>
        <item x="196"/>
        <item m="1" x="870"/>
        <item m="1" x="761"/>
        <item m="1" x="619"/>
        <item m="1" x="645"/>
        <item x="347"/>
        <item m="1" x="591"/>
        <item x="457"/>
        <item x="90"/>
        <item x="477"/>
        <item x="327"/>
        <item x="283"/>
        <item m="1" x="611"/>
        <item x="293"/>
        <item x="127"/>
        <item m="1" x="628"/>
        <item x="32"/>
        <item m="1" x="824"/>
        <item m="1" x="551"/>
        <item m="1" x="603"/>
        <item m="1" x="565"/>
        <item m="1" x="787"/>
        <item x="212"/>
        <item m="1" x="790"/>
        <item m="1" x="593"/>
        <item m="1" x="574"/>
        <item m="1" x="636"/>
        <item x="141"/>
        <item x="77"/>
        <item x="114"/>
        <item x="184"/>
        <item x="285"/>
        <item x="444"/>
        <item m="1" x="868"/>
        <item m="1" x="826"/>
        <item m="1" x="751"/>
        <item m="1" x="792"/>
        <item x="225"/>
        <item x="334"/>
        <item x="203"/>
        <item x="379"/>
        <item x="125"/>
        <item x="155"/>
        <item x="145"/>
        <item m="1" x="662"/>
        <item x="417"/>
        <item x="490"/>
        <item m="1" x="599"/>
        <item m="1" x="757"/>
        <item x="85"/>
        <item m="1" x="641"/>
        <item m="1" x="734"/>
        <item m="1" x="803"/>
        <item m="1" x="752"/>
        <item x="480"/>
        <item m="1" x="632"/>
        <item m="1" x="828"/>
        <item x="99"/>
        <item x="129"/>
        <item m="1" x="621"/>
        <item m="1" x="872"/>
        <item x="243"/>
        <item m="1" x="702"/>
        <item m="1" x="807"/>
        <item x="428"/>
        <item x="105"/>
        <item m="1" x="808"/>
        <item m="1" x="799"/>
        <item x="194"/>
        <item m="1" x="657"/>
        <item x="207"/>
        <item x="100"/>
        <item m="1" x="605"/>
        <item m="1" x="661"/>
        <item x="395"/>
        <item m="1" x="595"/>
        <item x="449"/>
        <item m="1" x="873"/>
        <item m="1" x="745"/>
        <item x="289"/>
        <item x="20"/>
        <item x="500"/>
        <item m="1" x="622"/>
        <item m="1" x="875"/>
        <item x="242"/>
        <item x="5"/>
        <item m="1" x="838"/>
        <item m="1" x="713"/>
        <item x="65"/>
        <item x="62"/>
        <item m="1" x="618"/>
        <item x="91"/>
        <item x="274"/>
        <item x="488"/>
        <item x="74"/>
        <item m="1" x="608"/>
        <item m="1" x="814"/>
        <item m="1" x="624"/>
        <item m="1" x="674"/>
        <item x="308"/>
        <item m="1" x="581"/>
        <item x="247"/>
        <item m="1" x="794"/>
        <item m="1" x="817"/>
        <item m="1" x="557"/>
        <item x="476"/>
        <item x="204"/>
        <item m="1" x="597"/>
        <item m="1" x="791"/>
        <item m="1" x="880"/>
        <item m="1" x="728"/>
        <item m="1" x="820"/>
        <item m="1" x="701"/>
        <item m="1" x="670"/>
        <item m="1" x="699"/>
        <item x="148"/>
        <item x="443"/>
        <item m="1" x="764"/>
        <item m="1" x="836"/>
        <item x="394"/>
        <item m="1" x="553"/>
        <item m="1" x="710"/>
        <item x="209"/>
        <item x="126"/>
        <item m="1" x="763"/>
        <item m="1" x="665"/>
        <item m="1" x="769"/>
        <item m="1" x="580"/>
        <item m="1" x="642"/>
        <item m="1" x="737"/>
        <item m="1" x="698"/>
        <item m="1" x="743"/>
        <item m="1" x="768"/>
        <item x="515"/>
        <item x="368"/>
        <item m="1" x="560"/>
        <item m="1" x="656"/>
        <item x="268"/>
        <item x="535"/>
        <item x="276"/>
        <item x="430"/>
        <item m="1" x="596"/>
        <item x="75"/>
        <item m="1" x="617"/>
        <item m="1" x="675"/>
        <item m="1" x="651"/>
        <item m="1" x="876"/>
        <item x="30"/>
        <item x="123"/>
        <item m="1" x="691"/>
        <item m="1" x="598"/>
        <item x="413"/>
        <item x="211"/>
        <item x="410"/>
        <item m="1" x="731"/>
        <item m="1" x="840"/>
        <item m="1" x="649"/>
        <item x="266"/>
        <item m="1" x="746"/>
        <item m="1" x="813"/>
        <item x="474"/>
        <item x="78"/>
        <item m="1" x="871"/>
        <item x="119"/>
        <item m="1" x="680"/>
        <item m="1" x="881"/>
        <item m="1" x="686"/>
        <item m="1" x="705"/>
        <item x="168"/>
        <item m="1" x="754"/>
        <item x="271"/>
        <item m="1" x="806"/>
        <item x="365"/>
        <item m="1" x="855"/>
        <item m="1" x="639"/>
        <item x="519"/>
        <item x="411"/>
        <item x="412"/>
        <item x="101"/>
        <item m="1" x="687"/>
        <item m="1" x="834"/>
        <item x="122"/>
        <item m="1" x="576"/>
        <item x="124"/>
        <item m="1" x="647"/>
        <item m="1" x="654"/>
        <item m="1" x="613"/>
        <item x="16"/>
        <item x="521"/>
        <item x="210"/>
        <item x="304"/>
        <item x="55"/>
        <item m="1" x="579"/>
        <item m="1" x="760"/>
        <item m="1" x="822"/>
        <item m="1" x="864"/>
        <item m="1" x="721"/>
        <item m="1" x="869"/>
        <item x="251"/>
        <item m="1" x="627"/>
        <item m="1" x="750"/>
        <item x="542"/>
        <item m="1" x="634"/>
        <item x="63"/>
        <item m="1" x="805"/>
        <item m="1" x="841"/>
        <item m="1" x="770"/>
        <item x="525"/>
        <item m="1" x="827"/>
        <item m="1" x="688"/>
        <item x="237"/>
        <item m="1" x="658"/>
        <item x="451"/>
        <item x="321"/>
        <item x="92"/>
        <item x="136"/>
        <item m="1" x="704"/>
        <item m="1" x="874"/>
        <item m="1" x="552"/>
        <item m="1" x="741"/>
        <item m="1" x="730"/>
        <item m="1" x="818"/>
        <item m="1" x="819"/>
        <item m="1" x="556"/>
        <item m="1" x="851"/>
        <item x="45"/>
        <item m="1" x="811"/>
        <item m="1" x="753"/>
        <item m="1" x="714"/>
        <item x="479"/>
        <item m="1" x="758"/>
        <item m="1" x="585"/>
        <item x="272"/>
        <item x="98"/>
        <item x="262"/>
        <item x="95"/>
        <item x="172"/>
        <item x="459"/>
        <item m="1" x="609"/>
        <item m="1" x="554"/>
        <item x="108"/>
        <item x="42"/>
        <item m="1" x="766"/>
        <item m="1" x="798"/>
        <item m="1" x="774"/>
        <item x="324"/>
        <item m="1" x="816"/>
        <item x="469"/>
        <item x="83"/>
        <item m="1" x="676"/>
        <item m="1" x="755"/>
        <item m="1" x="781"/>
        <item x="23"/>
        <item m="1" x="567"/>
        <item x="56"/>
        <item x="188"/>
        <item m="1" x="587"/>
        <item m="1" x="839"/>
        <item m="1" x="852"/>
        <item x="349"/>
        <item m="1" x="615"/>
        <item x="67"/>
        <item m="1" x="856"/>
        <item m="1" x="742"/>
        <item m="1" x="604"/>
        <item m="1" x="568"/>
        <item x="408"/>
        <item m="1" x="625"/>
        <item x="439"/>
        <item m="1" x="669"/>
        <item m="1" x="635"/>
        <item m="1" x="775"/>
        <item m="1" x="778"/>
        <item m="1" x="786"/>
        <item x="89"/>
        <item m="1" x="620"/>
        <item x="350"/>
        <item m="1" x="590"/>
        <item m="1" x="655"/>
        <item m="1" x="679"/>
        <item x="199"/>
        <item m="1" x="736"/>
        <item m="1" x="630"/>
        <item x="531"/>
        <item m="1" x="723"/>
        <item x="472"/>
        <item x="230"/>
        <item m="1" x="558"/>
        <item x="79"/>
        <item x="311"/>
        <item x="134"/>
        <item x="57"/>
        <item m="1" x="602"/>
        <item x="147"/>
        <item m="1" x="616"/>
        <item x="357"/>
        <item x="416"/>
        <item m="1" x="678"/>
        <item x="346"/>
        <item m="1" x="780"/>
        <item x="256"/>
        <item x="361"/>
        <item m="1" x="583"/>
        <item x="215"/>
        <item m="1" x="566"/>
        <item m="1" x="623"/>
        <item x="179"/>
        <item m="1" x="724"/>
        <item m="1" x="575"/>
        <item m="1" x="722"/>
        <item x="52"/>
        <item x="0"/>
        <item x="1"/>
        <item x="7"/>
        <item x="9"/>
        <item x="10"/>
        <item x="11"/>
        <item x="12"/>
        <item x="13"/>
        <item x="15"/>
        <item x="17"/>
        <item x="19"/>
        <item x="21"/>
        <item x="25"/>
        <item x="26"/>
        <item x="27"/>
        <item x="28"/>
        <item x="29"/>
        <item x="31"/>
        <item x="33"/>
        <item x="35"/>
        <item x="37"/>
        <item m="1" x="545"/>
        <item x="38"/>
        <item x="39"/>
        <item x="40"/>
        <item x="43"/>
        <item x="44"/>
        <item x="46"/>
        <item x="48"/>
        <item x="49"/>
        <item x="51"/>
        <item x="60"/>
        <item x="61"/>
        <item x="68"/>
        <item x="69"/>
        <item x="71"/>
        <item x="72"/>
        <item x="73"/>
        <item x="76"/>
        <item x="80"/>
        <item x="84"/>
        <item x="86"/>
        <item x="87"/>
        <item x="93"/>
        <item x="94"/>
        <item x="96"/>
        <item x="97"/>
        <item x="103"/>
        <item x="104"/>
        <item x="106"/>
        <item x="109"/>
        <item x="111"/>
        <item x="112"/>
        <item x="113"/>
        <item x="115"/>
        <item x="116"/>
        <item x="117"/>
        <item x="118"/>
        <item x="120"/>
        <item x="121"/>
        <item x="128"/>
        <item x="130"/>
        <item x="132"/>
        <item x="133"/>
        <item x="135"/>
        <item x="137"/>
        <item x="139"/>
        <item x="140"/>
        <item x="142"/>
        <item x="143"/>
        <item x="144"/>
        <item x="149"/>
        <item x="150"/>
        <item x="151"/>
        <item x="152"/>
        <item x="154"/>
        <item x="156"/>
        <item x="158"/>
        <item x="161"/>
        <item x="163"/>
        <item x="164"/>
        <item x="165"/>
        <item x="166"/>
        <item x="167"/>
        <item x="169"/>
        <item x="170"/>
        <item x="171"/>
        <item x="173"/>
        <item x="175"/>
        <item x="177"/>
        <item x="181"/>
        <item x="183"/>
        <item x="186"/>
        <item x="190"/>
        <item x="191"/>
        <item x="195"/>
        <item x="198"/>
        <item x="200"/>
        <item x="201"/>
        <item x="213"/>
        <item x="214"/>
        <item x="216"/>
        <item x="217"/>
        <item x="222"/>
        <item x="223"/>
        <item x="227"/>
        <item x="228"/>
        <item x="232"/>
        <item x="233"/>
        <item x="235"/>
        <item x="236"/>
        <item x="238"/>
        <item x="239"/>
        <item x="240"/>
        <item x="241"/>
        <item x="244"/>
        <item x="245"/>
        <item x="246"/>
        <item x="249"/>
        <item x="250"/>
        <item x="253"/>
        <item x="255"/>
        <item x="257"/>
        <item x="259"/>
        <item x="263"/>
        <item x="264"/>
        <item x="265"/>
        <item x="267"/>
        <item x="269"/>
        <item x="273"/>
        <item x="278"/>
        <item x="279"/>
        <item x="280"/>
        <item x="281"/>
        <item x="282"/>
        <item x="284"/>
        <item x="286"/>
        <item x="287"/>
        <item x="290"/>
        <item x="292"/>
        <item x="294"/>
        <item x="295"/>
        <item x="296"/>
        <item x="298"/>
        <item x="299"/>
        <item x="301"/>
        <item x="302"/>
        <item x="303"/>
        <item x="305"/>
        <item x="306"/>
        <item x="309"/>
        <item x="312"/>
        <item x="314"/>
        <item x="315"/>
        <item x="316"/>
        <item x="317"/>
        <item x="318"/>
        <item x="319"/>
        <item x="320"/>
        <item x="322"/>
        <item x="323"/>
        <item x="326"/>
        <item x="328"/>
        <item x="329"/>
        <item x="330"/>
        <item x="331"/>
        <item x="332"/>
        <item x="333"/>
        <item x="335"/>
        <item x="338"/>
        <item x="339"/>
        <item x="340"/>
        <item x="341"/>
        <item x="342"/>
        <item x="343"/>
        <item x="344"/>
        <item x="345"/>
        <item x="348"/>
        <item x="351"/>
        <item x="352"/>
        <item x="353"/>
        <item x="354"/>
        <item x="355"/>
        <item x="358"/>
        <item x="359"/>
        <item x="360"/>
        <item x="363"/>
        <item x="370"/>
        <item x="372"/>
        <item x="377"/>
        <item x="378"/>
        <item x="381"/>
        <item x="382"/>
        <item x="383"/>
        <item x="384"/>
        <item x="385"/>
        <item x="386"/>
        <item x="387"/>
        <item x="388"/>
        <item x="389"/>
        <item x="391"/>
        <item x="392"/>
        <item x="396"/>
        <item x="397"/>
        <item x="398"/>
        <item x="399"/>
        <item x="400"/>
        <item x="401"/>
        <item x="402"/>
        <item x="403"/>
        <item x="404"/>
        <item x="407"/>
        <item x="409"/>
        <item x="414"/>
        <item x="415"/>
        <item x="418"/>
        <item x="420"/>
        <item x="422"/>
        <item x="423"/>
        <item x="424"/>
        <item x="425"/>
        <item x="427"/>
        <item x="432"/>
        <item x="434"/>
        <item x="436"/>
        <item x="437"/>
        <item x="438"/>
        <item x="440"/>
        <item x="441"/>
        <item x="442"/>
        <item x="445"/>
        <item x="446"/>
        <item x="448"/>
        <item x="450"/>
        <item x="452"/>
        <item x="453"/>
        <item x="455"/>
        <item x="458"/>
        <item x="461"/>
        <item x="462"/>
        <item x="463"/>
        <item x="465"/>
        <item x="466"/>
        <item x="467"/>
        <item x="468"/>
        <item x="470"/>
        <item x="471"/>
        <item x="473"/>
        <item x="475"/>
        <item x="478"/>
        <item x="481"/>
        <item x="482"/>
        <item x="484"/>
        <item x="485"/>
        <item x="486"/>
        <item x="487"/>
        <item x="489"/>
        <item x="491"/>
        <item x="492"/>
        <item x="493"/>
        <item x="494"/>
        <item x="496"/>
        <item x="498"/>
        <item x="499"/>
        <item x="501"/>
        <item x="502"/>
        <item x="503"/>
        <item x="504"/>
        <item x="505"/>
        <item x="506"/>
        <item x="507"/>
        <item x="508"/>
        <item x="509"/>
        <item x="511"/>
        <item x="512"/>
        <item x="514"/>
        <item x="516"/>
        <item x="517"/>
        <item x="518"/>
        <item m="1" x="546"/>
        <item m="1" x="547"/>
        <item m="1" x="548"/>
        <item m="1" x="549"/>
        <item m="1" x="550"/>
        <item x="520"/>
        <item x="522"/>
        <item x="523"/>
        <item x="524"/>
        <item x="526"/>
        <item x="527"/>
        <item x="528"/>
        <item x="529"/>
        <item x="534"/>
        <item x="536"/>
        <item x="538"/>
        <item x="539"/>
        <item x="541"/>
        <item x="543"/>
        <item x="544"/>
        <item t="default"/>
      </items>
    </pivotField>
    <pivotField showAll="0"/>
    <pivotField numFmtId="164" showAll="0"/>
    <pivotField numFmtId="164" showAll="0"/>
    <pivotField dataField="1" numFmtId="164" showAll="0"/>
    <pivotField showAll="0"/>
    <pivotField showAll="0"/>
    <pivotField showAll="0"/>
    <pivotField showAll="0"/>
    <pivotField showAll="0"/>
    <pivotField showAll="0"/>
    <pivotField showAll="0"/>
    <pivotField axis="axisPage" dataField="1" multipleItemSelectionAllowed="1" showAll="0">
      <items count="4">
        <item x="1"/>
        <item x="0"/>
        <item h="1" m="1" x="2"/>
        <item t="default"/>
      </items>
    </pivotField>
    <pivotField showAll="0"/>
  </pivotFields>
  <rowFields count="2">
    <field x="10"/>
    <field x="2"/>
  </rowFields>
  <rowItems count="1580">
    <i>
      <x/>
    </i>
    <i r="1">
      <x v="1216"/>
    </i>
    <i>
      <x v="3"/>
    </i>
    <i r="1">
      <x v="1703"/>
    </i>
    <i r="1">
      <x v="1704"/>
    </i>
    <i r="1">
      <x v="1705"/>
    </i>
    <i r="1">
      <x v="1877"/>
    </i>
    <i>
      <x v="4"/>
    </i>
    <i r="1">
      <x v="1501"/>
    </i>
    <i r="1">
      <x v="1886"/>
    </i>
    <i>
      <x v="8"/>
    </i>
    <i r="1">
      <x v="1365"/>
    </i>
    <i r="1">
      <x v="1366"/>
    </i>
    <i r="1">
      <x v="1367"/>
    </i>
    <i>
      <x v="9"/>
    </i>
    <i r="1">
      <x v="1360"/>
    </i>
    <i r="1">
      <x v="1361"/>
    </i>
    <i r="1">
      <x v="1362"/>
    </i>
    <i r="1">
      <x v="1363"/>
    </i>
    <i r="1">
      <x v="1364"/>
    </i>
    <i r="1">
      <x v="1593"/>
    </i>
    <i>
      <x v="10"/>
    </i>
    <i r="1">
      <x v="1418"/>
    </i>
    <i>
      <x v="12"/>
    </i>
    <i r="1">
      <x v="1814"/>
    </i>
    <i>
      <x v="13"/>
    </i>
    <i r="1">
      <x v="1684"/>
    </i>
    <i>
      <x v="17"/>
    </i>
    <i r="1">
      <x v="1385"/>
    </i>
    <i r="1">
      <x v="1658"/>
    </i>
    <i>
      <x v="19"/>
    </i>
    <i r="1">
      <x v="2080"/>
    </i>
    <i>
      <x v="21"/>
    </i>
    <i r="1">
      <x v="2084"/>
    </i>
    <i>
      <x v="23"/>
    </i>
    <i r="1">
      <x v="1976"/>
    </i>
    <i>
      <x v="24"/>
    </i>
    <i r="1">
      <x v="2082"/>
    </i>
    <i>
      <x v="33"/>
    </i>
    <i r="1">
      <x v="1832"/>
    </i>
    <i>
      <x v="36"/>
    </i>
    <i r="1">
      <x v="1430"/>
    </i>
    <i>
      <x v="37"/>
    </i>
    <i r="1">
      <x v="1689"/>
    </i>
    <i r="1">
      <x v="1766"/>
    </i>
    <i>
      <x v="38"/>
    </i>
    <i r="1">
      <x v="1808"/>
    </i>
    <i r="1">
      <x v="1908"/>
    </i>
    <i>
      <x v="45"/>
    </i>
    <i r="1">
      <x v="1691"/>
    </i>
    <i>
      <x v="47"/>
    </i>
    <i r="1">
      <x v="1094"/>
    </i>
    <i r="1">
      <x v="1837"/>
    </i>
    <i r="1">
      <x v="1857"/>
    </i>
    <i>
      <x v="53"/>
    </i>
    <i r="1">
      <x v="1284"/>
    </i>
    <i r="1">
      <x v="1918"/>
    </i>
    <i>
      <x v="56"/>
    </i>
    <i r="1">
      <x v="1759"/>
    </i>
    <i r="1">
      <x v="1762"/>
    </i>
    <i r="1">
      <x v="2013"/>
    </i>
    <i r="1">
      <x v="2014"/>
    </i>
    <i>
      <x v="60"/>
    </i>
    <i r="1">
      <x v="1730"/>
    </i>
    <i>
      <x v="62"/>
    </i>
    <i r="1">
      <x v="1424"/>
    </i>
    <i r="1">
      <x v="1711"/>
    </i>
    <i r="1">
      <x v="1712"/>
    </i>
    <i r="1">
      <x v="1952"/>
    </i>
    <i r="1">
      <x v="1953"/>
    </i>
    <i>
      <x v="66"/>
    </i>
    <i r="1">
      <x v="1460"/>
    </i>
    <i>
      <x v="71"/>
    </i>
    <i r="1">
      <x v="2093"/>
    </i>
    <i>
      <x v="72"/>
    </i>
    <i r="1">
      <x v="1166"/>
    </i>
    <i r="1">
      <x v="1521"/>
    </i>
    <i r="1">
      <x v="1579"/>
    </i>
    <i>
      <x v="73"/>
    </i>
    <i r="1">
      <x v="1135"/>
    </i>
    <i r="1">
      <x v="1136"/>
    </i>
    <i>
      <x v="75"/>
    </i>
    <i r="1">
      <x v="1619"/>
    </i>
    <i r="1">
      <x v="1676"/>
    </i>
    <i r="1">
      <x v="1890"/>
    </i>
    <i>
      <x v="78"/>
    </i>
    <i r="1">
      <x v="1467"/>
    </i>
    <i>
      <x v="80"/>
    </i>
    <i r="1">
      <x v="2089"/>
    </i>
    <i r="1">
      <x v="2090"/>
    </i>
    <i>
      <x v="81"/>
    </i>
    <i r="1">
      <x v="1147"/>
    </i>
    <i r="1">
      <x v="1947"/>
    </i>
    <i>
      <x v="82"/>
    </i>
    <i r="1">
      <x v="2033"/>
    </i>
    <i>
      <x v="83"/>
    </i>
    <i r="1">
      <x v="1128"/>
    </i>
    <i>
      <x v="86"/>
    </i>
    <i r="1">
      <x v="1355"/>
    </i>
    <i r="1">
      <x v="1373"/>
    </i>
    <i r="1">
      <x v="1699"/>
    </i>
    <i r="1">
      <x v="1700"/>
    </i>
    <i r="1">
      <x v="1701"/>
    </i>
    <i r="1">
      <x v="1732"/>
    </i>
    <i r="1">
      <x v="1733"/>
    </i>
    <i r="1">
      <x v="1887"/>
    </i>
    <i r="1">
      <x v="1888"/>
    </i>
    <i r="1">
      <x v="2011"/>
    </i>
    <i r="1">
      <x v="2018"/>
    </i>
    <i>
      <x v="87"/>
    </i>
    <i r="1">
      <x v="1100"/>
    </i>
    <i r="1">
      <x v="1464"/>
    </i>
    <i>
      <x v="88"/>
    </i>
    <i r="1">
      <x v="1160"/>
    </i>
    <i r="1">
      <x v="1261"/>
    </i>
    <i r="1">
      <x v="1801"/>
    </i>
    <i r="1">
      <x v="1802"/>
    </i>
    <i r="1">
      <x v="1803"/>
    </i>
    <i r="1">
      <x v="1804"/>
    </i>
    <i r="1">
      <x v="1805"/>
    </i>
    <i r="1">
      <x v="1806"/>
    </i>
    <i r="1">
      <x v="1989"/>
    </i>
    <i>
      <x v="93"/>
    </i>
    <i r="1">
      <x v="1478"/>
    </i>
    <i r="1">
      <x v="1998"/>
    </i>
    <i>
      <x v="94"/>
    </i>
    <i r="1">
      <x v="1383"/>
    </i>
    <i>
      <x v="95"/>
    </i>
    <i r="1">
      <x v="1520"/>
    </i>
    <i>
      <x v="96"/>
    </i>
    <i r="1">
      <x v="1389"/>
    </i>
    <i>
      <x v="102"/>
    </i>
    <i r="1">
      <x v="1997"/>
    </i>
    <i>
      <x v="109"/>
    </i>
    <i r="1">
      <x v="1088"/>
    </i>
    <i r="1">
      <x v="1089"/>
    </i>
    <i r="1">
      <x v="1186"/>
    </i>
    <i r="1">
      <x v="1227"/>
    </i>
    <i r="1">
      <x v="1233"/>
    </i>
    <i r="1">
      <x v="1234"/>
    </i>
    <i r="1">
      <x v="1235"/>
    </i>
    <i r="1">
      <x v="1433"/>
    </i>
    <i r="1">
      <x v="1434"/>
    </i>
    <i r="1">
      <x v="1626"/>
    </i>
    <i r="1">
      <x v="1866"/>
    </i>
    <i r="1">
      <x v="1867"/>
    </i>
    <i>
      <x v="110"/>
    </i>
    <i r="1">
      <x v="1308"/>
    </i>
    <i r="1">
      <x v="2064"/>
    </i>
    <i>
      <x v="112"/>
    </i>
    <i r="1">
      <x v="1554"/>
    </i>
    <i>
      <x v="113"/>
    </i>
    <i r="1">
      <x v="1916"/>
    </i>
    <i r="1">
      <x v="1941"/>
    </i>
    <i r="1">
      <x v="1994"/>
    </i>
    <i>
      <x v="114"/>
    </i>
    <i r="1">
      <x v="1191"/>
    </i>
    <i>
      <x v="117"/>
    </i>
    <i r="1">
      <x v="1073"/>
    </i>
    <i r="1">
      <x v="1074"/>
    </i>
    <i r="1">
      <x v="1075"/>
    </i>
    <i r="1">
      <x v="1076"/>
    </i>
    <i r="1">
      <x v="1077"/>
    </i>
    <i r="1">
      <x v="1078"/>
    </i>
    <i r="1">
      <x v="1079"/>
    </i>
    <i r="1">
      <x v="1080"/>
    </i>
    <i r="1">
      <x v="1187"/>
    </i>
    <i r="1">
      <x v="1228"/>
    </i>
    <i r="1">
      <x v="1229"/>
    </i>
    <i r="1">
      <x v="1331"/>
    </i>
    <i r="1">
      <x v="1332"/>
    </i>
    <i r="1">
      <x v="1333"/>
    </i>
    <i r="1">
      <x v="1334"/>
    </i>
    <i r="1">
      <x v="1431"/>
    </i>
    <i r="1">
      <x v="1662"/>
    </i>
    <i r="1">
      <x v="1664"/>
    </i>
    <i r="1">
      <x v="1999"/>
    </i>
    <i r="1">
      <x v="2000"/>
    </i>
    <i>
      <x v="118"/>
    </i>
    <i r="1">
      <x v="1205"/>
    </i>
    <i>
      <x v="119"/>
    </i>
    <i r="1">
      <x v="1791"/>
    </i>
    <i>
      <x v="122"/>
    </i>
    <i r="1">
      <x v="1697"/>
    </i>
    <i>
      <x v="123"/>
    </i>
    <i r="1">
      <x v="1405"/>
    </i>
    <i>
      <x v="124"/>
    </i>
    <i r="1">
      <x v="1698"/>
    </i>
    <i r="1">
      <x v="1960"/>
    </i>
    <i>
      <x v="126"/>
    </i>
    <i r="1">
      <x v="1542"/>
    </i>
    <i>
      <x v="129"/>
    </i>
    <i r="1">
      <x v="1422"/>
    </i>
    <i r="1">
      <x v="1425"/>
    </i>
    <i>
      <x v="130"/>
    </i>
    <i r="1">
      <x v="1727"/>
    </i>
    <i>
      <x v="131"/>
    </i>
    <i r="1">
      <x v="1702"/>
    </i>
    <i>
      <x v="132"/>
    </i>
    <i r="1">
      <x v="1259"/>
    </i>
    <i>
      <x v="134"/>
    </i>
    <i r="1">
      <x v="1121"/>
    </i>
    <i r="1">
      <x v="1429"/>
    </i>
    <i r="1">
      <x v="1694"/>
    </i>
    <i r="1">
      <x v="1896"/>
    </i>
    <i r="1">
      <x v="2023"/>
    </i>
    <i r="1">
      <x v="2062"/>
    </i>
    <i>
      <x v="136"/>
    </i>
    <i r="1">
      <x v="1082"/>
    </i>
    <i r="1">
      <x v="1226"/>
    </i>
    <i r="1">
      <x v="1231"/>
    </i>
    <i r="1">
      <x v="1232"/>
    </i>
    <i r="1">
      <x v="1327"/>
    </i>
    <i r="1">
      <x v="1328"/>
    </i>
    <i r="1">
      <x v="1329"/>
    </i>
    <i r="1">
      <x v="1330"/>
    </i>
    <i r="1">
      <x v="1432"/>
    </i>
    <i r="1">
      <x v="1435"/>
    </i>
    <i r="1">
      <x v="1868"/>
    </i>
    <i r="1">
      <x v="1869"/>
    </i>
    <i>
      <x v="142"/>
    </i>
    <i r="1">
      <x v="1401"/>
    </i>
    <i>
      <x v="145"/>
    </i>
    <i r="1">
      <x v="1820"/>
    </i>
    <i>
      <x v="154"/>
    </i>
    <i r="1">
      <x v="1550"/>
    </i>
    <i r="1">
      <x v="1597"/>
    </i>
    <i>
      <x v="157"/>
    </i>
    <i r="1">
      <x v="1811"/>
    </i>
    <i r="1">
      <x v="1978"/>
    </i>
    <i>
      <x v="162"/>
    </i>
    <i r="1">
      <x v="1342"/>
    </i>
    <i r="1">
      <x v="1944"/>
    </i>
    <i>
      <x v="163"/>
    </i>
    <i r="1">
      <x v="1666"/>
    </i>
    <i r="1">
      <x v="1822"/>
    </i>
    <i>
      <x v="164"/>
    </i>
    <i r="1">
      <x v="1688"/>
    </i>
    <i>
      <x v="165"/>
    </i>
    <i r="1">
      <x v="1893"/>
    </i>
    <i>
      <x v="166"/>
    </i>
    <i r="1">
      <x v="1338"/>
    </i>
    <i r="1">
      <x v="1446"/>
    </i>
    <i r="1">
      <x v="1940"/>
    </i>
    <i>
      <x v="167"/>
    </i>
    <i r="1">
      <x v="1346"/>
    </i>
    <i>
      <x v="169"/>
    </i>
    <i r="1">
      <x v="1469"/>
    </i>
    <i>
      <x v="170"/>
    </i>
    <i r="1">
      <x v="1796"/>
    </i>
    <i>
      <x v="172"/>
    </i>
    <i r="1">
      <x v="1143"/>
    </i>
    <i>
      <x v="173"/>
    </i>
    <i r="1">
      <x v="1760"/>
    </i>
    <i r="1">
      <x v="1850"/>
    </i>
    <i>
      <x v="175"/>
    </i>
    <i r="1">
      <x v="1598"/>
    </i>
    <i r="1">
      <x v="1599"/>
    </i>
    <i>
      <x v="176"/>
    </i>
    <i r="1">
      <x v="1580"/>
    </i>
    <i>
      <x v="177"/>
    </i>
    <i r="1">
      <x v="1273"/>
    </i>
    <i r="1">
      <x v="1274"/>
    </i>
    <i>
      <x v="182"/>
    </i>
    <i r="1">
      <x v="1910"/>
    </i>
    <i r="1">
      <x v="1911"/>
    </i>
    <i r="1">
      <x v="2056"/>
    </i>
    <i>
      <x v="183"/>
    </i>
    <i r="1">
      <x v="1372"/>
    </i>
    <i r="1">
      <x v="1409"/>
    </i>
    <i r="1">
      <x v="2021"/>
    </i>
    <i>
      <x v="184"/>
    </i>
    <i r="1">
      <x v="1406"/>
    </i>
    <i r="1">
      <x v="1576"/>
    </i>
    <i r="1">
      <x v="1679"/>
    </i>
    <i>
      <x v="186"/>
    </i>
    <i r="1">
      <x v="1098"/>
    </i>
    <i>
      <x v="191"/>
    </i>
    <i r="1">
      <x v="1142"/>
    </i>
    <i>
      <x v="195"/>
    </i>
    <i r="1">
      <x v="1067"/>
    </i>
    <i r="1">
      <x v="1622"/>
    </i>
    <i r="1">
      <x v="1755"/>
    </i>
    <i r="1">
      <x v="1774"/>
    </i>
    <i>
      <x v="196"/>
    </i>
    <i r="1">
      <x v="1183"/>
    </i>
    <i r="1">
      <x v="1260"/>
    </i>
    <i r="1">
      <x v="1584"/>
    </i>
    <i r="1">
      <x v="1734"/>
    </i>
    <i>
      <x v="197"/>
    </i>
    <i r="1">
      <x v="1415"/>
    </i>
    <i r="1">
      <x v="1416"/>
    </i>
    <i r="1">
      <x v="1457"/>
    </i>
    <i r="1">
      <x v="1793"/>
    </i>
    <i r="1">
      <x v="1794"/>
    </i>
    <i r="1">
      <x v="1795"/>
    </i>
    <i>
      <x v="198"/>
    </i>
    <i r="1">
      <x v="1307"/>
    </i>
    <i r="1">
      <x v="1311"/>
    </i>
    <i r="1">
      <x v="1693"/>
    </i>
    <i>
      <x v="201"/>
    </i>
    <i r="1">
      <x v="1480"/>
    </i>
    <i r="1">
      <x v="1481"/>
    </i>
    <i r="1">
      <x v="1506"/>
    </i>
    <i>
      <x v="205"/>
    </i>
    <i r="1">
      <x v="1148"/>
    </i>
    <i r="1">
      <x v="1239"/>
    </i>
    <i>
      <x v="207"/>
    </i>
    <i r="1">
      <x v="1875"/>
    </i>
    <i>
      <x v="210"/>
    </i>
    <i r="1">
      <x v="1353"/>
    </i>
    <i>
      <x v="212"/>
    </i>
    <i r="1">
      <x v="1119"/>
    </i>
    <i>
      <x v="215"/>
    </i>
    <i r="1">
      <x v="1695"/>
    </i>
    <i>
      <x v="218"/>
    </i>
    <i r="1">
      <x v="1069"/>
    </i>
    <i r="1">
      <x v="1182"/>
    </i>
    <i r="1">
      <x v="1625"/>
    </i>
    <i r="1">
      <x v="1672"/>
    </i>
    <i r="1">
      <x v="1687"/>
    </i>
    <i r="1">
      <x v="1744"/>
    </i>
    <i r="1">
      <x v="1775"/>
    </i>
    <i r="1">
      <x v="1778"/>
    </i>
    <i r="1">
      <x v="1787"/>
    </i>
    <i>
      <x v="219"/>
    </i>
    <i r="1">
      <x v="1068"/>
    </i>
    <i r="1">
      <x v="1181"/>
    </i>
    <i r="1">
      <x v="1241"/>
    </i>
    <i r="1">
      <x v="1337"/>
    </i>
    <i r="1">
      <x v="1384"/>
    </i>
    <i r="1">
      <x v="1449"/>
    </i>
    <i r="1">
      <x v="1623"/>
    </i>
    <i r="1">
      <x v="1651"/>
    </i>
    <i r="1">
      <x v="1745"/>
    </i>
    <i r="1">
      <x v="1777"/>
    </i>
    <i r="1">
      <x v="1788"/>
    </i>
    <i r="1">
      <x v="1943"/>
    </i>
    <i>
      <x v="230"/>
    </i>
    <i r="1">
      <x v="1682"/>
    </i>
    <i>
      <x v="231"/>
    </i>
    <i r="1">
      <x v="1856"/>
    </i>
    <i>
      <x v="233"/>
    </i>
    <i r="1">
      <x v="1293"/>
    </i>
    <i>
      <x v="235"/>
    </i>
    <i r="1">
      <x v="1156"/>
    </i>
    <i>
      <x v="236"/>
    </i>
    <i r="1">
      <x v="1575"/>
    </i>
    <i>
      <x v="237"/>
    </i>
    <i r="1">
      <x v="1301"/>
    </i>
    <i r="1">
      <x v="1498"/>
    </i>
    <i r="1">
      <x v="1499"/>
    </i>
    <i r="1">
      <x v="1500"/>
    </i>
    <i>
      <x v="239"/>
    </i>
    <i r="1">
      <x v="1357"/>
    </i>
    <i>
      <x v="241"/>
    </i>
    <i r="1">
      <x v="1538"/>
    </i>
    <i>
      <x v="242"/>
    </i>
    <i r="1">
      <x v="1482"/>
    </i>
    <i r="1">
      <x v="1483"/>
    </i>
    <i r="1">
      <x v="1484"/>
    </i>
    <i r="1">
      <x v="1485"/>
    </i>
    <i>
      <x v="243"/>
    </i>
    <i r="1">
      <x v="1380"/>
    </i>
    <i>
      <x v="244"/>
    </i>
    <i r="1">
      <x v="2003"/>
    </i>
    <i>
      <x v="248"/>
    </i>
    <i r="1">
      <x v="1340"/>
    </i>
    <i r="1">
      <x v="1678"/>
    </i>
    <i>
      <x v="249"/>
    </i>
    <i r="1">
      <x v="1710"/>
    </i>
    <i>
      <x v="250"/>
    </i>
    <i r="1">
      <x v="1178"/>
    </i>
    <i r="1">
      <x v="1179"/>
    </i>
    <i r="1">
      <x v="1180"/>
    </i>
    <i>
      <x v="252"/>
    </i>
    <i r="1">
      <x v="1213"/>
    </i>
    <i r="1">
      <x v="1410"/>
    </i>
    <i>
      <x v="253"/>
    </i>
    <i r="1">
      <x v="1310"/>
    </i>
    <i r="1">
      <x v="1773"/>
    </i>
    <i r="1">
      <x v="2071"/>
    </i>
    <i>
      <x v="254"/>
    </i>
    <i r="1">
      <x v="1515"/>
    </i>
    <i r="1">
      <x v="1685"/>
    </i>
    <i r="1">
      <x v="1829"/>
    </i>
    <i r="1">
      <x v="1830"/>
    </i>
    <i r="1">
      <x v="1831"/>
    </i>
    <i>
      <x v="261"/>
    </i>
    <i r="1">
      <x v="1564"/>
    </i>
    <i r="1">
      <x v="2074"/>
    </i>
    <i>
      <x v="262"/>
    </i>
    <i r="1">
      <x v="1400"/>
    </i>
    <i r="1">
      <x v="1838"/>
    </i>
    <i r="1">
      <x v="1939"/>
    </i>
    <i r="1">
      <x v="2042"/>
    </i>
    <i>
      <x v="265"/>
    </i>
    <i r="1">
      <x v="2030"/>
    </i>
    <i>
      <x v="267"/>
    </i>
    <i r="1">
      <x v="1326"/>
    </i>
    <i r="1">
      <x v="2048"/>
    </i>
    <i>
      <x v="270"/>
    </i>
    <i r="1">
      <x v="1139"/>
    </i>
    <i>
      <x v="271"/>
    </i>
    <i r="1">
      <x v="1621"/>
    </i>
    <i>
      <x v="272"/>
    </i>
    <i r="1">
      <x v="1371"/>
    </i>
    <i>
      <x v="277"/>
    </i>
    <i r="1">
      <x v="1646"/>
    </i>
    <i>
      <x v="279"/>
    </i>
    <i r="1">
      <x v="1894"/>
    </i>
    <i>
      <x v="280"/>
    </i>
    <i r="1">
      <x v="1193"/>
    </i>
    <i r="1">
      <x v="1573"/>
    </i>
    <i r="1">
      <x v="1864"/>
    </i>
    <i r="1">
      <x v="1865"/>
    </i>
    <i r="1">
      <x v="1977"/>
    </i>
    <i r="1">
      <x v="2067"/>
    </i>
    <i>
      <x v="281"/>
    </i>
    <i r="1">
      <x v="1962"/>
    </i>
    <i>
      <x v="282"/>
    </i>
    <i r="1">
      <x v="1602"/>
    </i>
    <i>
      <x v="283"/>
    </i>
    <i r="1">
      <x v="1530"/>
    </i>
    <i>
      <x v="285"/>
    </i>
    <i r="1">
      <x v="1544"/>
    </i>
    <i r="1">
      <x v="1546"/>
    </i>
    <i>
      <x v="286"/>
    </i>
    <i r="1">
      <x v="1251"/>
    </i>
    <i r="1">
      <x v="1275"/>
    </i>
    <i>
      <x v="288"/>
    </i>
    <i r="1">
      <x v="1115"/>
    </i>
    <i r="1">
      <x v="1653"/>
    </i>
    <i>
      <x v="294"/>
    </i>
    <i r="1">
      <x v="1393"/>
    </i>
    <i>
      <x v="299"/>
    </i>
    <i r="1">
      <x v="1278"/>
    </i>
    <i r="1">
      <x v="1279"/>
    </i>
    <i r="1">
      <x v="1799"/>
    </i>
    <i>
      <x v="300"/>
    </i>
    <i r="1">
      <x v="1173"/>
    </i>
    <i r="1">
      <x v="1302"/>
    </i>
    <i r="1">
      <x v="1303"/>
    </i>
    <i r="1">
      <x v="1304"/>
    </i>
    <i r="1">
      <x v="1305"/>
    </i>
    <i>
      <x v="301"/>
    </i>
    <i r="1">
      <x v="1222"/>
    </i>
    <i>
      <x v="302"/>
    </i>
    <i r="1">
      <x v="1348"/>
    </i>
    <i r="1">
      <x v="1349"/>
    </i>
    <i r="1">
      <x v="1350"/>
    </i>
    <i r="1">
      <x v="1351"/>
    </i>
    <i r="1">
      <x v="1352"/>
    </i>
    <i r="1">
      <x v="1374"/>
    </i>
    <i r="1">
      <x v="1643"/>
    </i>
    <i r="1">
      <x v="1644"/>
    </i>
    <i>
      <x v="303"/>
    </i>
    <i r="1">
      <x v="1534"/>
    </i>
    <i>
      <x v="304"/>
    </i>
    <i r="1">
      <x v="1851"/>
    </i>
    <i r="1">
      <x v="2034"/>
    </i>
    <i r="1">
      <x v="2050"/>
    </i>
    <i>
      <x v="309"/>
    </i>
    <i r="1">
      <x v="1417"/>
    </i>
    <i r="1">
      <x v="1758"/>
    </i>
    <i>
      <x v="310"/>
    </i>
    <i r="1">
      <x v="1612"/>
    </i>
    <i r="1">
      <x v="1613"/>
    </i>
    <i r="1">
      <x v="1614"/>
    </i>
    <i>
      <x v="311"/>
    </i>
    <i r="1">
      <x v="1381"/>
    </i>
    <i>
      <x v="312"/>
    </i>
    <i r="1">
      <x v="1709"/>
    </i>
    <i>
      <x v="313"/>
    </i>
    <i r="1">
      <x v="1249"/>
    </i>
    <i>
      <x v="314"/>
    </i>
    <i r="1">
      <x v="1296"/>
    </i>
    <i r="1">
      <x v="1297"/>
    </i>
    <i r="1">
      <x v="1298"/>
    </i>
    <i r="1">
      <x v="1299"/>
    </i>
    <i>
      <x v="315"/>
    </i>
    <i r="1">
      <x v="1283"/>
    </i>
    <i r="1">
      <x v="1601"/>
    </i>
    <i>
      <x v="317"/>
    </i>
    <i r="1">
      <x v="1789"/>
    </i>
    <i>
      <x v="318"/>
    </i>
    <i r="1">
      <x v="1986"/>
    </i>
    <i>
      <x v="321"/>
    </i>
    <i r="1">
      <x v="1188"/>
    </i>
    <i r="1">
      <x v="1206"/>
    </i>
    <i r="1">
      <x v="1516"/>
    </i>
    <i r="1">
      <x v="1571"/>
    </i>
    <i>
      <x v="326"/>
    </i>
    <i r="1">
      <x v="1970"/>
    </i>
    <i>
      <x v="329"/>
    </i>
    <i r="1">
      <x v="1202"/>
    </i>
    <i>
      <x v="330"/>
    </i>
    <i r="1">
      <x v="1253"/>
    </i>
    <i r="1">
      <x v="1634"/>
    </i>
    <i>
      <x v="333"/>
    </i>
    <i r="1">
      <x v="1453"/>
    </i>
    <i r="1">
      <x v="1557"/>
    </i>
    <i r="1">
      <x v="1671"/>
    </i>
    <i r="1">
      <x v="1819"/>
    </i>
    <i>
      <x v="336"/>
    </i>
    <i r="1">
      <x v="1810"/>
    </i>
    <i r="1">
      <x v="2069"/>
    </i>
    <i>
      <x v="337"/>
    </i>
    <i r="1">
      <x v="1210"/>
    </i>
    <i r="1">
      <x v="1211"/>
    </i>
    <i>
      <x v="340"/>
    </i>
    <i r="1">
      <x v="1368"/>
    </i>
    <i r="1">
      <x v="1369"/>
    </i>
    <i r="1">
      <x v="1553"/>
    </i>
    <i r="1">
      <x v="1562"/>
    </i>
    <i r="1">
      <x v="1610"/>
    </i>
    <i r="1">
      <x v="1812"/>
    </i>
    <i>
      <x v="342"/>
    </i>
    <i r="1">
      <x v="1388"/>
    </i>
    <i r="1">
      <x v="1510"/>
    </i>
    <i r="1">
      <x v="1839"/>
    </i>
    <i>
      <x v="343"/>
    </i>
    <i r="1">
      <x v="1203"/>
    </i>
    <i r="1">
      <x v="1219"/>
    </i>
    <i>
      <x v="346"/>
    </i>
    <i r="1">
      <x v="1743"/>
    </i>
    <i>
      <x v="348"/>
    </i>
    <i r="1">
      <x v="1860"/>
    </i>
    <i r="1">
      <x v="1878"/>
    </i>
    <i r="1">
      <x v="1879"/>
    </i>
    <i>
      <x v="351"/>
    </i>
    <i r="1">
      <x v="1539"/>
    </i>
    <i r="1">
      <x v="1615"/>
    </i>
    <i r="1">
      <x v="1899"/>
    </i>
    <i r="1">
      <x v="1900"/>
    </i>
    <i r="1">
      <x v="1901"/>
    </i>
    <i r="1">
      <x v="1902"/>
    </i>
    <i r="1">
      <x v="1903"/>
    </i>
    <i r="1">
      <x v="1904"/>
    </i>
    <i>
      <x v="352"/>
    </i>
    <i r="1">
      <x v="1096"/>
    </i>
    <i r="1">
      <x v="1097"/>
    </i>
    <i r="1">
      <x v="1647"/>
    </i>
    <i r="1">
      <x v="1945"/>
    </i>
    <i>
      <x v="353"/>
    </i>
    <i r="1">
      <x v="2007"/>
    </i>
    <i>
      <x v="356"/>
    </i>
    <i r="1">
      <x v="1452"/>
    </i>
    <i r="1">
      <x v="1558"/>
    </i>
    <i r="1">
      <x v="1817"/>
    </i>
    <i r="1">
      <x v="1818"/>
    </i>
    <i r="1">
      <x v="2052"/>
    </i>
    <i>
      <x v="357"/>
    </i>
    <i r="1">
      <x v="1070"/>
    </i>
    <i r="1">
      <x v="1071"/>
    </i>
    <i r="1">
      <x v="1072"/>
    </i>
    <i>
      <x v="360"/>
    </i>
    <i r="1">
      <x v="1157"/>
    </i>
    <i r="1">
      <x v="1158"/>
    </i>
    <i r="1">
      <x v="1159"/>
    </i>
    <i r="1">
      <x v="1255"/>
    </i>
    <i r="1">
      <x v="1256"/>
    </i>
    <i r="1">
      <x v="1257"/>
    </i>
    <i r="1">
      <x v="1258"/>
    </i>
    <i>
      <x v="361"/>
    </i>
    <i r="1">
      <x v="1151"/>
    </i>
    <i r="1">
      <x v="1223"/>
    </i>
    <i>
      <x v="363"/>
    </i>
    <i r="1">
      <x v="1194"/>
    </i>
    <i r="1">
      <x v="1264"/>
    </i>
    <i>
      <x v="364"/>
    </i>
    <i r="1">
      <x v="1514"/>
    </i>
    <i>
      <x v="365"/>
    </i>
    <i r="1">
      <x v="1984"/>
    </i>
    <i>
      <x v="366"/>
    </i>
    <i r="1">
      <x v="1170"/>
    </i>
    <i r="1">
      <x v="1466"/>
    </i>
    <i r="1">
      <x v="1567"/>
    </i>
    <i r="1">
      <x v="1568"/>
    </i>
    <i r="1">
      <x v="1569"/>
    </i>
    <i r="1">
      <x v="1570"/>
    </i>
    <i r="1">
      <x v="1632"/>
    </i>
    <i r="1">
      <x v="1665"/>
    </i>
    <i r="1">
      <x v="2072"/>
    </i>
    <i>
      <x v="371"/>
    </i>
    <i r="1">
      <x v="1565"/>
    </i>
    <i r="1">
      <x v="1566"/>
    </i>
    <i>
      <x v="373"/>
    </i>
    <i r="1">
      <x v="1459"/>
    </i>
    <i>
      <x v="377"/>
    </i>
    <i r="1">
      <x v="1955"/>
    </i>
    <i r="1">
      <x v="1956"/>
    </i>
    <i>
      <x v="378"/>
    </i>
    <i r="1">
      <x v="1382"/>
    </i>
    <i r="1">
      <x v="2078"/>
    </i>
    <i>
      <x v="387"/>
    </i>
    <i r="1">
      <x v="1288"/>
    </i>
    <i>
      <x v="388"/>
    </i>
    <i r="1">
      <x v="1849"/>
    </i>
    <i r="1">
      <x v="2077"/>
    </i>
    <i>
      <x v="391"/>
    </i>
    <i r="1">
      <x v="1735"/>
    </i>
    <i r="1">
      <x v="1736"/>
    </i>
    <i r="1">
      <x v="1737"/>
    </i>
    <i r="1">
      <x v="1738"/>
    </i>
    <i r="1">
      <x v="1942"/>
    </i>
    <i>
      <x v="394"/>
    </i>
    <i r="1">
      <x v="1390"/>
    </i>
    <i>
      <x v="395"/>
    </i>
    <i r="1">
      <x v="1250"/>
    </i>
    <i>
      <x v="405"/>
    </i>
    <i r="1">
      <x v="2037"/>
    </i>
    <i r="1">
      <x v="2038"/>
    </i>
    <i>
      <x v="406"/>
    </i>
    <i r="1">
      <x v="1690"/>
    </i>
    <i>
      <x v="409"/>
    </i>
    <i r="1">
      <x v="1492"/>
    </i>
    <i r="1">
      <x v="1493"/>
    </i>
    <i r="1">
      <x v="1494"/>
    </i>
    <i r="1">
      <x v="1495"/>
    </i>
    <i>
      <x v="410"/>
    </i>
    <i r="1">
      <x v="2087"/>
    </i>
    <i>
      <x v="411"/>
    </i>
    <i r="1">
      <x v="1518"/>
    </i>
    <i r="1">
      <x v="1519"/>
    </i>
    <i>
      <x v="412"/>
    </i>
    <i r="1">
      <x v="1813"/>
    </i>
    <i>
      <x v="414"/>
    </i>
    <i r="1">
      <x v="1949"/>
    </i>
    <i>
      <x v="419"/>
    </i>
    <i r="1">
      <x v="1112"/>
    </i>
    <i r="1">
      <x v="1114"/>
    </i>
    <i>
      <x v="420"/>
    </i>
    <i r="1">
      <x v="1245"/>
    </i>
    <i>
      <x v="423"/>
    </i>
    <i r="1">
      <x v="1776"/>
    </i>
    <i r="1">
      <x v="1780"/>
    </i>
    <i r="1">
      <x v="1821"/>
    </i>
    <i r="1">
      <x v="1824"/>
    </i>
    <i r="1">
      <x v="1825"/>
    </i>
    <i>
      <x v="424"/>
    </i>
    <i r="1">
      <x v="1392"/>
    </i>
    <i>
      <x v="425"/>
    </i>
    <i r="1">
      <x v="1767"/>
    </i>
    <i>
      <x v="429"/>
    </i>
    <i r="1">
      <x v="1490"/>
    </i>
    <i>
      <x v="432"/>
    </i>
    <i r="1">
      <x v="1950"/>
    </i>
    <i>
      <x v="433"/>
    </i>
    <i r="1">
      <x v="1174"/>
    </i>
    <i r="1">
      <x v="1286"/>
    </i>
    <i>
      <x v="435"/>
    </i>
    <i r="1">
      <x v="1238"/>
    </i>
    <i r="1">
      <x v="1512"/>
    </i>
    <i r="1">
      <x v="1935"/>
    </i>
    <i r="1">
      <x v="1996"/>
    </i>
    <i>
      <x v="440"/>
    </i>
    <i r="1">
      <x v="1318"/>
    </i>
    <i r="1">
      <x v="1386"/>
    </i>
    <i r="1">
      <x v="1509"/>
    </i>
    <i r="1">
      <x v="1674"/>
    </i>
    <i>
      <x v="442"/>
    </i>
    <i r="1">
      <x v="1502"/>
    </i>
    <i>
      <x v="444"/>
    </i>
    <i r="1">
      <x v="1686"/>
    </i>
    <i>
      <x v="447"/>
    </i>
    <i r="1">
      <x v="2045"/>
    </i>
    <i>
      <x v="448"/>
    </i>
    <i r="1">
      <x v="1770"/>
    </i>
    <i>
      <x v="449"/>
    </i>
    <i r="1">
      <x v="1772"/>
    </i>
    <i r="1">
      <x v="1872"/>
    </i>
    <i>
      <x v="450"/>
    </i>
    <i r="1">
      <x v="1204"/>
    </i>
    <i>
      <x v="453"/>
    </i>
    <i r="1">
      <x v="1244"/>
    </i>
    <i>
      <x v="455"/>
    </i>
    <i r="1">
      <x v="1247"/>
    </i>
    <i r="1">
      <x v="1269"/>
    </i>
    <i r="1">
      <x v="1407"/>
    </i>
    <i r="1">
      <x v="1854"/>
    </i>
    <i r="1">
      <x v="2026"/>
    </i>
    <i>
      <x v="459"/>
    </i>
    <i r="1">
      <x v="1092"/>
    </i>
    <i r="1">
      <x v="1826"/>
    </i>
    <i>
      <x v="460"/>
    </i>
    <i r="1">
      <x v="2053"/>
    </i>
    <i>
      <x v="461"/>
    </i>
    <i r="1">
      <x v="1391"/>
    </i>
    <i>
      <x v="462"/>
    </i>
    <i r="1">
      <x v="1560"/>
    </i>
    <i>
      <x v="463"/>
    </i>
    <i r="1">
      <x v="1144"/>
    </i>
    <i r="1">
      <x v="1889"/>
    </i>
    <i>
      <x v="470"/>
    </i>
    <i r="1">
      <x v="1465"/>
    </i>
    <i>
      <x v="473"/>
    </i>
    <i r="1">
      <x v="2095"/>
    </i>
    <i>
      <x v="475"/>
    </i>
    <i r="1">
      <x v="1152"/>
    </i>
    <i r="1">
      <x v="1153"/>
    </i>
    <i r="1">
      <x v="1154"/>
    </i>
    <i r="1">
      <x v="1155"/>
    </i>
    <i>
      <x v="479"/>
    </i>
    <i r="1">
      <x v="2065"/>
    </i>
    <i>
      <x v="482"/>
    </i>
    <i r="1">
      <x v="1443"/>
    </i>
    <i>
      <x v="484"/>
    </i>
    <i r="1">
      <x v="1863"/>
    </i>
    <i>
      <x v="485"/>
    </i>
    <i r="1">
      <x v="1589"/>
    </i>
    <i r="1">
      <x v="1779"/>
    </i>
    <i>
      <x v="486"/>
    </i>
    <i r="1">
      <x v="1195"/>
    </i>
    <i r="1">
      <x v="1923"/>
    </i>
    <i>
      <x v="487"/>
    </i>
    <i r="1">
      <x v="1270"/>
    </i>
    <i>
      <x v="497"/>
    </i>
    <i r="1">
      <x v="1133"/>
    </i>
    <i>
      <x v="501"/>
    </i>
    <i r="1">
      <x v="1965"/>
    </i>
    <i>
      <x v="504"/>
    </i>
    <i r="1">
      <x v="1503"/>
    </i>
    <i>
      <x v="505"/>
    </i>
    <i r="1">
      <x v="1201"/>
    </i>
    <i r="1">
      <x v="2051"/>
    </i>
    <i>
      <x v="506"/>
    </i>
    <i r="1">
      <x v="1486"/>
    </i>
    <i>
      <x v="507"/>
    </i>
    <i r="1">
      <x v="1198"/>
    </i>
    <i r="1">
      <x v="1209"/>
    </i>
    <i r="1">
      <x v="1741"/>
    </i>
    <i>
      <x v="508"/>
    </i>
    <i r="1">
      <x v="1323"/>
    </i>
    <i r="1">
      <x v="1324"/>
    </i>
    <i>
      <x v="509"/>
    </i>
    <i r="1">
      <x v="1907"/>
    </i>
    <i>
      <x v="512"/>
    </i>
    <i r="1">
      <x v="1214"/>
    </i>
    <i r="1">
      <x v="1248"/>
    </i>
    <i r="1">
      <x v="1667"/>
    </i>
    <i>
      <x v="513"/>
    </i>
    <i r="1">
      <x v="1129"/>
    </i>
    <i>
      <x v="517"/>
    </i>
    <i r="1">
      <x v="1594"/>
    </i>
    <i>
      <x v="519"/>
    </i>
    <i r="1">
      <x v="1928"/>
    </i>
    <i r="1">
      <x v="1969"/>
    </i>
    <i>
      <x v="520"/>
    </i>
    <i r="1">
      <x v="1184"/>
    </i>
    <i>
      <x v="524"/>
    </i>
    <i r="1">
      <x v="1099"/>
    </i>
    <i r="1">
      <x v="1263"/>
    </i>
    <i r="1">
      <x v="1870"/>
    </i>
    <i r="1">
      <x v="1920"/>
    </i>
    <i r="1">
      <x v="1921"/>
    </i>
    <i>
      <x v="526"/>
    </i>
    <i r="1">
      <x v="1145"/>
    </i>
    <i>
      <x v="527"/>
    </i>
    <i r="1">
      <x v="1356"/>
    </i>
    <i r="1">
      <x v="1605"/>
    </i>
    <i r="1">
      <x v="1932"/>
    </i>
    <i>
      <x v="531"/>
    </i>
    <i r="1">
      <x v="1649"/>
    </i>
    <i r="1">
      <x v="1845"/>
    </i>
    <i r="1">
      <x v="1858"/>
    </i>
    <i r="1">
      <x v="1961"/>
    </i>
    <i r="1">
      <x v="1974"/>
    </i>
    <i>
      <x v="533"/>
    </i>
    <i r="1">
      <x v="1161"/>
    </i>
    <i r="1">
      <x v="1654"/>
    </i>
    <i>
      <x v="538"/>
    </i>
    <i r="1">
      <x v="1764"/>
    </i>
    <i r="1">
      <x v="1925"/>
    </i>
    <i>
      <x v="540"/>
    </i>
    <i r="1">
      <x v="1840"/>
    </i>
    <i r="1">
      <x v="1841"/>
    </i>
    <i r="1">
      <x v="1842"/>
    </i>
    <i r="1">
      <x v="1915"/>
    </i>
    <i r="1">
      <x v="1933"/>
    </i>
    <i r="1">
      <x v="2004"/>
    </i>
    <i>
      <x v="546"/>
    </i>
    <i r="1">
      <x v="1192"/>
    </i>
    <i r="1">
      <x v="1265"/>
    </i>
    <i r="1">
      <x v="1387"/>
    </i>
    <i r="1">
      <x v="1595"/>
    </i>
    <i r="1">
      <x v="1656"/>
    </i>
    <i r="1">
      <x v="1761"/>
    </i>
    <i r="1">
      <x v="1782"/>
    </i>
    <i r="1">
      <x v="2044"/>
    </i>
    <i r="1">
      <x v="2054"/>
    </i>
    <i r="1">
      <x v="2055"/>
    </i>
    <i r="1">
      <x v="2060"/>
    </i>
    <i>
      <x v="548"/>
    </i>
    <i r="1">
      <x v="1650"/>
    </i>
    <i r="1">
      <x v="1847"/>
    </i>
    <i r="1">
      <x v="1958"/>
    </i>
    <i r="1">
      <x v="1959"/>
    </i>
    <i>
      <x v="552"/>
    </i>
    <i r="1">
      <x v="1377"/>
    </i>
    <i>
      <x v="555"/>
    </i>
    <i r="1">
      <x v="2081"/>
    </i>
    <i>
      <x v="557"/>
    </i>
    <i r="1">
      <x v="1936"/>
    </i>
    <i>
      <x v="558"/>
    </i>
    <i r="1">
      <x v="1423"/>
    </i>
    <i r="1">
      <x v="1708"/>
    </i>
    <i r="1">
      <x v="1742"/>
    </i>
    <i>
      <x v="560"/>
    </i>
    <i r="1">
      <x v="1175"/>
    </i>
    <i r="1">
      <x v="1176"/>
    </i>
    <i>
      <x v="561"/>
    </i>
    <i r="1">
      <x v="1577"/>
    </i>
    <i>
      <x v="562"/>
    </i>
    <i r="1">
      <x v="1267"/>
    </i>
    <i r="1">
      <x v="1394"/>
    </i>
    <i r="1">
      <x v="1402"/>
    </i>
    <i r="1">
      <x v="1403"/>
    </i>
    <i r="1">
      <x v="1441"/>
    </i>
    <i r="1">
      <x v="1497"/>
    </i>
    <i>
      <x v="563"/>
    </i>
    <i r="1">
      <x v="1146"/>
    </i>
    <i>
      <x v="565"/>
    </i>
    <i r="1">
      <x v="1285"/>
    </i>
    <i r="1">
      <x v="1616"/>
    </i>
    <i r="1">
      <x v="1919"/>
    </i>
    <i>
      <x v="567"/>
    </i>
    <i r="1">
      <x v="1670"/>
    </i>
    <i r="1">
      <x v="2075"/>
    </i>
    <i>
      <x v="568"/>
    </i>
    <i r="1">
      <x v="1786"/>
    </i>
    <i r="1">
      <x v="1876"/>
    </i>
    <i>
      <x v="570"/>
    </i>
    <i r="1">
      <x v="1642"/>
    </i>
    <i r="1">
      <x v="1739"/>
    </i>
    <i>
      <x v="572"/>
    </i>
    <i r="1">
      <x v="1473"/>
    </i>
    <i>
      <x v="573"/>
    </i>
    <i r="1">
      <x v="1681"/>
    </i>
    <i>
      <x v="575"/>
    </i>
    <i r="1">
      <x v="1397"/>
    </i>
    <i>
      <x v="578"/>
    </i>
    <i r="1">
      <x v="1341"/>
    </i>
    <i r="1">
      <x v="1404"/>
    </i>
    <i r="1">
      <x v="1513"/>
    </i>
    <i r="1">
      <x v="1527"/>
    </i>
    <i>
      <x v="582"/>
    </i>
    <i r="1">
      <x v="1141"/>
    </i>
    <i r="1">
      <x v="1636"/>
    </i>
    <i>
      <x v="583"/>
    </i>
    <i r="1">
      <x v="1065"/>
    </i>
    <i>
      <x v="584"/>
    </i>
    <i r="1">
      <x v="1066"/>
    </i>
    <i>
      <x v="585"/>
    </i>
    <i r="1">
      <x v="1081"/>
    </i>
    <i r="1">
      <x v="1336"/>
    </i>
    <i>
      <x v="586"/>
    </i>
    <i r="1">
      <x v="1083"/>
    </i>
    <i>
      <x v="587"/>
    </i>
    <i r="1">
      <x v="1084"/>
    </i>
    <i>
      <x v="588"/>
    </i>
    <i r="1">
      <x v="1085"/>
    </i>
    <i>
      <x v="589"/>
    </i>
    <i r="1">
      <x v="1086"/>
    </i>
    <i>
      <x v="590"/>
    </i>
    <i r="1">
      <x v="1087"/>
    </i>
    <i r="1">
      <x v="1230"/>
    </i>
    <i r="1">
      <x v="1438"/>
    </i>
    <i r="1">
      <x v="2001"/>
    </i>
    <i>
      <x v="591"/>
    </i>
    <i r="1">
      <x v="1090"/>
    </i>
    <i r="1">
      <x v="1091"/>
    </i>
    <i r="1">
      <x v="1439"/>
    </i>
    <i>
      <x v="592"/>
    </i>
    <i r="1">
      <x v="1093"/>
    </i>
    <i>
      <x v="593"/>
    </i>
    <i r="1">
      <x v="1095"/>
    </i>
    <i>
      <x v="594"/>
    </i>
    <i r="1">
      <x v="1246"/>
    </i>
    <i r="1">
      <x v="1946"/>
    </i>
    <i>
      <x v="595"/>
    </i>
    <i r="1">
      <x v="1101"/>
    </i>
    <i r="1">
      <x v="1102"/>
    </i>
    <i r="1">
      <x v="1892"/>
    </i>
    <i>
      <x v="596"/>
    </i>
    <i r="1">
      <x v="1103"/>
    </i>
    <i r="1">
      <x v="1641"/>
    </i>
    <i>
      <x v="597"/>
    </i>
    <i r="1">
      <x v="1104"/>
    </i>
    <i>
      <x v="598"/>
    </i>
    <i r="1">
      <x v="1105"/>
    </i>
    <i r="1">
      <x v="1106"/>
    </i>
    <i r="1">
      <x v="1881"/>
    </i>
    <i r="1">
      <x v="1882"/>
    </i>
    <i r="1">
      <x v="1883"/>
    </i>
    <i r="1">
      <x v="1884"/>
    </i>
    <i r="1">
      <x v="1885"/>
    </i>
    <i r="1">
      <x v="2049"/>
    </i>
    <i>
      <x v="599"/>
    </i>
    <i r="1">
      <x v="1107"/>
    </i>
    <i r="1">
      <x v="1108"/>
    </i>
    <i r="1">
      <x v="1109"/>
    </i>
    <i r="1">
      <x v="1110"/>
    </i>
    <i r="1">
      <x v="1111"/>
    </i>
    <i r="1">
      <x v="1532"/>
    </i>
    <i r="1">
      <x v="1768"/>
    </i>
    <i>
      <x v="600"/>
    </i>
    <i r="1">
      <x v="1113"/>
    </i>
    <i r="1">
      <x v="1116"/>
    </i>
    <i r="1">
      <x v="1131"/>
    </i>
    <i r="1">
      <x v="1376"/>
    </i>
    <i>
      <x v="601"/>
    </i>
    <i r="1">
      <x v="1117"/>
    </i>
    <i r="1">
      <x v="1118"/>
    </i>
    <i>
      <x v="602"/>
    </i>
    <i r="1">
      <x v="1120"/>
    </i>
    <i r="1">
      <x v="1197"/>
    </i>
    <i>
      <x v="603"/>
    </i>
    <i r="1">
      <x v="1122"/>
    </i>
    <i r="1">
      <x v="1471"/>
    </i>
    <i>
      <x v="605"/>
    </i>
    <i r="1">
      <x v="1124"/>
    </i>
    <i>
      <x v="606"/>
    </i>
    <i r="1">
      <x v="1125"/>
    </i>
    <i r="1">
      <x v="1126"/>
    </i>
    <i r="1">
      <x v="1127"/>
    </i>
    <i>
      <x v="607"/>
    </i>
    <i r="1">
      <x v="1123"/>
    </i>
    <i>
      <x v="608"/>
    </i>
    <i r="1">
      <x v="1130"/>
    </i>
    <i>
      <x v="609"/>
    </i>
    <i r="1">
      <x v="1132"/>
    </i>
    <i>
      <x v="610"/>
    </i>
    <i r="1">
      <x v="1134"/>
    </i>
    <i>
      <x v="611"/>
    </i>
    <i r="1">
      <x v="1137"/>
    </i>
    <i>
      <x v="612"/>
    </i>
    <i r="1">
      <x v="1138"/>
    </i>
    <i>
      <x v="613"/>
    </i>
    <i r="1">
      <x v="1140"/>
    </i>
    <i r="1">
      <x v="1620"/>
    </i>
    <i>
      <x v="614"/>
    </i>
    <i r="1">
      <x v="1149"/>
    </i>
    <i>
      <x v="615"/>
    </i>
    <i r="1">
      <x v="1150"/>
    </i>
    <i>
      <x v="616"/>
    </i>
    <i r="1">
      <x v="1162"/>
    </i>
    <i r="1">
      <x v="1163"/>
    </i>
    <i r="1">
      <x v="1164"/>
    </i>
    <i r="1">
      <x v="1165"/>
    </i>
    <i r="1">
      <x v="1638"/>
    </i>
    <i>
      <x v="617"/>
    </i>
    <i r="1">
      <x v="1948"/>
    </i>
    <i>
      <x v="618"/>
    </i>
    <i r="1">
      <x v="1167"/>
    </i>
    <i r="1">
      <x v="1172"/>
    </i>
    <i r="1">
      <x v="1769"/>
    </i>
    <i>
      <x v="619"/>
    </i>
    <i r="1">
      <x v="1168"/>
    </i>
    <i>
      <x v="620"/>
    </i>
    <i r="1">
      <x v="1169"/>
    </i>
    <i r="1">
      <x v="1990"/>
    </i>
    <i>
      <x v="621"/>
    </i>
    <i r="1">
      <x v="1171"/>
    </i>
    <i>
      <x v="622"/>
    </i>
    <i r="1">
      <x v="1177"/>
    </i>
    <i r="1">
      <x v="1722"/>
    </i>
    <i r="1">
      <x v="1723"/>
    </i>
    <i r="1">
      <x v="1724"/>
    </i>
    <i>
      <x v="623"/>
    </i>
    <i r="1">
      <x v="1185"/>
    </i>
    <i r="1">
      <x v="1596"/>
    </i>
    <i>
      <x v="624"/>
    </i>
    <i r="1">
      <x v="1189"/>
    </i>
    <i r="1">
      <x v="1673"/>
    </i>
    <i>
      <x v="625"/>
    </i>
    <i r="1">
      <x v="1190"/>
    </i>
    <i r="1">
      <x v="1317"/>
    </i>
    <i r="1">
      <x v="1458"/>
    </i>
    <i r="1">
      <x v="1522"/>
    </i>
    <i>
      <x v="626"/>
    </i>
    <i r="1">
      <x v="2046"/>
    </i>
    <i>
      <x v="627"/>
    </i>
    <i r="1">
      <x v="1196"/>
    </i>
    <i>
      <x v="628"/>
    </i>
    <i r="1">
      <x v="1199"/>
    </i>
    <i>
      <x v="629"/>
    </i>
    <i r="1">
      <x v="1200"/>
    </i>
    <i r="1">
      <x v="1781"/>
    </i>
    <i>
      <x v="630"/>
    </i>
    <i r="1">
      <x v="1207"/>
    </i>
    <i r="1">
      <x v="1843"/>
    </i>
    <i r="1">
      <x v="1951"/>
    </i>
    <i>
      <x v="631"/>
    </i>
    <i r="1">
      <x v="1208"/>
    </i>
    <i r="1">
      <x v="1669"/>
    </i>
    <i r="1">
      <x v="2028"/>
    </i>
    <i>
      <x v="632"/>
    </i>
    <i r="1">
      <x v="1212"/>
    </i>
    <i>
      <x v="633"/>
    </i>
    <i r="1">
      <x v="1215"/>
    </i>
    <i>
      <x v="634"/>
    </i>
    <i r="1">
      <x v="1217"/>
    </i>
    <i r="1">
      <x v="1218"/>
    </i>
    <i>
      <x v="635"/>
    </i>
    <i r="1">
      <x v="1220"/>
    </i>
    <i>
      <x v="636"/>
    </i>
    <i r="1">
      <x v="1221"/>
    </i>
    <i r="1">
      <x v="1411"/>
    </i>
    <i r="1">
      <x v="1525"/>
    </i>
    <i>
      <x v="637"/>
    </i>
    <i r="1">
      <x v="1224"/>
    </i>
    <i r="1">
      <x v="1225"/>
    </i>
    <i r="1">
      <x v="1272"/>
    </i>
    <i>
      <x v="638"/>
    </i>
    <i r="1">
      <x v="1412"/>
    </i>
    <i r="1">
      <x v="1450"/>
    </i>
    <i r="1">
      <x v="1771"/>
    </i>
    <i>
      <x v="639"/>
    </i>
    <i r="1">
      <x v="1236"/>
    </i>
    <i r="1">
      <x v="1436"/>
    </i>
    <i r="1">
      <x v="1437"/>
    </i>
    <i r="1">
      <x v="2098"/>
    </i>
    <i>
      <x v="640"/>
    </i>
    <i r="1">
      <x v="1237"/>
    </i>
    <i>
      <x v="641"/>
    </i>
    <i r="1">
      <x v="1240"/>
    </i>
    <i r="1">
      <x v="1652"/>
    </i>
    <i r="1">
      <x v="1968"/>
    </i>
    <i>
      <x v="642"/>
    </i>
    <i r="1">
      <x v="1242"/>
    </i>
    <i r="1">
      <x v="1243"/>
    </i>
    <i>
      <x v="643"/>
    </i>
    <i r="1">
      <x v="1252"/>
    </i>
    <i r="1">
      <x v="1827"/>
    </i>
    <i>
      <x v="644"/>
    </i>
    <i r="1">
      <x v="1254"/>
    </i>
    <i r="1">
      <x v="1420"/>
    </i>
    <i r="1">
      <x v="1749"/>
    </i>
    <i>
      <x v="645"/>
    </i>
    <i r="1">
      <x v="1262"/>
    </i>
    <i>
      <x v="646"/>
    </i>
    <i r="1">
      <x v="1266"/>
    </i>
    <i>
      <x v="647"/>
    </i>
    <i r="1">
      <x v="1268"/>
    </i>
    <i>
      <x v="648"/>
    </i>
    <i r="1">
      <x v="1271"/>
    </i>
    <i>
      <x v="649"/>
    </i>
    <i r="1">
      <x v="1276"/>
    </i>
    <i>
      <x v="650"/>
    </i>
    <i r="1">
      <x v="1277"/>
    </i>
    <i>
      <x v="651"/>
    </i>
    <i r="1">
      <x v="1280"/>
    </i>
    <i>
      <x v="652"/>
    </i>
    <i r="1">
      <x v="1281"/>
    </i>
    <i r="1">
      <x v="1287"/>
    </i>
    <i>
      <x v="653"/>
    </i>
    <i r="1">
      <x v="1282"/>
    </i>
    <i>
      <x v="654"/>
    </i>
    <i r="1">
      <x v="1289"/>
    </i>
    <i>
      <x v="655"/>
    </i>
    <i r="1">
      <x v="1290"/>
    </i>
    <i r="1">
      <x v="1511"/>
    </i>
    <i>
      <x v="656"/>
    </i>
    <i r="1">
      <x v="1291"/>
    </i>
    <i>
      <x v="657"/>
    </i>
    <i r="1">
      <x v="1292"/>
    </i>
    <i>
      <x v="658"/>
    </i>
    <i r="1">
      <x v="1294"/>
    </i>
    <i r="1">
      <x v="1295"/>
    </i>
    <i r="1">
      <x v="1531"/>
    </i>
    <i r="1">
      <x v="1572"/>
    </i>
    <i r="1">
      <x v="1995"/>
    </i>
    <i>
      <x v="659"/>
    </i>
    <i r="1">
      <x v="1300"/>
    </i>
    <i>
      <x v="660"/>
    </i>
    <i r="1">
      <x v="1306"/>
    </i>
    <i r="1">
      <x v="1871"/>
    </i>
    <i>
      <x v="661"/>
    </i>
    <i r="1">
      <x v="1309"/>
    </i>
    <i>
      <x v="662"/>
    </i>
    <i r="1">
      <x v="1312"/>
    </i>
    <i>
      <x v="663"/>
    </i>
    <i r="1">
      <x v="1313"/>
    </i>
    <i>
      <x v="664"/>
    </i>
    <i r="1">
      <x v="1314"/>
    </i>
    <i>
      <x v="665"/>
    </i>
    <i r="1">
      <x v="1315"/>
    </i>
    <i r="1">
      <x v="1413"/>
    </i>
    <i r="1">
      <x v="1645"/>
    </i>
    <i r="1">
      <x v="1982"/>
    </i>
    <i>
      <x v="666"/>
    </i>
    <i r="1">
      <x v="1316"/>
    </i>
    <i>
      <x v="667"/>
    </i>
    <i r="1">
      <x v="1319"/>
    </i>
    <i r="1">
      <x v="1320"/>
    </i>
    <i>
      <x v="668"/>
    </i>
    <i r="1">
      <x v="1321"/>
    </i>
    <i>
      <x v="669"/>
    </i>
    <i r="1">
      <x v="1322"/>
    </i>
    <i>
      <x v="670"/>
    </i>
    <i r="1">
      <x v="1325"/>
    </i>
    <i r="1">
      <x v="1617"/>
    </i>
    <i>
      <x v="671"/>
    </i>
    <i r="1">
      <x v="1335"/>
    </i>
    <i>
      <x v="672"/>
    </i>
    <i r="1">
      <x v="1339"/>
    </i>
    <i>
      <x v="673"/>
    </i>
    <i r="1">
      <x v="1343"/>
    </i>
    <i r="1">
      <x v="1344"/>
    </i>
    <i r="1">
      <x v="1345"/>
    </i>
    <i r="1">
      <x v="1628"/>
    </i>
    <i>
      <x v="674"/>
    </i>
    <i r="1">
      <x v="1347"/>
    </i>
    <i>
      <x v="675"/>
    </i>
    <i r="1">
      <x v="1354"/>
    </i>
    <i>
      <x v="676"/>
    </i>
    <i r="1">
      <x v="1358"/>
    </i>
    <i>
      <x v="677"/>
    </i>
    <i r="1">
      <x v="1359"/>
    </i>
    <i>
      <x v="678"/>
    </i>
    <i r="1">
      <x v="1370"/>
    </i>
    <i r="1">
      <x v="1474"/>
    </i>
    <i>
      <x v="679"/>
    </i>
    <i r="1">
      <x v="1375"/>
    </i>
    <i>
      <x v="680"/>
    </i>
    <i r="1">
      <x v="1378"/>
    </i>
    <i>
      <x v="681"/>
    </i>
    <i r="1">
      <x v="1379"/>
    </i>
    <i>
      <x v="682"/>
    </i>
    <i r="1">
      <x v="1395"/>
    </i>
    <i>
      <x v="683"/>
    </i>
    <i r="1">
      <x v="1396"/>
    </i>
    <i>
      <x v="684"/>
    </i>
    <i r="1">
      <x v="1398"/>
    </i>
    <i r="1">
      <x v="1517"/>
    </i>
    <i>
      <x v="685"/>
    </i>
    <i r="1">
      <x v="1399"/>
    </i>
    <i>
      <x v="686"/>
    </i>
    <i r="1">
      <x v="1408"/>
    </i>
    <i>
      <x v="687"/>
    </i>
    <i r="1">
      <x v="1414"/>
    </i>
    <i>
      <x v="688"/>
    </i>
    <i r="1">
      <x v="1419"/>
    </i>
    <i r="1">
      <x v="1891"/>
    </i>
    <i r="1">
      <x v="1895"/>
    </i>
    <i>
      <x v="689"/>
    </i>
    <i r="1">
      <x v="1421"/>
    </i>
    <i>
      <x v="690"/>
    </i>
    <i r="1">
      <x v="1426"/>
    </i>
    <i r="1">
      <x v="1427"/>
    </i>
    <i r="1">
      <x v="1591"/>
    </i>
    <i r="1">
      <x v="1668"/>
    </i>
    <i>
      <x v="691"/>
    </i>
    <i r="1">
      <x v="1428"/>
    </i>
    <i>
      <x v="692"/>
    </i>
    <i r="1">
      <x v="1440"/>
    </i>
    <i>
      <x v="693"/>
    </i>
    <i r="1">
      <x v="1442"/>
    </i>
    <i r="1">
      <x v="1504"/>
    </i>
    <i r="1">
      <x v="1655"/>
    </i>
    <i>
      <x v="694"/>
    </i>
    <i r="1">
      <x v="1444"/>
    </i>
    <i>
      <x v="695"/>
    </i>
    <i r="1">
      <x v="1445"/>
    </i>
    <i>
      <x v="696"/>
    </i>
    <i r="1">
      <x v="1447"/>
    </i>
    <i r="1">
      <x v="1448"/>
    </i>
    <i>
      <x v="697"/>
    </i>
    <i r="1">
      <x v="1451"/>
    </i>
    <i>
      <x v="698"/>
    </i>
    <i r="1">
      <x v="1454"/>
    </i>
    <i>
      <x v="699"/>
    </i>
    <i r="1">
      <x v="1472"/>
    </i>
    <i>
      <x v="700"/>
    </i>
    <i r="1">
      <x v="1455"/>
    </i>
    <i r="1">
      <x v="1456"/>
    </i>
    <i r="1">
      <x v="1462"/>
    </i>
    <i>
      <x v="701"/>
    </i>
    <i r="1">
      <x v="1461"/>
    </i>
    <i>
      <x v="702"/>
    </i>
    <i r="1">
      <x v="1463"/>
    </i>
    <i>
      <x v="703"/>
    </i>
    <i r="1">
      <x v="1468"/>
    </i>
    <i>
      <x v="704"/>
    </i>
    <i r="1">
      <x v="1470"/>
    </i>
    <i r="1">
      <x v="1541"/>
    </i>
    <i r="1">
      <x v="2029"/>
    </i>
    <i r="1">
      <x v="2043"/>
    </i>
    <i>
      <x v="705"/>
    </i>
    <i r="1">
      <x v="1475"/>
    </i>
    <i r="1">
      <x v="1476"/>
    </i>
    <i r="1">
      <x v="1477"/>
    </i>
    <i r="1">
      <x v="1507"/>
    </i>
    <i r="1">
      <x v="1508"/>
    </i>
    <i>
      <x v="706"/>
    </i>
    <i r="1">
      <x v="1479"/>
    </i>
    <i>
      <x v="707"/>
    </i>
    <i r="1">
      <x v="1487"/>
    </i>
    <i>
      <x v="708"/>
    </i>
    <i r="1">
      <x v="1488"/>
    </i>
    <i r="1">
      <x v="2086"/>
    </i>
    <i>
      <x v="709"/>
    </i>
    <i r="1">
      <x v="1489"/>
    </i>
    <i r="1">
      <x v="1905"/>
    </i>
    <i>
      <x v="710"/>
    </i>
    <i r="1">
      <x v="1491"/>
    </i>
    <i>
      <x v="711"/>
    </i>
    <i r="1">
      <x v="1496"/>
    </i>
    <i>
      <x v="712"/>
    </i>
    <i r="1">
      <x v="1505"/>
    </i>
    <i>
      <x v="713"/>
    </i>
    <i r="1">
      <x v="1523"/>
    </i>
    <i r="1">
      <x v="1630"/>
    </i>
    <i r="1">
      <x v="1934"/>
    </i>
    <i>
      <x v="714"/>
    </i>
    <i r="1">
      <x v="1524"/>
    </i>
    <i>
      <x v="715"/>
    </i>
    <i r="1">
      <x v="1526"/>
    </i>
    <i>
      <x v="716"/>
    </i>
    <i r="1">
      <x v="1528"/>
    </i>
    <i>
      <x v="717"/>
    </i>
    <i r="1">
      <x v="1529"/>
    </i>
    <i>
      <x v="718"/>
    </i>
    <i r="1">
      <x v="1533"/>
    </i>
    <i>
      <x v="719"/>
    </i>
    <i r="1">
      <x v="1535"/>
    </i>
    <i>
      <x v="720"/>
    </i>
    <i r="1">
      <x v="1536"/>
    </i>
    <i r="1">
      <x v="1537"/>
    </i>
    <i>
      <x v="721"/>
    </i>
    <i r="1">
      <x v="1540"/>
    </i>
    <i>
      <x v="722"/>
    </i>
    <i r="1">
      <x v="1543"/>
    </i>
    <i r="1">
      <x v="1545"/>
    </i>
    <i>
      <x v="723"/>
    </i>
    <i r="1">
      <x v="1547"/>
    </i>
    <i r="1">
      <x v="1740"/>
    </i>
    <i>
      <x v="724"/>
    </i>
    <i r="1">
      <x v="1548"/>
    </i>
    <i>
      <x v="725"/>
    </i>
    <i r="1">
      <x v="1549"/>
    </i>
    <i>
      <x v="726"/>
    </i>
    <i r="1">
      <x v="1551"/>
    </i>
    <i>
      <x v="727"/>
    </i>
    <i r="1">
      <x v="1552"/>
    </i>
    <i>
      <x v="728"/>
    </i>
    <i r="1">
      <x v="1555"/>
    </i>
    <i>
      <x v="729"/>
    </i>
    <i r="1">
      <x v="1556"/>
    </i>
    <i>
      <x v="730"/>
    </i>
    <i r="1">
      <x v="1559"/>
    </i>
    <i>
      <x v="731"/>
    </i>
    <i r="1">
      <x v="1561"/>
    </i>
    <i>
      <x v="732"/>
    </i>
    <i r="1">
      <x v="1563"/>
    </i>
    <i>
      <x v="733"/>
    </i>
    <i r="1">
      <x v="1574"/>
    </i>
    <i>
      <x v="734"/>
    </i>
    <i r="1">
      <x v="1578"/>
    </i>
    <i r="1">
      <x v="2024"/>
    </i>
    <i>
      <x v="735"/>
    </i>
    <i r="1">
      <x v="1581"/>
    </i>
    <i>
      <x v="736"/>
    </i>
    <i r="1">
      <x v="1582"/>
    </i>
    <i>
      <x v="737"/>
    </i>
    <i r="1">
      <x v="1583"/>
    </i>
    <i>
      <x v="738"/>
    </i>
    <i r="1">
      <x v="1585"/>
    </i>
    <i>
      <x v="739"/>
    </i>
    <i r="1">
      <x v="1586"/>
    </i>
    <i>
      <x v="740"/>
    </i>
    <i r="1">
      <x v="1587"/>
    </i>
    <i>
      <x v="741"/>
    </i>
    <i r="1">
      <x v="1588"/>
    </i>
    <i>
      <x v="742"/>
    </i>
    <i r="1">
      <x v="1590"/>
    </i>
    <i r="1">
      <x v="1627"/>
    </i>
    <i>
      <x v="743"/>
    </i>
    <i r="1">
      <x v="1592"/>
    </i>
    <i r="1">
      <x v="1823"/>
    </i>
    <i>
      <x v="744"/>
    </i>
    <i r="1">
      <x v="1600"/>
    </i>
    <i>
      <x v="745"/>
    </i>
    <i r="1">
      <x v="1603"/>
    </i>
    <i>
      <x v="746"/>
    </i>
    <i r="1">
      <x v="1604"/>
    </i>
    <i>
      <x v="747"/>
    </i>
    <i r="1">
      <x v="1606"/>
    </i>
    <i r="1">
      <x v="1607"/>
    </i>
    <i r="1">
      <x v="1836"/>
    </i>
    <i>
      <x v="748"/>
    </i>
    <i r="1">
      <x v="1608"/>
    </i>
    <i r="1">
      <x v="1964"/>
    </i>
    <i>
      <x v="749"/>
    </i>
    <i r="1">
      <x v="1609"/>
    </i>
    <i r="1">
      <x v="2073"/>
    </i>
    <i>
      <x v="750"/>
    </i>
    <i r="1">
      <x v="1611"/>
    </i>
    <i>
      <x v="751"/>
    </i>
    <i r="1">
      <x v="1618"/>
    </i>
    <i>
      <x v="752"/>
    </i>
    <i r="1">
      <x v="1624"/>
    </i>
    <i r="1">
      <x v="1855"/>
    </i>
    <i>
      <x v="753"/>
    </i>
    <i r="1">
      <x v="1629"/>
    </i>
    <i r="1">
      <x v="1909"/>
    </i>
    <i r="1">
      <x v="2061"/>
    </i>
    <i>
      <x v="754"/>
    </i>
    <i r="1">
      <x v="1631"/>
    </i>
    <i>
      <x v="755"/>
    </i>
    <i r="1">
      <x v="1633"/>
    </i>
    <i>
      <x v="756"/>
    </i>
    <i r="1">
      <x v="1635"/>
    </i>
    <i>
      <x v="757"/>
    </i>
    <i r="1">
      <x v="1637"/>
    </i>
    <i>
      <x v="758"/>
    </i>
    <i r="1">
      <x v="1639"/>
    </i>
    <i>
      <x v="759"/>
    </i>
    <i r="1">
      <x v="1640"/>
    </i>
    <i>
      <x v="760"/>
    </i>
    <i r="1">
      <x v="1648"/>
    </i>
    <i>
      <x v="761"/>
    </i>
    <i r="1">
      <x v="1657"/>
    </i>
    <i>
      <x v="762"/>
    </i>
    <i r="1">
      <x v="1659"/>
    </i>
    <i r="1">
      <x v="1861"/>
    </i>
    <i>
      <x v="763"/>
    </i>
    <i r="1">
      <x v="1660"/>
    </i>
    <i>
      <x v="764"/>
    </i>
    <i r="1">
      <x v="1661"/>
    </i>
    <i>
      <x v="765"/>
    </i>
    <i r="1">
      <x v="1663"/>
    </i>
    <i>
      <x v="766"/>
    </i>
    <i r="1">
      <x v="1675"/>
    </i>
    <i>
      <x v="767"/>
    </i>
    <i r="1">
      <x v="1677"/>
    </i>
    <i>
      <x v="768"/>
    </i>
    <i r="1">
      <x v="1680"/>
    </i>
    <i>
      <x v="769"/>
    </i>
    <i r="1">
      <x v="1683"/>
    </i>
    <i>
      <x v="770"/>
    </i>
    <i r="1">
      <x v="1692"/>
    </i>
    <i>
      <x v="771"/>
    </i>
    <i r="1">
      <x v="1696"/>
    </i>
    <i>
      <x v="772"/>
    </i>
    <i r="1">
      <x v="1706"/>
    </i>
    <i>
      <x v="773"/>
    </i>
    <i r="1">
      <x v="1707"/>
    </i>
    <i>
      <x v="774"/>
    </i>
    <i r="1">
      <x v="1713"/>
    </i>
    <i>
      <x v="775"/>
    </i>
    <i r="1">
      <x v="1714"/>
    </i>
    <i r="1">
      <x v="1715"/>
    </i>
    <i r="1">
      <x v="1716"/>
    </i>
    <i r="1">
      <x v="1731"/>
    </i>
    <i>
      <x v="776"/>
    </i>
    <i r="1">
      <x v="1717"/>
    </i>
    <i>
      <x v="777"/>
    </i>
    <i r="1">
      <x v="1718"/>
    </i>
    <i>
      <x v="778"/>
    </i>
    <i r="1">
      <x v="1719"/>
    </i>
    <i>
      <x v="779"/>
    </i>
    <i r="1">
      <x v="1720"/>
    </i>
    <i>
      <x v="780"/>
    </i>
    <i r="1">
      <x v="1721"/>
    </i>
    <i>
      <x v="781"/>
    </i>
    <i r="1">
      <x v="1725"/>
    </i>
    <i>
      <x v="782"/>
    </i>
    <i r="1">
      <x v="1726"/>
    </i>
    <i>
      <x v="783"/>
    </i>
    <i r="1">
      <x v="1728"/>
    </i>
    <i>
      <x v="784"/>
    </i>
    <i r="1">
      <x v="1729"/>
    </i>
    <i>
      <x v="785"/>
    </i>
    <i r="1">
      <x v="1746"/>
    </i>
    <i r="1">
      <x v="1747"/>
    </i>
    <i>
      <x v="786"/>
    </i>
    <i r="1">
      <x v="1748"/>
    </i>
    <i>
      <x v="787"/>
    </i>
    <i r="1">
      <x v="1750"/>
    </i>
    <i>
      <x v="788"/>
    </i>
    <i r="1">
      <x v="1751"/>
    </i>
    <i>
      <x v="789"/>
    </i>
    <i r="1">
      <x v="1752"/>
    </i>
    <i>
      <x v="790"/>
    </i>
    <i r="1">
      <x v="1753"/>
    </i>
    <i>
      <x v="791"/>
    </i>
    <i r="1">
      <x v="1754"/>
    </i>
    <i>
      <x v="792"/>
    </i>
    <i r="1">
      <x v="1756"/>
    </i>
    <i>
      <x v="793"/>
    </i>
    <i r="1">
      <x v="1757"/>
    </i>
    <i>
      <x v="794"/>
    </i>
    <i r="1">
      <x v="1763"/>
    </i>
    <i>
      <x v="795"/>
    </i>
    <i r="1">
      <x v="1765"/>
    </i>
    <i r="1">
      <x v="1816"/>
    </i>
    <i>
      <x v="796"/>
    </i>
    <i r="1">
      <x v="1783"/>
    </i>
    <i r="1">
      <x v="1784"/>
    </i>
    <i>
      <x v="797"/>
    </i>
    <i r="1">
      <x v="1785"/>
    </i>
    <i>
      <x v="798"/>
    </i>
    <i r="1">
      <x v="1790"/>
    </i>
    <i>
      <x v="799"/>
    </i>
    <i r="1">
      <x v="1792"/>
    </i>
    <i>
      <x v="800"/>
    </i>
    <i r="1">
      <x v="1797"/>
    </i>
    <i>
      <x v="801"/>
    </i>
    <i r="1">
      <x v="1798"/>
    </i>
    <i>
      <x v="802"/>
    </i>
    <i r="1">
      <x v="1800"/>
    </i>
    <i>
      <x v="803"/>
    </i>
    <i r="1">
      <x v="1807"/>
    </i>
    <i>
      <x v="804"/>
    </i>
    <i r="1">
      <x v="1809"/>
    </i>
    <i>
      <x v="805"/>
    </i>
    <i r="1">
      <x v="1815"/>
    </i>
    <i>
      <x v="806"/>
    </i>
    <i r="1">
      <x v="1828"/>
    </i>
    <i>
      <x v="807"/>
    </i>
    <i r="1">
      <x v="1833"/>
    </i>
    <i r="1">
      <x v="2009"/>
    </i>
    <i r="1">
      <x v="2015"/>
    </i>
    <i>
      <x v="808"/>
    </i>
    <i r="1">
      <x v="1834"/>
    </i>
    <i>
      <x v="809"/>
    </i>
    <i r="1">
      <x v="1835"/>
    </i>
    <i>
      <x v="810"/>
    </i>
    <i r="1">
      <x v="1844"/>
    </i>
    <i>
      <x v="811"/>
    </i>
    <i r="1">
      <x v="1846"/>
    </i>
    <i r="1">
      <x v="1957"/>
    </i>
    <i>
      <x v="812"/>
    </i>
    <i r="1">
      <x v="1848"/>
    </i>
    <i>
      <x v="813"/>
    </i>
    <i r="1">
      <x v="1852"/>
    </i>
    <i>
      <x v="814"/>
    </i>
    <i r="1">
      <x v="1853"/>
    </i>
    <i>
      <x v="815"/>
    </i>
    <i r="1">
      <x v="1859"/>
    </i>
    <i>
      <x v="816"/>
    </i>
    <i r="1">
      <x v="1862"/>
    </i>
    <i>
      <x v="817"/>
    </i>
    <i r="1">
      <x v="1873"/>
    </i>
    <i r="1">
      <x v="1906"/>
    </i>
    <i r="1">
      <x v="1930"/>
    </i>
    <i r="1">
      <x v="1966"/>
    </i>
    <i r="1">
      <x v="1967"/>
    </i>
    <i r="1">
      <x v="1991"/>
    </i>
    <i>
      <x v="818"/>
    </i>
    <i r="1">
      <x v="1874"/>
    </i>
    <i>
      <x v="819"/>
    </i>
    <i r="1">
      <x v="1880"/>
    </i>
    <i>
      <x v="820"/>
    </i>
    <i r="1">
      <x v="1897"/>
    </i>
    <i r="1">
      <x v="1898"/>
    </i>
    <i>
      <x v="821"/>
    </i>
    <i r="1">
      <x v="1912"/>
    </i>
    <i>
      <x v="822"/>
    </i>
    <i r="1">
      <x v="1913"/>
    </i>
    <i>
      <x v="823"/>
    </i>
    <i r="1">
      <x v="1914"/>
    </i>
    <i>
      <x v="824"/>
    </i>
    <i r="1">
      <x v="1917"/>
    </i>
    <i>
      <x v="825"/>
    </i>
    <i r="1">
      <x v="1922"/>
    </i>
    <i>
      <x v="826"/>
    </i>
    <i r="1">
      <x v="1924"/>
    </i>
    <i r="1">
      <x v="1926"/>
    </i>
    <i>
      <x v="827"/>
    </i>
    <i r="1">
      <x v="1927"/>
    </i>
    <i>
      <x v="828"/>
    </i>
    <i r="1">
      <x v="1929"/>
    </i>
    <i>
      <x v="829"/>
    </i>
    <i r="1">
      <x v="1931"/>
    </i>
    <i r="1">
      <x v="2027"/>
    </i>
    <i>
      <x v="830"/>
    </i>
    <i r="1">
      <x v="1937"/>
    </i>
    <i r="1">
      <x v="1938"/>
    </i>
    <i>
      <x v="831"/>
    </i>
    <i r="1">
      <x v="1954"/>
    </i>
    <i r="1">
      <x v="2059"/>
    </i>
    <i>
      <x v="832"/>
    </i>
    <i r="1">
      <x v="1963"/>
    </i>
    <i>
      <x v="833"/>
    </i>
    <i r="1">
      <x v="1971"/>
    </i>
    <i r="1">
      <x v="1972"/>
    </i>
    <i r="1">
      <x v="1973"/>
    </i>
    <i>
      <x v="834"/>
    </i>
    <i r="1">
      <x v="1975"/>
    </i>
    <i>
      <x v="835"/>
    </i>
    <i r="1">
      <x v="1979"/>
    </i>
    <i>
      <x v="836"/>
    </i>
    <i r="1">
      <x v="1980"/>
    </i>
    <i>
      <x v="837"/>
    </i>
    <i r="1">
      <x v="1981"/>
    </i>
    <i>
      <x v="838"/>
    </i>
    <i r="1">
      <x v="1983"/>
    </i>
    <i>
      <x v="839"/>
    </i>
    <i r="1">
      <x v="1985"/>
    </i>
    <i>
      <x v="840"/>
    </i>
    <i r="1">
      <x v="1987"/>
    </i>
    <i>
      <x v="841"/>
    </i>
    <i r="1">
      <x v="1988"/>
    </i>
    <i>
      <x v="842"/>
    </i>
    <i r="1">
      <x v="1992"/>
    </i>
    <i>
      <x v="843"/>
    </i>
    <i r="1">
      <x v="1993"/>
    </i>
    <i>
      <x v="844"/>
    </i>
    <i r="1">
      <x v="2002"/>
    </i>
    <i>
      <x v="845"/>
    </i>
    <i r="1">
      <x v="2005"/>
    </i>
    <i>
      <x v="846"/>
    </i>
    <i r="1">
      <x v="2006"/>
    </i>
    <i>
      <x v="847"/>
    </i>
    <i r="1">
      <x v="2008"/>
    </i>
    <i>
      <x v="848"/>
    </i>
    <i r="1">
      <x v="2010"/>
    </i>
    <i>
      <x v="849"/>
    </i>
    <i r="1">
      <x v="2012"/>
    </i>
    <i>
      <x v="850"/>
    </i>
    <i r="1">
      <x v="2016"/>
    </i>
    <i>
      <x v="851"/>
    </i>
    <i r="1">
      <x v="2017"/>
    </i>
    <i>
      <x v="852"/>
    </i>
    <i r="1">
      <x v="2019"/>
    </i>
    <i>
      <x v="853"/>
    </i>
    <i r="1">
      <x v="2020"/>
    </i>
    <i>
      <x v="854"/>
    </i>
    <i r="1">
      <x v="2022"/>
    </i>
    <i>
      <x v="855"/>
    </i>
    <i r="1">
      <x v="2025"/>
    </i>
    <i>
      <x v="856"/>
    </i>
    <i r="1">
      <x v="2031"/>
    </i>
    <i>
      <x v="857"/>
    </i>
    <i r="1">
      <x v="2032"/>
    </i>
    <i>
      <x v="858"/>
    </i>
    <i r="1">
      <x v="2035"/>
    </i>
    <i r="1">
      <x v="2036"/>
    </i>
    <i r="1">
      <x v="2076"/>
    </i>
    <i>
      <x v="859"/>
    </i>
    <i r="1">
      <x v="2039"/>
    </i>
    <i>
      <x v="860"/>
    </i>
    <i r="1">
      <x v="2040"/>
    </i>
    <i>
      <x v="861"/>
    </i>
    <i r="1">
      <x v="2041"/>
    </i>
    <i>
      <x v="867"/>
    </i>
    <i r="1">
      <x v="2047"/>
    </i>
    <i>
      <x v="868"/>
    </i>
    <i r="1">
      <x v="2057"/>
    </i>
    <i>
      <x v="869"/>
    </i>
    <i r="1">
      <x v="2058"/>
    </i>
    <i r="1">
      <x v="2083"/>
    </i>
    <i>
      <x v="870"/>
    </i>
    <i r="1">
      <x v="2063"/>
    </i>
    <i>
      <x v="871"/>
    </i>
    <i r="1">
      <x v="2066"/>
    </i>
    <i>
      <x v="872"/>
    </i>
    <i r="1">
      <x v="2068"/>
    </i>
    <i>
      <x v="873"/>
    </i>
    <i r="1">
      <x v="2070"/>
    </i>
    <i>
      <x v="874"/>
    </i>
    <i r="1">
      <x v="2079"/>
    </i>
    <i>
      <x v="875"/>
    </i>
    <i r="1">
      <x v="2085"/>
    </i>
    <i>
      <x v="876"/>
    </i>
    <i r="1">
      <x v="2088"/>
    </i>
    <i>
      <x v="877"/>
    </i>
    <i r="1">
      <x v="2091"/>
    </i>
    <i>
      <x v="878"/>
    </i>
    <i r="1">
      <x v="2092"/>
    </i>
    <i>
      <x v="879"/>
    </i>
    <i r="1">
      <x v="2094"/>
    </i>
    <i>
      <x v="880"/>
    </i>
    <i r="1">
      <x v="2096"/>
    </i>
    <i>
      <x v="881"/>
    </i>
    <i r="1">
      <x v="2097"/>
    </i>
    <i t="grand">
      <x/>
    </i>
  </rowItems>
  <colFields count="1">
    <field x="-2"/>
  </colFields>
  <colItems count="2">
    <i>
      <x/>
    </i>
    <i i="1">
      <x v="1"/>
    </i>
  </colItems>
  <pageFields count="1">
    <pageField fld="22" hier="-1"/>
  </pageFields>
  <dataFields count="2">
    <dataField name="Cuenta de YA PAGA  EN SISTEMA" fld="22" subtotal="count" baseField="0" baseItem="0"/>
    <dataField name="Suma de Total" fld="14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4BB4A77-C4AE-4527-8C05-53BDC95E8512}" name="Tabla3" displayName="Tabla3" ref="A10:X1044" totalsRowShown="0" headerRowDxfId="28" dataDxfId="26" headerRowBorderDxfId="27" tableBorderDxfId="25" totalsRowBorderDxfId="24">
  <tableColumns count="24">
    <tableColumn id="1" xr3:uid="{A207E075-043E-46E5-A212-DD4E89C51216}" name="Tipo de documento" dataDxfId="23"/>
    <tableColumn id="2" xr3:uid="{4BC2265C-E3E2-4B96-AA8F-8145FF524006}" name="CUFE/CUDE" dataDxfId="22"/>
    <tableColumn id="3" xr3:uid="{F0359DAE-8164-412D-B97F-4E06AFFD7AC4}" name="Folio" dataDxfId="21"/>
    <tableColumn id="4" xr3:uid="{280111CC-A2B4-498E-9575-897DAB93F551}" name="Columna1" dataDxfId="20">
      <calculatedColumnFormula>C11-C12</calculatedColumnFormula>
    </tableColumn>
    <tableColumn id="5" xr3:uid="{4496D70B-A4A4-45A4-924C-17F3A51B6980}" name="Prefijo" dataDxfId="19"/>
    <tableColumn id="6" xr3:uid="{95323D2C-E9A0-40C8-B67E-A1A37DCCD8A5}" name="Fecha Emisión" dataDxfId="18"/>
    <tableColumn id="7" xr3:uid="{96C2A3C4-091A-4BE7-BCE3-2C473C697B8E}" name="Fecha Recepción" dataDxfId="17"/>
    <tableColumn id="8" xr3:uid="{DBC6A256-C1F6-45B7-A24C-CFE768F0B97D}" name="NIT Emisor" dataDxfId="16"/>
    <tableColumn id="9" xr3:uid="{4C2F4AC4-D71D-4C40-9960-F8477A97515A}" name="Nombre Emisor" dataDxfId="15"/>
    <tableColumn id="10" xr3:uid="{86BE35EE-5555-4334-9C18-2F403DE831C0}" name="NIT Receptor" dataDxfId="14"/>
    <tableColumn id="11" xr3:uid="{F46555A7-AE54-419A-9F4A-6DF06F860189}" name="Nombre Receptor" dataDxfId="13"/>
    <tableColumn id="12" xr3:uid="{F7DFDE07-05CB-45C7-AF33-728BE72785AE}" name="IVA" dataDxfId="12"/>
    <tableColumn id="13" xr3:uid="{56138E29-95E5-4C4A-8989-E72564C5532E}" name="ICA" dataDxfId="11"/>
    <tableColumn id="14" xr3:uid="{CCE70E9A-714C-4CC4-AA01-48D48D25094D}" name="IPC" dataDxfId="10"/>
    <tableColumn id="15" xr3:uid="{D5DFD47C-AAC0-43A1-8991-CC80CE87B3D4}" name="Total" dataDxfId="9"/>
    <tableColumn id="16" xr3:uid="{3A0220F2-8AD7-455B-9315-77A954277EAA}" name="Estado" dataDxfId="8"/>
    <tableColumn id="17" xr3:uid="{2DA17991-34CD-4A74-B576-59E2E74494DD}" name="Grupo" dataDxfId="7"/>
    <tableColumn id="18" xr3:uid="{701E6B55-1BA5-4FE6-A42A-E2A9F8534BB7}" name="1 ACUSE" dataDxfId="6"/>
    <tableColumn id="19" xr3:uid="{2B7B69D0-7F04-4CED-B5AA-C9CAAFEEFE5C}" name="2 ACUSE" dataDxfId="5"/>
    <tableColumn id="20" xr3:uid="{E1EB6334-FDEE-45E9-A452-E30A48879B04}" name="3 ACUSE" dataDxfId="4"/>
    <tableColumn id="21" xr3:uid="{31B61A62-7521-4785-A7BF-9DC6AD21252B}" name="RECHAZADA" dataDxfId="3"/>
    <tableColumn id="22" xr3:uid="{D79D0411-306D-412C-AECC-A0AA78363B7D}" name="SIN ACUSE" dataDxfId="2"/>
    <tableColumn id="23" xr3:uid="{2DBA8A60-6DDC-41F6-84C5-3CD84EA424B6}" name="YA PAGA  EN SISTEMA" dataDxfId="1"/>
    <tableColumn id="25" xr3:uid="{4055FE03-B7EF-4268-B6CB-4B14699294BA}" name="OBSERVACION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44"/>
  <sheetViews>
    <sheetView tabSelected="1" zoomScaleNormal="100" workbookViewId="0">
      <pane ySplit="10" topLeftCell="A43" activePane="bottomLeft" state="frozen"/>
      <selection pane="bottomLeft" activeCell="B49" sqref="B49"/>
    </sheetView>
  </sheetViews>
  <sheetFormatPr baseColWidth="10" defaultColWidth="9.140625" defaultRowHeight="12.75" x14ac:dyDescent="0.2"/>
  <cols>
    <col min="1" max="1" width="17.140625" style="1" customWidth="1"/>
    <col min="2" max="2" width="21.85546875" style="1" customWidth="1"/>
    <col min="3" max="3" width="10" style="3" customWidth="1"/>
    <col min="4" max="4" width="7.140625" style="1" customWidth="1"/>
    <col min="5" max="5" width="4.140625" style="1" customWidth="1"/>
    <col min="6" max="6" width="10" style="2" customWidth="1"/>
    <col min="7" max="7" width="10.140625" style="2" customWidth="1"/>
    <col min="8" max="8" width="10.28515625" style="2" customWidth="1"/>
    <col min="9" max="9" width="11.42578125" style="2" customWidth="1"/>
    <col min="10" max="10" width="9.7109375" style="2" customWidth="1"/>
    <col min="11" max="11" width="16.5703125" style="1" customWidth="1"/>
    <col min="12" max="12" width="14.28515625" style="1" customWidth="1"/>
    <col min="13" max="13" width="5.7109375" style="1" customWidth="1"/>
    <col min="14" max="14" width="5.85546875" style="1" customWidth="1"/>
    <col min="15" max="15" width="10.5703125" style="1" customWidth="1"/>
    <col min="16" max="16" width="9.85546875" style="1" customWidth="1"/>
    <col min="17" max="17" width="6.28515625" style="1" customWidth="1"/>
    <col min="18" max="18" width="7" style="1" customWidth="1"/>
    <col min="19" max="19" width="6" style="1" customWidth="1"/>
    <col min="20" max="20" width="7.140625" style="1" customWidth="1"/>
    <col min="21" max="21" width="6.5703125" style="1" customWidth="1"/>
    <col min="22" max="22" width="5.7109375" style="1" customWidth="1"/>
    <col min="23" max="23" width="8.85546875" style="1" customWidth="1"/>
    <col min="24" max="24" width="34.42578125" style="1" customWidth="1"/>
    <col min="25" max="16384" width="9.140625" style="1"/>
  </cols>
  <sheetData>
    <row r="1" spans="1:24" ht="15" x14ac:dyDescent="0.25">
      <c r="A1" s="6" t="s">
        <v>0</v>
      </c>
      <c r="B1" s="7" t="s">
        <v>1</v>
      </c>
      <c r="C1" s="7" t="s">
        <v>2</v>
      </c>
    </row>
    <row r="2" spans="1:24" ht="15" x14ac:dyDescent="0.25">
      <c r="A2" s="8" t="s">
        <v>3</v>
      </c>
      <c r="B2" s="8">
        <f>GETPIVOTDATA("Cuenta de SIN ACUSE",'SIN ACUSES'!$A$3)</f>
        <v>148</v>
      </c>
      <c r="C2" s="37">
        <f>GETPIVOTDATA("Suma de Total",'SIN ACUSES'!$A$3)</f>
        <v>387429619.40999997</v>
      </c>
    </row>
    <row r="3" spans="1:24" ht="15" x14ac:dyDescent="0.25">
      <c r="A3" s="9" t="s">
        <v>4</v>
      </c>
      <c r="B3" s="9">
        <f>GETPIVOTDATA("Cuenta de 1 ACUSE",'1 ACUSE'!$A$3)</f>
        <v>110</v>
      </c>
      <c r="C3" s="15">
        <f>GETPIVOTDATA("Suma de Total",'1 ACUSE'!$A$3)</f>
        <v>880280166.76999986</v>
      </c>
    </row>
    <row r="4" spans="1:24" ht="15" x14ac:dyDescent="0.25">
      <c r="A4" s="10" t="s">
        <v>5</v>
      </c>
      <c r="B4" s="10">
        <f>GETPIVOTDATA("Cuenta de 2 ACUSE",'2 ACUSES'!$A$3)</f>
        <v>25</v>
      </c>
      <c r="C4" s="16">
        <f>GETPIVOTDATA("Suma de Total",'2 ACUSES'!$A$3)</f>
        <v>295299692.18000001</v>
      </c>
    </row>
    <row r="5" spans="1:24" ht="15" x14ac:dyDescent="0.25">
      <c r="A5" s="9" t="s">
        <v>6</v>
      </c>
      <c r="B5" s="9">
        <f>GETPIVOTDATA("Cuenta de 3 ACUSE",'3 ACUSES'!$A$3)</f>
        <v>187</v>
      </c>
      <c r="C5" s="15">
        <f>GETPIVOTDATA("Suma de Total",'3 ACUSES'!$A$3)</f>
        <v>810457320.8099997</v>
      </c>
    </row>
    <row r="6" spans="1:24" ht="15" x14ac:dyDescent="0.25">
      <c r="A6" s="11" t="s">
        <v>7</v>
      </c>
      <c r="B6" s="11">
        <f>GETPIVOTDATA("Cuenta de RECHAZADA",'RECHAZADAS '!$A$3)</f>
        <v>20</v>
      </c>
      <c r="C6" s="38">
        <f>GETPIVOTDATA("Suma de Total",'RECHAZADAS '!$A$3)</f>
        <v>4969448176.8800011</v>
      </c>
      <c r="F6" s="21"/>
    </row>
    <row r="7" spans="1:24" ht="15" x14ac:dyDescent="0.25">
      <c r="A7" s="12" t="s">
        <v>8</v>
      </c>
      <c r="B7" s="20">
        <f>GETPIVOTDATA("Cuenta de YA PAGA  EN SISTEMA",'PAGAS EN SISTEMA'!$A$3)</f>
        <v>510</v>
      </c>
      <c r="C7" s="39">
        <f>GETPIVOTDATA("Suma de Total",'PAGAS EN SISTEMA'!$A$3)</f>
        <v>4969448176.8800011</v>
      </c>
      <c r="D7" s="22"/>
    </row>
    <row r="8" spans="1:24" ht="15" x14ac:dyDescent="0.25">
      <c r="A8" s="13"/>
      <c r="B8" s="14">
        <f>SUM(B2:B7)</f>
        <v>1000</v>
      </c>
      <c r="C8" s="17"/>
    </row>
    <row r="10" spans="1:24" x14ac:dyDescent="0.2">
      <c r="A10" s="23" t="s">
        <v>9</v>
      </c>
      <c r="B10" s="24" t="s">
        <v>10</v>
      </c>
      <c r="C10" s="25" t="s">
        <v>11</v>
      </c>
      <c r="D10" s="24" t="s">
        <v>12</v>
      </c>
      <c r="E10" s="24" t="s">
        <v>13</v>
      </c>
      <c r="F10" s="25" t="s">
        <v>14</v>
      </c>
      <c r="G10" s="25" t="s">
        <v>15</v>
      </c>
      <c r="H10" s="25" t="s">
        <v>16</v>
      </c>
      <c r="I10" s="25" t="s">
        <v>17</v>
      </c>
      <c r="J10" s="25" t="s">
        <v>18</v>
      </c>
      <c r="K10" s="24" t="s">
        <v>19</v>
      </c>
      <c r="L10" s="24" t="s">
        <v>20</v>
      </c>
      <c r="M10" s="24" t="s">
        <v>21</v>
      </c>
      <c r="N10" s="24" t="s">
        <v>22</v>
      </c>
      <c r="O10" s="24" t="s">
        <v>23</v>
      </c>
      <c r="P10" s="24" t="s">
        <v>24</v>
      </c>
      <c r="Q10" s="24" t="s">
        <v>25</v>
      </c>
      <c r="R10" s="26" t="s">
        <v>4</v>
      </c>
      <c r="S10" s="26" t="s">
        <v>26</v>
      </c>
      <c r="T10" s="26" t="s">
        <v>27</v>
      </c>
      <c r="U10" s="26" t="s">
        <v>28</v>
      </c>
      <c r="V10" s="26" t="s">
        <v>3</v>
      </c>
      <c r="W10" s="26" t="s">
        <v>29</v>
      </c>
      <c r="X10" s="27" t="s">
        <v>30</v>
      </c>
    </row>
    <row r="11" spans="1:24" x14ac:dyDescent="0.2">
      <c r="A11" s="1" t="s">
        <v>31</v>
      </c>
      <c r="B11" s="1" t="s">
        <v>32</v>
      </c>
      <c r="C11" s="1" t="s">
        <v>33</v>
      </c>
      <c r="D11" s="1">
        <f>C11-C12</f>
        <v>-1</v>
      </c>
      <c r="E11" s="1" t="s">
        <v>34</v>
      </c>
      <c r="F11" s="1" t="s">
        <v>35</v>
      </c>
      <c r="G11" s="1" t="s">
        <v>36</v>
      </c>
      <c r="H11" s="1" t="s">
        <v>37</v>
      </c>
      <c r="I11" s="1" t="s">
        <v>38</v>
      </c>
      <c r="J11" s="1" t="s">
        <v>39</v>
      </c>
      <c r="K11" s="1" t="s">
        <v>40</v>
      </c>
      <c r="L11" s="1">
        <v>362673.14</v>
      </c>
      <c r="M11" s="1">
        <v>0</v>
      </c>
      <c r="N11" s="1">
        <v>0</v>
      </c>
      <c r="O11" s="1">
        <v>2271479.14</v>
      </c>
      <c r="P11" s="1" t="s">
        <v>41</v>
      </c>
      <c r="Q11" s="1" t="s">
        <v>42</v>
      </c>
      <c r="V11" s="1" t="s">
        <v>43</v>
      </c>
    </row>
    <row r="12" spans="1:24" x14ac:dyDescent="0.2">
      <c r="A12" s="28" t="s">
        <v>31</v>
      </c>
      <c r="B12" s="28" t="s">
        <v>44</v>
      </c>
      <c r="C12" s="28" t="s">
        <v>45</v>
      </c>
      <c r="D12" s="28">
        <f t="shared" ref="D12:D74" si="0">C12-C13</f>
        <v>-1</v>
      </c>
      <c r="E12" s="28" t="s">
        <v>34</v>
      </c>
      <c r="F12" s="28" t="s">
        <v>35</v>
      </c>
      <c r="G12" s="28" t="s">
        <v>46</v>
      </c>
      <c r="H12" s="28" t="s">
        <v>37</v>
      </c>
      <c r="I12" s="28" t="s">
        <v>38</v>
      </c>
      <c r="J12" s="28" t="s">
        <v>47</v>
      </c>
      <c r="K12" s="28" t="s">
        <v>48</v>
      </c>
      <c r="L12" s="28">
        <v>0</v>
      </c>
      <c r="M12" s="28">
        <v>0</v>
      </c>
      <c r="N12" s="28">
        <v>0</v>
      </c>
      <c r="O12" s="28">
        <v>19962970</v>
      </c>
      <c r="P12" s="28" t="s">
        <v>41</v>
      </c>
      <c r="Q12" s="28" t="s">
        <v>42</v>
      </c>
      <c r="R12" s="1" t="s">
        <v>43</v>
      </c>
    </row>
    <row r="13" spans="1:24" x14ac:dyDescent="0.2">
      <c r="A13" s="28" t="s">
        <v>31</v>
      </c>
      <c r="B13" s="28" t="s">
        <v>49</v>
      </c>
      <c r="C13" s="28" t="s">
        <v>50</v>
      </c>
      <c r="D13" s="28">
        <f t="shared" si="0"/>
        <v>-1</v>
      </c>
      <c r="E13" s="28" t="s">
        <v>34</v>
      </c>
      <c r="F13" s="28" t="s">
        <v>35</v>
      </c>
      <c r="G13" s="28" t="s">
        <v>51</v>
      </c>
      <c r="H13" s="28" t="s">
        <v>37</v>
      </c>
      <c r="I13" s="28" t="s">
        <v>38</v>
      </c>
      <c r="J13" s="28" t="s">
        <v>52</v>
      </c>
      <c r="K13" s="28" t="s">
        <v>53</v>
      </c>
      <c r="L13" s="28">
        <v>0</v>
      </c>
      <c r="M13" s="28">
        <v>0</v>
      </c>
      <c r="N13" s="28">
        <v>0</v>
      </c>
      <c r="O13" s="28">
        <v>19962970</v>
      </c>
      <c r="P13" s="28" t="s">
        <v>41</v>
      </c>
      <c r="Q13" s="28" t="s">
        <v>42</v>
      </c>
      <c r="R13" s="1" t="s">
        <v>43</v>
      </c>
    </row>
    <row r="14" spans="1:24" x14ac:dyDescent="0.2">
      <c r="A14" s="28" t="s">
        <v>31</v>
      </c>
      <c r="B14" s="28" t="s">
        <v>54</v>
      </c>
      <c r="C14" s="28" t="s">
        <v>55</v>
      </c>
      <c r="D14" s="28">
        <f t="shared" si="0"/>
        <v>-1</v>
      </c>
      <c r="E14" s="28" t="s">
        <v>34</v>
      </c>
      <c r="F14" s="28" t="s">
        <v>35</v>
      </c>
      <c r="G14" s="28" t="s">
        <v>56</v>
      </c>
      <c r="H14" s="28" t="s">
        <v>37</v>
      </c>
      <c r="I14" s="28" t="s">
        <v>38</v>
      </c>
      <c r="J14" s="28" t="s">
        <v>57</v>
      </c>
      <c r="K14" s="28" t="s">
        <v>58</v>
      </c>
      <c r="L14" s="28">
        <v>0</v>
      </c>
      <c r="M14" s="28">
        <v>0</v>
      </c>
      <c r="N14" s="28">
        <v>0</v>
      </c>
      <c r="O14" s="28">
        <v>39925940</v>
      </c>
      <c r="P14" s="28" t="s">
        <v>41</v>
      </c>
      <c r="Q14" s="28" t="s">
        <v>42</v>
      </c>
      <c r="R14" s="1" t="s">
        <v>43</v>
      </c>
    </row>
    <row r="15" spans="1:24" x14ac:dyDescent="0.2">
      <c r="A15" s="29" t="s">
        <v>31</v>
      </c>
      <c r="B15" s="29" t="s">
        <v>59</v>
      </c>
      <c r="C15" s="29" t="s">
        <v>60</v>
      </c>
      <c r="D15" s="29">
        <f t="shared" si="0"/>
        <v>-1</v>
      </c>
      <c r="E15" s="29" t="s">
        <v>34</v>
      </c>
      <c r="F15" s="29" t="s">
        <v>35</v>
      </c>
      <c r="G15" s="29" t="s">
        <v>61</v>
      </c>
      <c r="H15" s="29" t="s">
        <v>37</v>
      </c>
      <c r="I15" s="29" t="s">
        <v>38</v>
      </c>
      <c r="J15" s="29" t="s">
        <v>62</v>
      </c>
      <c r="K15" s="29" t="s">
        <v>63</v>
      </c>
      <c r="L15" s="29">
        <v>0</v>
      </c>
      <c r="M15" s="29">
        <v>0</v>
      </c>
      <c r="N15" s="29">
        <v>0</v>
      </c>
      <c r="O15" s="29">
        <v>19962970</v>
      </c>
      <c r="P15" s="29" t="s">
        <v>41</v>
      </c>
      <c r="Q15" s="29" t="s">
        <v>42</v>
      </c>
      <c r="T15" s="1" t="s">
        <v>43</v>
      </c>
    </row>
    <row r="16" spans="1:24" x14ac:dyDescent="0.2">
      <c r="A16" s="33" t="s">
        <v>31</v>
      </c>
      <c r="B16" s="33" t="s">
        <v>64</v>
      </c>
      <c r="C16" s="33" t="s">
        <v>65</v>
      </c>
      <c r="D16" s="33">
        <f t="shared" si="0"/>
        <v>-1</v>
      </c>
      <c r="E16" s="33" t="s">
        <v>34</v>
      </c>
      <c r="F16" s="33" t="s">
        <v>35</v>
      </c>
      <c r="G16" s="33" t="s">
        <v>66</v>
      </c>
      <c r="H16" s="33" t="s">
        <v>37</v>
      </c>
      <c r="I16" s="33" t="s">
        <v>38</v>
      </c>
      <c r="J16" s="33" t="s">
        <v>67</v>
      </c>
      <c r="K16" s="33" t="s">
        <v>68</v>
      </c>
      <c r="L16" s="33">
        <v>373204.65</v>
      </c>
      <c r="M16" s="33">
        <v>0</v>
      </c>
      <c r="N16" s="33">
        <v>0</v>
      </c>
      <c r="O16" s="33">
        <v>2337439.65</v>
      </c>
      <c r="P16" s="33" t="s">
        <v>41</v>
      </c>
      <c r="Q16" s="33" t="s">
        <v>42</v>
      </c>
      <c r="W16" s="33" t="s">
        <v>43</v>
      </c>
      <c r="X16" s="1" t="s">
        <v>69</v>
      </c>
    </row>
    <row r="17" spans="1:24" x14ac:dyDescent="0.2">
      <c r="A17" s="28" t="s">
        <v>31</v>
      </c>
      <c r="B17" s="28" t="s">
        <v>70</v>
      </c>
      <c r="C17" s="28" t="s">
        <v>71</v>
      </c>
      <c r="D17" s="28">
        <f t="shared" si="0"/>
        <v>-1</v>
      </c>
      <c r="E17" s="28" t="s">
        <v>34</v>
      </c>
      <c r="F17" s="28" t="s">
        <v>35</v>
      </c>
      <c r="G17" s="28" t="s">
        <v>72</v>
      </c>
      <c r="H17" s="28" t="s">
        <v>37</v>
      </c>
      <c r="I17" s="28" t="s">
        <v>38</v>
      </c>
      <c r="J17" s="28" t="s">
        <v>67</v>
      </c>
      <c r="K17" s="28" t="s">
        <v>68</v>
      </c>
      <c r="L17" s="28">
        <v>54253.17</v>
      </c>
      <c r="M17" s="28">
        <v>0</v>
      </c>
      <c r="N17" s="28">
        <v>0</v>
      </c>
      <c r="O17" s="28">
        <v>339796.17</v>
      </c>
      <c r="P17" s="28" t="s">
        <v>41</v>
      </c>
      <c r="Q17" s="28" t="s">
        <v>42</v>
      </c>
      <c r="R17" s="1" t="s">
        <v>43</v>
      </c>
    </row>
    <row r="18" spans="1:24" x14ac:dyDescent="0.2">
      <c r="A18" s="33" t="s">
        <v>31</v>
      </c>
      <c r="B18" s="33" t="s">
        <v>73</v>
      </c>
      <c r="C18" s="33" t="s">
        <v>74</v>
      </c>
      <c r="D18" s="33">
        <f t="shared" si="0"/>
        <v>-1</v>
      </c>
      <c r="E18" s="33" t="s">
        <v>34</v>
      </c>
      <c r="F18" s="33" t="s">
        <v>35</v>
      </c>
      <c r="G18" s="33" t="s">
        <v>75</v>
      </c>
      <c r="H18" s="33" t="s">
        <v>37</v>
      </c>
      <c r="I18" s="33" t="s">
        <v>38</v>
      </c>
      <c r="J18" s="33" t="s">
        <v>67</v>
      </c>
      <c r="K18" s="33" t="s">
        <v>68</v>
      </c>
      <c r="L18" s="33">
        <v>0</v>
      </c>
      <c r="M18" s="33">
        <v>0</v>
      </c>
      <c r="N18" s="33">
        <v>0</v>
      </c>
      <c r="O18" s="33">
        <v>1865317.35</v>
      </c>
      <c r="P18" s="33" t="s">
        <v>41</v>
      </c>
      <c r="Q18" s="33" t="s">
        <v>42</v>
      </c>
      <c r="W18" s="33" t="s">
        <v>43</v>
      </c>
      <c r="X18" s="1" t="s">
        <v>69</v>
      </c>
    </row>
    <row r="19" spans="1:24" x14ac:dyDescent="0.2">
      <c r="A19" s="28" t="s">
        <v>31</v>
      </c>
      <c r="B19" s="28" t="s">
        <v>76</v>
      </c>
      <c r="C19" s="28" t="s">
        <v>77</v>
      </c>
      <c r="D19" s="28">
        <f t="shared" si="0"/>
        <v>-1</v>
      </c>
      <c r="E19" s="28" t="s">
        <v>34</v>
      </c>
      <c r="F19" s="28" t="s">
        <v>35</v>
      </c>
      <c r="G19" s="28" t="s">
        <v>78</v>
      </c>
      <c r="H19" s="28" t="s">
        <v>37</v>
      </c>
      <c r="I19" s="28" t="s">
        <v>38</v>
      </c>
      <c r="J19" s="28" t="s">
        <v>79</v>
      </c>
      <c r="K19" s="28" t="s">
        <v>80</v>
      </c>
      <c r="L19" s="28">
        <v>461452.24</v>
      </c>
      <c r="M19" s="28">
        <v>0</v>
      </c>
      <c r="N19" s="28">
        <v>0</v>
      </c>
      <c r="O19" s="28">
        <v>2890148.24</v>
      </c>
      <c r="P19" s="28" t="s">
        <v>41</v>
      </c>
      <c r="Q19" s="28" t="s">
        <v>42</v>
      </c>
      <c r="R19" s="1" t="s">
        <v>43</v>
      </c>
    </row>
    <row r="20" spans="1:24" x14ac:dyDescent="0.2">
      <c r="A20" s="33" t="s">
        <v>31</v>
      </c>
      <c r="B20" s="33" t="s">
        <v>81</v>
      </c>
      <c r="C20" s="33" t="s">
        <v>82</v>
      </c>
      <c r="D20" s="33">
        <f t="shared" si="0"/>
        <v>-1</v>
      </c>
      <c r="E20" s="33" t="s">
        <v>34</v>
      </c>
      <c r="F20" s="33" t="s">
        <v>35</v>
      </c>
      <c r="G20" s="33" t="s">
        <v>83</v>
      </c>
      <c r="H20" s="33" t="s">
        <v>37</v>
      </c>
      <c r="I20" s="33" t="s">
        <v>38</v>
      </c>
      <c r="J20" s="33" t="s">
        <v>79</v>
      </c>
      <c r="K20" s="33" t="s">
        <v>80</v>
      </c>
      <c r="L20" s="33">
        <v>2786643.74</v>
      </c>
      <c r="M20" s="33">
        <v>0</v>
      </c>
      <c r="N20" s="33">
        <v>0</v>
      </c>
      <c r="O20" s="33">
        <v>17453189.739999998</v>
      </c>
      <c r="P20" s="33" t="s">
        <v>41</v>
      </c>
      <c r="Q20" s="33" t="s">
        <v>42</v>
      </c>
      <c r="W20" s="33" t="s">
        <v>43</v>
      </c>
      <c r="X20" s="1" t="s">
        <v>84</v>
      </c>
    </row>
    <row r="21" spans="1:24" x14ac:dyDescent="0.2">
      <c r="A21" s="33" t="s">
        <v>31</v>
      </c>
      <c r="B21" s="33" t="s">
        <v>85</v>
      </c>
      <c r="C21" s="33" t="s">
        <v>86</v>
      </c>
      <c r="D21" s="33">
        <f t="shared" si="0"/>
        <v>-1</v>
      </c>
      <c r="E21" s="33" t="s">
        <v>34</v>
      </c>
      <c r="F21" s="33" t="s">
        <v>35</v>
      </c>
      <c r="G21" s="33" t="s">
        <v>87</v>
      </c>
      <c r="H21" s="33" t="s">
        <v>37</v>
      </c>
      <c r="I21" s="33" t="s">
        <v>38</v>
      </c>
      <c r="J21" s="33" t="s">
        <v>79</v>
      </c>
      <c r="K21" s="33" t="s">
        <v>80</v>
      </c>
      <c r="L21" s="33">
        <v>245161.18</v>
      </c>
      <c r="M21" s="33">
        <v>0</v>
      </c>
      <c r="N21" s="33">
        <v>0</v>
      </c>
      <c r="O21" s="33">
        <v>1535483.18</v>
      </c>
      <c r="P21" s="33" t="s">
        <v>41</v>
      </c>
      <c r="Q21" s="33" t="s">
        <v>42</v>
      </c>
      <c r="W21" s="33" t="s">
        <v>43</v>
      </c>
      <c r="X21" s="1" t="s">
        <v>84</v>
      </c>
    </row>
    <row r="22" spans="1:24" x14ac:dyDescent="0.2">
      <c r="A22" s="33" t="s">
        <v>31</v>
      </c>
      <c r="B22" s="33" t="s">
        <v>88</v>
      </c>
      <c r="C22" s="33" t="s">
        <v>89</v>
      </c>
      <c r="D22" s="33">
        <f t="shared" si="0"/>
        <v>-1</v>
      </c>
      <c r="E22" s="33" t="s">
        <v>34</v>
      </c>
      <c r="F22" s="33" t="s">
        <v>35</v>
      </c>
      <c r="G22" s="33" t="s">
        <v>90</v>
      </c>
      <c r="H22" s="33" t="s">
        <v>37</v>
      </c>
      <c r="I22" s="33" t="s">
        <v>38</v>
      </c>
      <c r="J22" s="33" t="s">
        <v>79</v>
      </c>
      <c r="K22" s="33" t="s">
        <v>80</v>
      </c>
      <c r="L22" s="33">
        <v>3203986.53</v>
      </c>
      <c r="M22" s="33">
        <v>0</v>
      </c>
      <c r="N22" s="33">
        <v>0</v>
      </c>
      <c r="O22" s="33">
        <v>20067073.530000001</v>
      </c>
      <c r="P22" s="33" t="s">
        <v>41</v>
      </c>
      <c r="Q22" s="33" t="s">
        <v>42</v>
      </c>
      <c r="W22" s="33" t="s">
        <v>43</v>
      </c>
      <c r="X22" s="1" t="s">
        <v>84</v>
      </c>
    </row>
    <row r="23" spans="1:24" x14ac:dyDescent="0.2">
      <c r="A23" s="33" t="s">
        <v>31</v>
      </c>
      <c r="B23" s="33" t="s">
        <v>91</v>
      </c>
      <c r="C23" s="33" t="s">
        <v>92</v>
      </c>
      <c r="D23" s="33">
        <f t="shared" si="0"/>
        <v>-1</v>
      </c>
      <c r="E23" s="33" t="s">
        <v>34</v>
      </c>
      <c r="F23" s="33" t="s">
        <v>35</v>
      </c>
      <c r="G23" s="33" t="s">
        <v>93</v>
      </c>
      <c r="H23" s="33" t="s">
        <v>37</v>
      </c>
      <c r="I23" s="33" t="s">
        <v>38</v>
      </c>
      <c r="J23" s="33" t="s">
        <v>79</v>
      </c>
      <c r="K23" s="33" t="s">
        <v>80</v>
      </c>
      <c r="L23" s="33">
        <v>980644.72</v>
      </c>
      <c r="M23" s="33">
        <v>0</v>
      </c>
      <c r="N23" s="33">
        <v>0</v>
      </c>
      <c r="O23" s="33">
        <v>6141932.7199999997</v>
      </c>
      <c r="P23" s="33" t="s">
        <v>41</v>
      </c>
      <c r="Q23" s="33" t="s">
        <v>42</v>
      </c>
      <c r="W23" s="33" t="s">
        <v>43</v>
      </c>
      <c r="X23" s="1" t="s">
        <v>84</v>
      </c>
    </row>
    <row r="24" spans="1:24" x14ac:dyDescent="0.2">
      <c r="A24" s="33" t="s">
        <v>31</v>
      </c>
      <c r="B24" s="33" t="s">
        <v>94</v>
      </c>
      <c r="C24" s="33" t="s">
        <v>95</v>
      </c>
      <c r="D24" s="33">
        <f t="shared" si="0"/>
        <v>-1</v>
      </c>
      <c r="E24" s="33" t="s">
        <v>34</v>
      </c>
      <c r="F24" s="33" t="s">
        <v>35</v>
      </c>
      <c r="G24" s="33" t="s">
        <v>96</v>
      </c>
      <c r="H24" s="33" t="s">
        <v>37</v>
      </c>
      <c r="I24" s="33" t="s">
        <v>38</v>
      </c>
      <c r="J24" s="33" t="s">
        <v>79</v>
      </c>
      <c r="K24" s="33" t="s">
        <v>80</v>
      </c>
      <c r="L24" s="33">
        <v>103020.47</v>
      </c>
      <c r="M24" s="33">
        <v>0</v>
      </c>
      <c r="N24" s="33">
        <v>0</v>
      </c>
      <c r="O24" s="33">
        <v>645233.47</v>
      </c>
      <c r="P24" s="33" t="s">
        <v>41</v>
      </c>
      <c r="Q24" s="33" t="s">
        <v>42</v>
      </c>
      <c r="W24" s="33" t="s">
        <v>43</v>
      </c>
      <c r="X24" s="1" t="s">
        <v>84</v>
      </c>
    </row>
    <row r="25" spans="1:24" x14ac:dyDescent="0.2">
      <c r="A25" s="33" t="s">
        <v>31</v>
      </c>
      <c r="B25" s="33" t="s">
        <v>97</v>
      </c>
      <c r="C25" s="33" t="s">
        <v>98</v>
      </c>
      <c r="D25" s="33">
        <f t="shared" si="0"/>
        <v>-1</v>
      </c>
      <c r="E25" s="33" t="s">
        <v>34</v>
      </c>
      <c r="F25" s="33" t="s">
        <v>35</v>
      </c>
      <c r="G25" s="33" t="s">
        <v>99</v>
      </c>
      <c r="H25" s="33" t="s">
        <v>37</v>
      </c>
      <c r="I25" s="33" t="s">
        <v>38</v>
      </c>
      <c r="J25" s="33" t="s">
        <v>79</v>
      </c>
      <c r="K25" s="33" t="s">
        <v>80</v>
      </c>
      <c r="L25" s="33">
        <v>373204.65</v>
      </c>
      <c r="M25" s="33">
        <v>0</v>
      </c>
      <c r="N25" s="33">
        <v>0</v>
      </c>
      <c r="O25" s="33">
        <v>2337439.65</v>
      </c>
      <c r="P25" s="33" t="s">
        <v>41</v>
      </c>
      <c r="Q25" s="33" t="s">
        <v>42</v>
      </c>
      <c r="W25" s="33" t="s">
        <v>43</v>
      </c>
      <c r="X25" s="1" t="s">
        <v>84</v>
      </c>
    </row>
    <row r="26" spans="1:24" x14ac:dyDescent="0.2">
      <c r="A26" s="33" t="s">
        <v>31</v>
      </c>
      <c r="B26" s="33" t="s">
        <v>100</v>
      </c>
      <c r="C26" s="33" t="s">
        <v>101</v>
      </c>
      <c r="D26" s="33">
        <f t="shared" si="0"/>
        <v>-1</v>
      </c>
      <c r="E26" s="33" t="s">
        <v>34</v>
      </c>
      <c r="F26" s="33" t="s">
        <v>35</v>
      </c>
      <c r="G26" s="33" t="s">
        <v>102</v>
      </c>
      <c r="H26" s="33" t="s">
        <v>37</v>
      </c>
      <c r="I26" s="33" t="s">
        <v>38</v>
      </c>
      <c r="J26" s="33" t="s">
        <v>79</v>
      </c>
      <c r="K26" s="33" t="s">
        <v>80</v>
      </c>
      <c r="L26" s="33">
        <v>373204.65</v>
      </c>
      <c r="M26" s="33">
        <v>0</v>
      </c>
      <c r="N26" s="33">
        <v>0</v>
      </c>
      <c r="O26" s="33">
        <v>2337439.65</v>
      </c>
      <c r="P26" s="33" t="s">
        <v>41</v>
      </c>
      <c r="Q26" s="33" t="s">
        <v>42</v>
      </c>
      <c r="W26" s="33" t="s">
        <v>43</v>
      </c>
      <c r="X26" s="1" t="s">
        <v>84</v>
      </c>
    </row>
    <row r="27" spans="1:24" x14ac:dyDescent="0.2">
      <c r="A27" s="33" t="s">
        <v>31</v>
      </c>
      <c r="B27" s="33" t="s">
        <v>103</v>
      </c>
      <c r="C27" s="33" t="s">
        <v>104</v>
      </c>
      <c r="D27" s="33">
        <f t="shared" si="0"/>
        <v>-1</v>
      </c>
      <c r="E27" s="33" t="s">
        <v>34</v>
      </c>
      <c r="F27" s="33" t="s">
        <v>35</v>
      </c>
      <c r="G27" s="33" t="s">
        <v>105</v>
      </c>
      <c r="H27" s="33" t="s">
        <v>37</v>
      </c>
      <c r="I27" s="33" t="s">
        <v>38</v>
      </c>
      <c r="J27" s="33" t="s">
        <v>106</v>
      </c>
      <c r="K27" s="33" t="s">
        <v>107</v>
      </c>
      <c r="L27" s="33">
        <v>373204.65</v>
      </c>
      <c r="M27" s="33">
        <v>0</v>
      </c>
      <c r="N27" s="33">
        <v>0</v>
      </c>
      <c r="O27" s="33">
        <v>2337439.65</v>
      </c>
      <c r="P27" s="33" t="s">
        <v>41</v>
      </c>
      <c r="Q27" s="33" t="s">
        <v>42</v>
      </c>
      <c r="W27" s="33" t="s">
        <v>43</v>
      </c>
      <c r="X27" s="1" t="s">
        <v>108</v>
      </c>
    </row>
    <row r="28" spans="1:24" x14ac:dyDescent="0.2">
      <c r="A28" s="33" t="s">
        <v>31</v>
      </c>
      <c r="B28" s="33" t="s">
        <v>109</v>
      </c>
      <c r="C28" s="33" t="s">
        <v>110</v>
      </c>
      <c r="D28" s="33">
        <f t="shared" si="0"/>
        <v>-1</v>
      </c>
      <c r="E28" s="33" t="s">
        <v>34</v>
      </c>
      <c r="F28" s="33" t="s">
        <v>35</v>
      </c>
      <c r="G28" s="33" t="s">
        <v>111</v>
      </c>
      <c r="H28" s="33" t="s">
        <v>37</v>
      </c>
      <c r="I28" s="33" t="s">
        <v>38</v>
      </c>
      <c r="J28" s="33" t="s">
        <v>112</v>
      </c>
      <c r="K28" s="33" t="s">
        <v>113</v>
      </c>
      <c r="L28" s="33">
        <v>0</v>
      </c>
      <c r="M28" s="33">
        <v>0</v>
      </c>
      <c r="N28" s="33">
        <v>0</v>
      </c>
      <c r="O28" s="33">
        <v>7390248</v>
      </c>
      <c r="P28" s="33" t="s">
        <v>41</v>
      </c>
      <c r="Q28" s="33" t="s">
        <v>42</v>
      </c>
      <c r="W28" s="33" t="s">
        <v>43</v>
      </c>
      <c r="X28" s="1" t="s">
        <v>69</v>
      </c>
    </row>
    <row r="29" spans="1:24" x14ac:dyDescent="0.2">
      <c r="A29" s="29" t="s">
        <v>31</v>
      </c>
      <c r="B29" s="29" t="s">
        <v>114</v>
      </c>
      <c r="C29" s="29" t="s">
        <v>115</v>
      </c>
      <c r="D29" s="29">
        <f t="shared" si="0"/>
        <v>-1</v>
      </c>
      <c r="E29" s="29" t="s">
        <v>34</v>
      </c>
      <c r="F29" s="29" t="s">
        <v>35</v>
      </c>
      <c r="G29" s="29" t="s">
        <v>116</v>
      </c>
      <c r="H29" s="29" t="s">
        <v>37</v>
      </c>
      <c r="I29" s="29" t="s">
        <v>38</v>
      </c>
      <c r="J29" s="29" t="s">
        <v>117</v>
      </c>
      <c r="K29" s="29" t="s">
        <v>118</v>
      </c>
      <c r="L29" s="29">
        <v>35764.839999999997</v>
      </c>
      <c r="M29" s="29">
        <v>0</v>
      </c>
      <c r="N29" s="29">
        <v>0</v>
      </c>
      <c r="O29" s="29">
        <v>224000.84</v>
      </c>
      <c r="P29" s="29" t="s">
        <v>41</v>
      </c>
      <c r="Q29" s="29" t="s">
        <v>42</v>
      </c>
      <c r="T29" s="1" t="s">
        <v>43</v>
      </c>
    </row>
    <row r="30" spans="1:24" x14ac:dyDescent="0.2">
      <c r="A30" s="1" t="s">
        <v>31</v>
      </c>
      <c r="B30" s="1" t="s">
        <v>119</v>
      </c>
      <c r="C30" s="1" t="s">
        <v>120</v>
      </c>
      <c r="D30" s="1">
        <f t="shared" si="0"/>
        <v>-1</v>
      </c>
      <c r="E30" s="1" t="s">
        <v>34</v>
      </c>
      <c r="F30" s="1" t="s">
        <v>35</v>
      </c>
      <c r="G30" s="1" t="s">
        <v>121</v>
      </c>
      <c r="H30" s="1" t="s">
        <v>37</v>
      </c>
      <c r="I30" s="1" t="s">
        <v>38</v>
      </c>
      <c r="J30" s="1" t="s">
        <v>122</v>
      </c>
      <c r="K30" s="1" t="s">
        <v>123</v>
      </c>
      <c r="L30" s="1">
        <v>373204.65</v>
      </c>
      <c r="M30" s="1">
        <v>0</v>
      </c>
      <c r="N30" s="1">
        <v>0</v>
      </c>
      <c r="O30" s="1">
        <v>2337439.65</v>
      </c>
      <c r="P30" s="1" t="s">
        <v>41</v>
      </c>
      <c r="Q30" s="1" t="s">
        <v>42</v>
      </c>
      <c r="V30" s="1" t="s">
        <v>43</v>
      </c>
    </row>
    <row r="31" spans="1:24" x14ac:dyDescent="0.2">
      <c r="A31" s="33" t="s">
        <v>31</v>
      </c>
      <c r="B31" s="33" t="s">
        <v>124</v>
      </c>
      <c r="C31" s="33" t="s">
        <v>125</v>
      </c>
      <c r="D31" s="33">
        <f t="shared" si="0"/>
        <v>-1</v>
      </c>
      <c r="E31" s="33" t="s">
        <v>34</v>
      </c>
      <c r="F31" s="33" t="s">
        <v>35</v>
      </c>
      <c r="G31" s="33" t="s">
        <v>126</v>
      </c>
      <c r="H31" s="33" t="s">
        <v>37</v>
      </c>
      <c r="I31" s="33" t="s">
        <v>38</v>
      </c>
      <c r="J31" s="33" t="s">
        <v>127</v>
      </c>
      <c r="K31" s="33" t="s">
        <v>128</v>
      </c>
      <c r="L31" s="33">
        <v>0</v>
      </c>
      <c r="M31" s="33">
        <v>0</v>
      </c>
      <c r="N31" s="33">
        <v>0</v>
      </c>
      <c r="O31" s="33">
        <v>4197080.16</v>
      </c>
      <c r="P31" s="33" t="s">
        <v>41</v>
      </c>
      <c r="Q31" s="33" t="s">
        <v>42</v>
      </c>
      <c r="W31" s="1" t="s">
        <v>43</v>
      </c>
      <c r="X31" s="1" t="s">
        <v>129</v>
      </c>
    </row>
    <row r="32" spans="1:24" x14ac:dyDescent="0.2">
      <c r="A32" s="33" t="s">
        <v>31</v>
      </c>
      <c r="B32" s="33" t="s">
        <v>130</v>
      </c>
      <c r="C32" s="33" t="s">
        <v>131</v>
      </c>
      <c r="D32" s="33">
        <f t="shared" si="0"/>
        <v>-1</v>
      </c>
      <c r="E32" s="33" t="s">
        <v>34</v>
      </c>
      <c r="F32" s="33" t="s">
        <v>35</v>
      </c>
      <c r="G32" s="33" t="s">
        <v>132</v>
      </c>
      <c r="H32" s="33" t="s">
        <v>37</v>
      </c>
      <c r="I32" s="33" t="s">
        <v>38</v>
      </c>
      <c r="J32" s="33" t="s">
        <v>133</v>
      </c>
      <c r="K32" s="33" t="s">
        <v>134</v>
      </c>
      <c r="L32" s="33">
        <v>57783.75</v>
      </c>
      <c r="M32" s="33">
        <v>0</v>
      </c>
      <c r="N32" s="33">
        <v>0</v>
      </c>
      <c r="O32" s="33">
        <v>361908.75</v>
      </c>
      <c r="P32" s="33" t="s">
        <v>41</v>
      </c>
      <c r="Q32" s="33" t="s">
        <v>42</v>
      </c>
      <c r="W32" s="33" t="s">
        <v>43</v>
      </c>
      <c r="X32" s="1" t="s">
        <v>108</v>
      </c>
    </row>
    <row r="33" spans="1:24" x14ac:dyDescent="0.2">
      <c r="A33" s="33" t="s">
        <v>31</v>
      </c>
      <c r="B33" s="33" t="s">
        <v>135</v>
      </c>
      <c r="C33" s="33" t="s">
        <v>136</v>
      </c>
      <c r="D33" s="33">
        <f t="shared" si="0"/>
        <v>-1</v>
      </c>
      <c r="E33" s="33" t="s">
        <v>34</v>
      </c>
      <c r="F33" s="33" t="s">
        <v>35</v>
      </c>
      <c r="G33" s="33" t="s">
        <v>137</v>
      </c>
      <c r="H33" s="33" t="s">
        <v>37</v>
      </c>
      <c r="I33" s="33" t="s">
        <v>38</v>
      </c>
      <c r="J33" s="33" t="s">
        <v>138</v>
      </c>
      <c r="K33" s="33" t="s">
        <v>139</v>
      </c>
      <c r="L33" s="33">
        <v>52064.94</v>
      </c>
      <c r="M33" s="33">
        <v>0</v>
      </c>
      <c r="N33" s="33">
        <v>0</v>
      </c>
      <c r="O33" s="33">
        <v>326090.94</v>
      </c>
      <c r="P33" s="33" t="s">
        <v>41</v>
      </c>
      <c r="Q33" s="33" t="s">
        <v>42</v>
      </c>
      <c r="W33" s="33" t="s">
        <v>43</v>
      </c>
      <c r="X33" s="1" t="s">
        <v>69</v>
      </c>
    </row>
    <row r="34" spans="1:24" x14ac:dyDescent="0.2">
      <c r="A34" s="33" t="s">
        <v>31</v>
      </c>
      <c r="B34" s="33" t="s">
        <v>140</v>
      </c>
      <c r="C34" s="33" t="s">
        <v>141</v>
      </c>
      <c r="D34" s="33">
        <f t="shared" si="0"/>
        <v>-1</v>
      </c>
      <c r="E34" s="33" t="s">
        <v>34</v>
      </c>
      <c r="F34" s="33" t="s">
        <v>35</v>
      </c>
      <c r="G34" s="33" t="s">
        <v>142</v>
      </c>
      <c r="H34" s="33" t="s">
        <v>37</v>
      </c>
      <c r="I34" s="33" t="s">
        <v>38</v>
      </c>
      <c r="J34" s="33" t="s">
        <v>143</v>
      </c>
      <c r="K34" s="33" t="s">
        <v>144</v>
      </c>
      <c r="L34" s="33">
        <v>1017956.16</v>
      </c>
      <c r="M34" s="33">
        <v>0</v>
      </c>
      <c r="N34" s="33">
        <v>0</v>
      </c>
      <c r="O34" s="33">
        <v>6375620.1600000001</v>
      </c>
      <c r="P34" s="33" t="s">
        <v>41</v>
      </c>
      <c r="Q34" s="33" t="s">
        <v>42</v>
      </c>
      <c r="W34" s="33" t="s">
        <v>43</v>
      </c>
      <c r="X34" s="1" t="s">
        <v>108</v>
      </c>
    </row>
    <row r="35" spans="1:24" x14ac:dyDescent="0.2">
      <c r="A35" s="33" t="s">
        <v>31</v>
      </c>
      <c r="B35" s="33" t="s">
        <v>145</v>
      </c>
      <c r="C35" s="33" t="s">
        <v>146</v>
      </c>
      <c r="D35" s="33">
        <f t="shared" si="0"/>
        <v>-1</v>
      </c>
      <c r="E35" s="33" t="s">
        <v>34</v>
      </c>
      <c r="F35" s="33" t="s">
        <v>35</v>
      </c>
      <c r="G35" s="33" t="s">
        <v>147</v>
      </c>
      <c r="H35" s="33" t="s">
        <v>37</v>
      </c>
      <c r="I35" s="33" t="s">
        <v>38</v>
      </c>
      <c r="J35" s="33" t="s">
        <v>143</v>
      </c>
      <c r="K35" s="33" t="s">
        <v>144</v>
      </c>
      <c r="L35" s="33">
        <v>508978.08</v>
      </c>
      <c r="M35" s="33">
        <v>0</v>
      </c>
      <c r="N35" s="33">
        <v>0</v>
      </c>
      <c r="O35" s="33">
        <v>3187810.08</v>
      </c>
      <c r="P35" s="33" t="s">
        <v>41</v>
      </c>
      <c r="Q35" s="33" t="s">
        <v>42</v>
      </c>
      <c r="W35" s="33" t="s">
        <v>43</v>
      </c>
      <c r="X35" s="1" t="s">
        <v>108</v>
      </c>
    </row>
    <row r="36" spans="1:24" x14ac:dyDescent="0.2">
      <c r="A36" s="33" t="s">
        <v>31</v>
      </c>
      <c r="B36" s="33" t="s">
        <v>148</v>
      </c>
      <c r="C36" s="33" t="s">
        <v>149</v>
      </c>
      <c r="D36" s="33">
        <f t="shared" si="0"/>
        <v>-1</v>
      </c>
      <c r="E36" s="33" t="s">
        <v>34</v>
      </c>
      <c r="F36" s="33" t="s">
        <v>35</v>
      </c>
      <c r="G36" s="33" t="s">
        <v>150</v>
      </c>
      <c r="H36" s="33" t="s">
        <v>37</v>
      </c>
      <c r="I36" s="33" t="s">
        <v>38</v>
      </c>
      <c r="J36" s="33" t="s">
        <v>151</v>
      </c>
      <c r="K36" s="33" t="s">
        <v>152</v>
      </c>
      <c r="L36" s="33">
        <v>342000</v>
      </c>
      <c r="M36" s="33">
        <v>0</v>
      </c>
      <c r="N36" s="33">
        <v>0</v>
      </c>
      <c r="O36" s="33">
        <v>2142000</v>
      </c>
      <c r="P36" s="33" t="s">
        <v>41</v>
      </c>
      <c r="Q36" s="33" t="s">
        <v>42</v>
      </c>
      <c r="W36" s="33" t="s">
        <v>43</v>
      </c>
      <c r="X36" s="1" t="s">
        <v>108</v>
      </c>
    </row>
    <row r="37" spans="1:24" x14ac:dyDescent="0.2">
      <c r="A37" s="33" t="s">
        <v>31</v>
      </c>
      <c r="B37" s="33" t="s">
        <v>153</v>
      </c>
      <c r="C37" s="33" t="s">
        <v>154</v>
      </c>
      <c r="D37" s="33">
        <f t="shared" si="0"/>
        <v>-1</v>
      </c>
      <c r="E37" s="33" t="s">
        <v>34</v>
      </c>
      <c r="F37" s="33" t="s">
        <v>35</v>
      </c>
      <c r="G37" s="33" t="s">
        <v>155</v>
      </c>
      <c r="H37" s="33" t="s">
        <v>37</v>
      </c>
      <c r="I37" s="33" t="s">
        <v>38</v>
      </c>
      <c r="J37" s="33" t="s">
        <v>151</v>
      </c>
      <c r="K37" s="33" t="s">
        <v>152</v>
      </c>
      <c r="L37" s="33">
        <v>96212.2</v>
      </c>
      <c r="M37" s="33">
        <v>0</v>
      </c>
      <c r="N37" s="33">
        <v>0</v>
      </c>
      <c r="O37" s="33">
        <v>602592.19999999995</v>
      </c>
      <c r="P37" s="33" t="s">
        <v>41</v>
      </c>
      <c r="Q37" s="33" t="s">
        <v>42</v>
      </c>
      <c r="W37" s="33" t="s">
        <v>43</v>
      </c>
      <c r="X37" s="1" t="s">
        <v>108</v>
      </c>
    </row>
    <row r="38" spans="1:24" x14ac:dyDescent="0.2">
      <c r="A38" s="33" t="s">
        <v>31</v>
      </c>
      <c r="B38" s="33" t="s">
        <v>156</v>
      </c>
      <c r="C38" s="33" t="s">
        <v>157</v>
      </c>
      <c r="D38" s="33">
        <f t="shared" si="0"/>
        <v>-1</v>
      </c>
      <c r="E38" s="33" t="s">
        <v>34</v>
      </c>
      <c r="F38" s="33" t="s">
        <v>35</v>
      </c>
      <c r="G38" s="33" t="s">
        <v>158</v>
      </c>
      <c r="H38" s="33" t="s">
        <v>37</v>
      </c>
      <c r="I38" s="33" t="s">
        <v>38</v>
      </c>
      <c r="J38" s="33" t="s">
        <v>159</v>
      </c>
      <c r="K38" s="33" t="s">
        <v>160</v>
      </c>
      <c r="L38" s="33">
        <v>271924.2</v>
      </c>
      <c r="M38" s="33">
        <v>0</v>
      </c>
      <c r="N38" s="33">
        <v>0</v>
      </c>
      <c r="O38" s="33">
        <v>1703104.2</v>
      </c>
      <c r="P38" s="33" t="s">
        <v>41</v>
      </c>
      <c r="Q38" s="33" t="s">
        <v>42</v>
      </c>
      <c r="W38" s="1" t="s">
        <v>161</v>
      </c>
      <c r="X38" s="1" t="s">
        <v>129</v>
      </c>
    </row>
    <row r="39" spans="1:24" x14ac:dyDescent="0.2">
      <c r="A39" s="33" t="s">
        <v>31</v>
      </c>
      <c r="B39" s="33" t="s">
        <v>162</v>
      </c>
      <c r="C39" s="33" t="s">
        <v>163</v>
      </c>
      <c r="D39" s="33">
        <f t="shared" si="0"/>
        <v>-1</v>
      </c>
      <c r="E39" s="33" t="s">
        <v>34</v>
      </c>
      <c r="F39" s="33" t="s">
        <v>35</v>
      </c>
      <c r="G39" s="33" t="s">
        <v>164</v>
      </c>
      <c r="H39" s="33" t="s">
        <v>37</v>
      </c>
      <c r="I39" s="33" t="s">
        <v>38</v>
      </c>
      <c r="J39" s="33" t="s">
        <v>165</v>
      </c>
      <c r="K39" s="33" t="s">
        <v>166</v>
      </c>
      <c r="L39" s="33">
        <v>43701.9</v>
      </c>
      <c r="M39" s="33">
        <v>0</v>
      </c>
      <c r="N39" s="33">
        <v>0</v>
      </c>
      <c r="O39" s="33">
        <v>273711.90000000002</v>
      </c>
      <c r="P39" s="33" t="s">
        <v>41</v>
      </c>
      <c r="Q39" s="33" t="s">
        <v>42</v>
      </c>
      <c r="W39" s="1" t="s">
        <v>43</v>
      </c>
      <c r="X39" s="1" t="s">
        <v>167</v>
      </c>
    </row>
    <row r="40" spans="1:24" x14ac:dyDescent="0.2">
      <c r="A40" s="33" t="s">
        <v>31</v>
      </c>
      <c r="B40" s="33" t="s">
        <v>168</v>
      </c>
      <c r="C40" s="33" t="s">
        <v>169</v>
      </c>
      <c r="D40" s="33">
        <f t="shared" si="0"/>
        <v>-1</v>
      </c>
      <c r="E40" s="33" t="s">
        <v>34</v>
      </c>
      <c r="F40" s="33" t="s">
        <v>35</v>
      </c>
      <c r="G40" s="33" t="s">
        <v>170</v>
      </c>
      <c r="H40" s="33" t="s">
        <v>37</v>
      </c>
      <c r="I40" s="33" t="s">
        <v>38</v>
      </c>
      <c r="J40" s="33" t="s">
        <v>171</v>
      </c>
      <c r="K40" s="33" t="s">
        <v>172</v>
      </c>
      <c r="L40" s="33">
        <v>595976.80000000005</v>
      </c>
      <c r="M40" s="33">
        <v>0</v>
      </c>
      <c r="N40" s="33">
        <v>0</v>
      </c>
      <c r="O40" s="33">
        <v>3732696.8</v>
      </c>
      <c r="P40" s="33" t="s">
        <v>41</v>
      </c>
      <c r="Q40" s="33" t="s">
        <v>42</v>
      </c>
      <c r="W40" s="33" t="s">
        <v>43</v>
      </c>
      <c r="X40" s="1" t="s">
        <v>173</v>
      </c>
    </row>
    <row r="41" spans="1:24" x14ac:dyDescent="0.2">
      <c r="A41" s="33" t="s">
        <v>31</v>
      </c>
      <c r="B41" s="33" t="s">
        <v>174</v>
      </c>
      <c r="C41" s="33" t="s">
        <v>175</v>
      </c>
      <c r="D41" s="33">
        <f t="shared" si="0"/>
        <v>-1</v>
      </c>
      <c r="E41" s="33" t="s">
        <v>34</v>
      </c>
      <c r="F41" s="33" t="s">
        <v>35</v>
      </c>
      <c r="G41" s="33" t="s">
        <v>176</v>
      </c>
      <c r="H41" s="33" t="s">
        <v>37</v>
      </c>
      <c r="I41" s="33" t="s">
        <v>38</v>
      </c>
      <c r="J41" s="33" t="s">
        <v>177</v>
      </c>
      <c r="K41" s="33" t="s">
        <v>178</v>
      </c>
      <c r="L41" s="33">
        <v>0</v>
      </c>
      <c r="M41" s="33">
        <v>0</v>
      </c>
      <c r="N41" s="33">
        <v>0</v>
      </c>
      <c r="O41" s="33">
        <v>4105108</v>
      </c>
      <c r="P41" s="33" t="s">
        <v>41</v>
      </c>
      <c r="Q41" s="33" t="s">
        <v>42</v>
      </c>
      <c r="W41" s="33" t="s">
        <v>43</v>
      </c>
      <c r="X41" s="1" t="s">
        <v>179</v>
      </c>
    </row>
    <row r="42" spans="1:24" x14ac:dyDescent="0.2">
      <c r="A42" s="33" t="s">
        <v>31</v>
      </c>
      <c r="B42" s="33" t="s">
        <v>180</v>
      </c>
      <c r="C42" s="33" t="s">
        <v>181</v>
      </c>
      <c r="D42" s="33">
        <f t="shared" si="0"/>
        <v>-1</v>
      </c>
      <c r="E42" s="33" t="s">
        <v>34</v>
      </c>
      <c r="F42" s="33" t="s">
        <v>35</v>
      </c>
      <c r="G42" s="33" t="s">
        <v>182</v>
      </c>
      <c r="H42" s="33" t="s">
        <v>37</v>
      </c>
      <c r="I42" s="33" t="s">
        <v>38</v>
      </c>
      <c r="J42" s="33" t="s">
        <v>183</v>
      </c>
      <c r="K42" s="33" t="s">
        <v>184</v>
      </c>
      <c r="L42" s="33">
        <v>39900</v>
      </c>
      <c r="M42" s="33">
        <v>0</v>
      </c>
      <c r="N42" s="33">
        <v>0</v>
      </c>
      <c r="O42" s="33">
        <v>249900</v>
      </c>
      <c r="P42" s="33" t="s">
        <v>41</v>
      </c>
      <c r="Q42" s="33" t="s">
        <v>42</v>
      </c>
      <c r="W42" s="33" t="s">
        <v>43</v>
      </c>
      <c r="X42" s="1" t="s">
        <v>185</v>
      </c>
    </row>
    <row r="43" spans="1:24" x14ac:dyDescent="0.2">
      <c r="A43" s="29" t="s">
        <v>31</v>
      </c>
      <c r="B43" s="29" t="s">
        <v>186</v>
      </c>
      <c r="C43" s="29">
        <v>104655</v>
      </c>
      <c r="D43" s="29">
        <f t="shared" si="0"/>
        <v>-1</v>
      </c>
      <c r="E43" s="29" t="s">
        <v>34</v>
      </c>
      <c r="F43" s="29" t="s">
        <v>35</v>
      </c>
      <c r="G43" s="29" t="s">
        <v>187</v>
      </c>
      <c r="H43" s="29" t="s">
        <v>37</v>
      </c>
      <c r="I43" s="29" t="s">
        <v>38</v>
      </c>
      <c r="J43" s="29" t="s">
        <v>183</v>
      </c>
      <c r="K43" s="29" t="s">
        <v>184</v>
      </c>
      <c r="L43" s="29">
        <v>239400</v>
      </c>
      <c r="M43" s="29">
        <v>0</v>
      </c>
      <c r="N43" s="29">
        <v>0</v>
      </c>
      <c r="O43" s="29">
        <v>1499400</v>
      </c>
      <c r="P43" s="29" t="s">
        <v>41</v>
      </c>
      <c r="Q43" s="29" t="s">
        <v>42</v>
      </c>
      <c r="T43" s="1" t="s">
        <v>161</v>
      </c>
    </row>
    <row r="44" spans="1:24" x14ac:dyDescent="0.2">
      <c r="A44" s="29" t="s">
        <v>31</v>
      </c>
      <c r="B44" s="29" t="s">
        <v>188</v>
      </c>
      <c r="C44" s="29" t="s">
        <v>189</v>
      </c>
      <c r="D44" s="29">
        <f t="shared" si="0"/>
        <v>-1</v>
      </c>
      <c r="E44" s="29" t="s">
        <v>34</v>
      </c>
      <c r="F44" s="29" t="s">
        <v>35</v>
      </c>
      <c r="G44" s="29" t="s">
        <v>190</v>
      </c>
      <c r="H44" s="29" t="s">
        <v>37</v>
      </c>
      <c r="I44" s="29" t="s">
        <v>38</v>
      </c>
      <c r="J44" s="29" t="s">
        <v>183</v>
      </c>
      <c r="K44" s="29" t="s">
        <v>184</v>
      </c>
      <c r="L44" s="29">
        <v>292600</v>
      </c>
      <c r="M44" s="29">
        <v>0</v>
      </c>
      <c r="N44" s="29">
        <v>0</v>
      </c>
      <c r="O44" s="29">
        <v>1832600</v>
      </c>
      <c r="P44" s="29" t="s">
        <v>41</v>
      </c>
      <c r="Q44" s="29" t="s">
        <v>42</v>
      </c>
      <c r="T44" s="1" t="s">
        <v>161</v>
      </c>
    </row>
    <row r="45" spans="1:24" x14ac:dyDescent="0.2">
      <c r="A45" s="33" t="s">
        <v>31</v>
      </c>
      <c r="B45" s="33" t="s">
        <v>191</v>
      </c>
      <c r="C45" s="33">
        <v>104657</v>
      </c>
      <c r="D45" s="33">
        <f t="shared" si="0"/>
        <v>-1</v>
      </c>
      <c r="E45" s="33" t="s">
        <v>34</v>
      </c>
      <c r="F45" s="33" t="s">
        <v>35</v>
      </c>
      <c r="G45" s="33" t="s">
        <v>192</v>
      </c>
      <c r="H45" s="33" t="s">
        <v>37</v>
      </c>
      <c r="I45" s="33" t="s">
        <v>38</v>
      </c>
      <c r="J45" s="33" t="s">
        <v>193</v>
      </c>
      <c r="K45" s="33" t="s">
        <v>194</v>
      </c>
      <c r="L45" s="33">
        <v>53200</v>
      </c>
      <c r="M45" s="33">
        <v>0</v>
      </c>
      <c r="N45" s="33">
        <v>0</v>
      </c>
      <c r="O45" s="33">
        <v>333200</v>
      </c>
      <c r="P45" s="33" t="s">
        <v>41</v>
      </c>
      <c r="Q45" s="33" t="s">
        <v>42</v>
      </c>
      <c r="W45" s="1" t="s">
        <v>161</v>
      </c>
      <c r="X45" s="1" t="s">
        <v>195</v>
      </c>
    </row>
    <row r="46" spans="1:24" x14ac:dyDescent="0.2">
      <c r="A46" s="33" t="s">
        <v>31</v>
      </c>
      <c r="B46" s="33" t="s">
        <v>196</v>
      </c>
      <c r="C46" s="33" t="s">
        <v>197</v>
      </c>
      <c r="D46" s="33">
        <f t="shared" si="0"/>
        <v>-1</v>
      </c>
      <c r="E46" s="33" t="s">
        <v>34</v>
      </c>
      <c r="F46" s="33" t="s">
        <v>35</v>
      </c>
      <c r="G46" s="33" t="s">
        <v>198</v>
      </c>
      <c r="H46" s="33" t="s">
        <v>37</v>
      </c>
      <c r="I46" s="33" t="s">
        <v>38</v>
      </c>
      <c r="J46" s="33" t="s">
        <v>199</v>
      </c>
      <c r="K46" s="33" t="s">
        <v>200</v>
      </c>
      <c r="L46" s="33">
        <v>20954.34</v>
      </c>
      <c r="M46" s="33">
        <v>0</v>
      </c>
      <c r="N46" s="33">
        <v>0</v>
      </c>
      <c r="O46" s="33">
        <v>131240.34</v>
      </c>
      <c r="P46" s="33" t="s">
        <v>41</v>
      </c>
      <c r="Q46" s="33" t="s">
        <v>42</v>
      </c>
      <c r="W46" s="33" t="s">
        <v>43</v>
      </c>
      <c r="X46" s="1" t="s">
        <v>201</v>
      </c>
    </row>
    <row r="47" spans="1:24" x14ac:dyDescent="0.2">
      <c r="A47" s="1" t="s">
        <v>31</v>
      </c>
      <c r="B47" s="1" t="s">
        <v>202</v>
      </c>
      <c r="C47" s="1" t="s">
        <v>203</v>
      </c>
      <c r="D47" s="1">
        <f t="shared" si="0"/>
        <v>-1</v>
      </c>
      <c r="E47" s="1" t="s">
        <v>34</v>
      </c>
      <c r="F47" s="1" t="s">
        <v>35</v>
      </c>
      <c r="G47" s="1" t="s">
        <v>204</v>
      </c>
      <c r="H47" s="1" t="s">
        <v>37</v>
      </c>
      <c r="I47" s="1" t="s">
        <v>38</v>
      </c>
      <c r="J47" s="1" t="s">
        <v>205</v>
      </c>
      <c r="K47" s="1" t="s">
        <v>206</v>
      </c>
      <c r="L47" s="1">
        <v>846282.42</v>
      </c>
      <c r="M47" s="1">
        <v>0</v>
      </c>
      <c r="N47" s="1">
        <v>0</v>
      </c>
      <c r="O47" s="1">
        <v>5300400.42</v>
      </c>
      <c r="P47" s="1" t="s">
        <v>41</v>
      </c>
      <c r="Q47" s="1" t="s">
        <v>42</v>
      </c>
      <c r="V47" s="1" t="s">
        <v>43</v>
      </c>
    </row>
    <row r="48" spans="1:24" x14ac:dyDescent="0.2">
      <c r="A48" s="33" t="s">
        <v>31</v>
      </c>
      <c r="B48" s="33" t="s">
        <v>207</v>
      </c>
      <c r="C48" s="33" t="s">
        <v>208</v>
      </c>
      <c r="D48" s="33">
        <f t="shared" si="0"/>
        <v>-1</v>
      </c>
      <c r="E48" s="33" t="s">
        <v>34</v>
      </c>
      <c r="F48" s="33" t="s">
        <v>35</v>
      </c>
      <c r="G48" s="33" t="s">
        <v>209</v>
      </c>
      <c r="H48" s="33" t="s">
        <v>37</v>
      </c>
      <c r="I48" s="33" t="s">
        <v>38</v>
      </c>
      <c r="J48" s="33" t="s">
        <v>210</v>
      </c>
      <c r="K48" s="33" t="s">
        <v>211</v>
      </c>
      <c r="L48" s="33">
        <v>827462.92</v>
      </c>
      <c r="M48" s="33">
        <v>0</v>
      </c>
      <c r="N48" s="33">
        <v>0</v>
      </c>
      <c r="O48" s="33">
        <v>5182530.92</v>
      </c>
      <c r="P48" s="33" t="s">
        <v>41</v>
      </c>
      <c r="Q48" s="33" t="s">
        <v>42</v>
      </c>
      <c r="W48" s="33" t="s">
        <v>43</v>
      </c>
      <c r="X48" s="1" t="s">
        <v>195</v>
      </c>
    </row>
    <row r="49" spans="1:24" x14ac:dyDescent="0.2">
      <c r="A49" s="31" t="s">
        <v>31</v>
      </c>
      <c r="B49" s="31" t="s">
        <v>212</v>
      </c>
      <c r="C49" s="31" t="s">
        <v>213</v>
      </c>
      <c r="D49" s="31">
        <f t="shared" si="0"/>
        <v>-1</v>
      </c>
      <c r="E49" s="31" t="s">
        <v>34</v>
      </c>
      <c r="F49" s="31" t="s">
        <v>35</v>
      </c>
      <c r="G49" s="31" t="s">
        <v>214</v>
      </c>
      <c r="H49" s="31" t="s">
        <v>37</v>
      </c>
      <c r="I49" s="31" t="s">
        <v>38</v>
      </c>
      <c r="J49" s="31" t="s">
        <v>215</v>
      </c>
      <c r="K49" s="31" t="s">
        <v>216</v>
      </c>
      <c r="L49" s="31">
        <v>17100</v>
      </c>
      <c r="M49" s="31">
        <v>0</v>
      </c>
      <c r="N49" s="31">
        <v>0</v>
      </c>
      <c r="O49" s="31">
        <v>5854100</v>
      </c>
      <c r="P49" s="31" t="s">
        <v>41</v>
      </c>
      <c r="Q49" s="31" t="s">
        <v>42</v>
      </c>
      <c r="U49" s="31" t="s">
        <v>161</v>
      </c>
      <c r="X49" s="1" t="s">
        <v>217</v>
      </c>
    </row>
    <row r="50" spans="1:24" x14ac:dyDescent="0.2">
      <c r="A50" s="28" t="s">
        <v>31</v>
      </c>
      <c r="B50" s="28" t="s">
        <v>218</v>
      </c>
      <c r="C50" s="28" t="s">
        <v>219</v>
      </c>
      <c r="D50" s="28">
        <f t="shared" si="0"/>
        <v>-1</v>
      </c>
      <c r="E50" s="28" t="s">
        <v>34</v>
      </c>
      <c r="F50" s="28" t="s">
        <v>35</v>
      </c>
      <c r="G50" s="28" t="s">
        <v>220</v>
      </c>
      <c r="H50" s="28" t="s">
        <v>37</v>
      </c>
      <c r="I50" s="28" t="s">
        <v>38</v>
      </c>
      <c r="J50" s="28" t="s">
        <v>215</v>
      </c>
      <c r="K50" s="28" t="s">
        <v>216</v>
      </c>
      <c r="L50" s="28">
        <v>74100</v>
      </c>
      <c r="M50" s="28">
        <v>0</v>
      </c>
      <c r="N50" s="28">
        <v>0</v>
      </c>
      <c r="O50" s="28">
        <v>464100</v>
      </c>
      <c r="P50" s="28" t="s">
        <v>41</v>
      </c>
      <c r="Q50" s="28" t="s">
        <v>42</v>
      </c>
      <c r="R50" s="1" t="s">
        <v>43</v>
      </c>
    </row>
    <row r="51" spans="1:24" x14ac:dyDescent="0.2">
      <c r="A51" s="33" t="s">
        <v>31</v>
      </c>
      <c r="B51" s="33" t="s">
        <v>221</v>
      </c>
      <c r="C51" s="33" t="s">
        <v>222</v>
      </c>
      <c r="D51" s="33">
        <f t="shared" si="0"/>
        <v>-1</v>
      </c>
      <c r="E51" s="33" t="s">
        <v>34</v>
      </c>
      <c r="F51" s="33" t="s">
        <v>35</v>
      </c>
      <c r="G51" s="33" t="s">
        <v>223</v>
      </c>
      <c r="H51" s="33" t="s">
        <v>37</v>
      </c>
      <c r="I51" s="33" t="s">
        <v>38</v>
      </c>
      <c r="J51" s="33" t="s">
        <v>224</v>
      </c>
      <c r="K51" s="33" t="s">
        <v>225</v>
      </c>
      <c r="L51" s="33">
        <v>777100</v>
      </c>
      <c r="M51" s="33">
        <v>0</v>
      </c>
      <c r="N51" s="33">
        <v>0</v>
      </c>
      <c r="O51" s="33">
        <v>4867100</v>
      </c>
      <c r="P51" s="33" t="s">
        <v>41</v>
      </c>
      <c r="Q51" s="33" t="s">
        <v>42</v>
      </c>
      <c r="W51" s="33" t="s">
        <v>161</v>
      </c>
      <c r="X51" s="1" t="s">
        <v>226</v>
      </c>
    </row>
    <row r="52" spans="1:24" x14ac:dyDescent="0.2">
      <c r="A52" s="33" t="s">
        <v>31</v>
      </c>
      <c r="B52" s="33" t="s">
        <v>227</v>
      </c>
      <c r="C52" s="33" t="s">
        <v>228</v>
      </c>
      <c r="D52" s="33">
        <f t="shared" si="0"/>
        <v>-1</v>
      </c>
      <c r="E52" s="33" t="s">
        <v>34</v>
      </c>
      <c r="F52" s="33" t="s">
        <v>35</v>
      </c>
      <c r="G52" s="33" t="s">
        <v>229</v>
      </c>
      <c r="H52" s="33" t="s">
        <v>37</v>
      </c>
      <c r="I52" s="33" t="s">
        <v>38</v>
      </c>
      <c r="J52" s="33" t="s">
        <v>230</v>
      </c>
      <c r="K52" s="33" t="s">
        <v>231</v>
      </c>
      <c r="L52" s="33">
        <v>1425000</v>
      </c>
      <c r="M52" s="33">
        <v>0</v>
      </c>
      <c r="N52" s="33">
        <v>0</v>
      </c>
      <c r="O52" s="33">
        <v>8925000</v>
      </c>
      <c r="P52" s="33" t="s">
        <v>41</v>
      </c>
      <c r="Q52" s="33" t="s">
        <v>42</v>
      </c>
      <c r="W52" s="1" t="s">
        <v>43</v>
      </c>
      <c r="X52" s="1" t="s">
        <v>108</v>
      </c>
    </row>
    <row r="53" spans="1:24" x14ac:dyDescent="0.2">
      <c r="A53" s="33" t="s">
        <v>31</v>
      </c>
      <c r="B53" s="33" t="s">
        <v>232</v>
      </c>
      <c r="C53" s="33" t="s">
        <v>233</v>
      </c>
      <c r="D53" s="33">
        <f t="shared" si="0"/>
        <v>-1</v>
      </c>
      <c r="E53" s="33" t="s">
        <v>34</v>
      </c>
      <c r="F53" s="33" t="s">
        <v>35</v>
      </c>
      <c r="G53" s="33" t="s">
        <v>234</v>
      </c>
      <c r="H53" s="33" t="s">
        <v>37</v>
      </c>
      <c r="I53" s="33" t="s">
        <v>38</v>
      </c>
      <c r="J53" s="33" t="s">
        <v>235</v>
      </c>
      <c r="K53" s="33" t="s">
        <v>236</v>
      </c>
      <c r="L53" s="33">
        <v>29715.599999999999</v>
      </c>
      <c r="M53" s="33">
        <v>0</v>
      </c>
      <c r="N53" s="33">
        <v>0</v>
      </c>
      <c r="O53" s="33">
        <v>248197.6</v>
      </c>
      <c r="P53" s="33" t="s">
        <v>41</v>
      </c>
      <c r="Q53" s="33" t="s">
        <v>42</v>
      </c>
      <c r="W53" s="33" t="s">
        <v>43</v>
      </c>
      <c r="X53" s="1" t="s">
        <v>237</v>
      </c>
    </row>
    <row r="54" spans="1:24" x14ac:dyDescent="0.2">
      <c r="A54" s="33" t="s">
        <v>31</v>
      </c>
      <c r="B54" s="33" t="s">
        <v>238</v>
      </c>
      <c r="C54" s="33" t="s">
        <v>239</v>
      </c>
      <c r="D54" s="33">
        <f t="shared" si="0"/>
        <v>-1</v>
      </c>
      <c r="E54" s="33" t="s">
        <v>34</v>
      </c>
      <c r="F54" s="33" t="s">
        <v>35</v>
      </c>
      <c r="G54" s="33" t="s">
        <v>240</v>
      </c>
      <c r="H54" s="33" t="s">
        <v>37</v>
      </c>
      <c r="I54" s="33" t="s">
        <v>38</v>
      </c>
      <c r="J54" s="33" t="s">
        <v>235</v>
      </c>
      <c r="K54" s="33" t="s">
        <v>236</v>
      </c>
      <c r="L54" s="33">
        <v>201580.08</v>
      </c>
      <c r="M54" s="33">
        <v>0</v>
      </c>
      <c r="N54" s="33">
        <v>0</v>
      </c>
      <c r="O54" s="33">
        <v>1368104.08</v>
      </c>
      <c r="P54" s="33" t="s">
        <v>41</v>
      </c>
      <c r="Q54" s="33" t="s">
        <v>42</v>
      </c>
      <c r="W54" s="33" t="s">
        <v>43</v>
      </c>
      <c r="X54" s="1" t="s">
        <v>237</v>
      </c>
    </row>
    <row r="55" spans="1:24" x14ac:dyDescent="0.2">
      <c r="A55" s="1" t="s">
        <v>31</v>
      </c>
      <c r="B55" s="1" t="s">
        <v>241</v>
      </c>
      <c r="C55" s="1" t="s">
        <v>242</v>
      </c>
      <c r="D55" s="1">
        <f t="shared" si="0"/>
        <v>-1</v>
      </c>
      <c r="E55" s="1" t="s">
        <v>34</v>
      </c>
      <c r="F55" s="1" t="s">
        <v>35</v>
      </c>
      <c r="G55" s="1" t="s">
        <v>243</v>
      </c>
      <c r="H55" s="1" t="s">
        <v>37</v>
      </c>
      <c r="I55" s="1" t="s">
        <v>38</v>
      </c>
      <c r="J55" s="1" t="s">
        <v>244</v>
      </c>
      <c r="K55" s="1" t="s">
        <v>245</v>
      </c>
      <c r="L55" s="1">
        <v>31507.7</v>
      </c>
      <c r="M55" s="1">
        <v>0</v>
      </c>
      <c r="N55" s="1">
        <v>0</v>
      </c>
      <c r="O55" s="1">
        <v>197337.7</v>
      </c>
      <c r="P55" s="1" t="s">
        <v>41</v>
      </c>
      <c r="Q55" s="1" t="s">
        <v>42</v>
      </c>
      <c r="V55" s="1" t="s">
        <v>43</v>
      </c>
    </row>
    <row r="56" spans="1:24" x14ac:dyDescent="0.2">
      <c r="A56" s="1" t="s">
        <v>31</v>
      </c>
      <c r="B56" s="1" t="s">
        <v>246</v>
      </c>
      <c r="C56" s="1" t="s">
        <v>247</v>
      </c>
      <c r="D56" s="1">
        <f t="shared" si="0"/>
        <v>-1</v>
      </c>
      <c r="E56" s="1" t="s">
        <v>34</v>
      </c>
      <c r="F56" s="1" t="s">
        <v>35</v>
      </c>
      <c r="G56" s="1" t="s">
        <v>248</v>
      </c>
      <c r="H56" s="1" t="s">
        <v>37</v>
      </c>
      <c r="I56" s="1" t="s">
        <v>38</v>
      </c>
      <c r="J56" s="1" t="s">
        <v>244</v>
      </c>
      <c r="K56" s="1" t="s">
        <v>245</v>
      </c>
      <c r="L56" s="1">
        <v>26774.799999999999</v>
      </c>
      <c r="M56" s="1">
        <v>0</v>
      </c>
      <c r="N56" s="1">
        <v>0</v>
      </c>
      <c r="O56" s="1">
        <v>167694.79999999999</v>
      </c>
      <c r="P56" s="1" t="s">
        <v>41</v>
      </c>
      <c r="Q56" s="1" t="s">
        <v>42</v>
      </c>
    </row>
    <row r="57" spans="1:24" x14ac:dyDescent="0.2">
      <c r="A57" s="1" t="s">
        <v>31</v>
      </c>
      <c r="B57" s="1" t="s">
        <v>249</v>
      </c>
      <c r="C57" s="1" t="s">
        <v>250</v>
      </c>
      <c r="D57" s="1">
        <f t="shared" si="0"/>
        <v>-1</v>
      </c>
      <c r="E57" s="1" t="s">
        <v>34</v>
      </c>
      <c r="F57" s="1" t="s">
        <v>35</v>
      </c>
      <c r="G57" s="1" t="s">
        <v>251</v>
      </c>
      <c r="H57" s="1" t="s">
        <v>37</v>
      </c>
      <c r="I57" s="1" t="s">
        <v>38</v>
      </c>
      <c r="J57" s="1" t="s">
        <v>244</v>
      </c>
      <c r="K57" s="1" t="s">
        <v>245</v>
      </c>
      <c r="L57" s="1">
        <v>22668.9</v>
      </c>
      <c r="M57" s="1">
        <v>0</v>
      </c>
      <c r="N57" s="1">
        <v>0</v>
      </c>
      <c r="O57" s="1">
        <v>141978.9</v>
      </c>
      <c r="P57" s="1" t="s">
        <v>41</v>
      </c>
      <c r="Q57" s="1" t="s">
        <v>42</v>
      </c>
      <c r="V57" s="1" t="s">
        <v>43</v>
      </c>
    </row>
    <row r="58" spans="1:24" x14ac:dyDescent="0.2">
      <c r="A58" s="1" t="s">
        <v>31</v>
      </c>
      <c r="B58" s="1" t="s">
        <v>252</v>
      </c>
      <c r="C58" s="1" t="s">
        <v>253</v>
      </c>
      <c r="D58" s="1">
        <f t="shared" si="0"/>
        <v>-1</v>
      </c>
      <c r="E58" s="1" t="s">
        <v>34</v>
      </c>
      <c r="F58" s="1" t="s">
        <v>35</v>
      </c>
      <c r="G58" s="1" t="s">
        <v>254</v>
      </c>
      <c r="H58" s="1" t="s">
        <v>37</v>
      </c>
      <c r="I58" s="1" t="s">
        <v>38</v>
      </c>
      <c r="J58" s="1" t="s">
        <v>244</v>
      </c>
      <c r="K58" s="1" t="s">
        <v>245</v>
      </c>
      <c r="L58" s="1">
        <v>22668.9</v>
      </c>
      <c r="M58" s="1">
        <v>0</v>
      </c>
      <c r="N58" s="1">
        <v>0</v>
      </c>
      <c r="O58" s="1">
        <v>141978.9</v>
      </c>
      <c r="P58" s="1" t="s">
        <v>41</v>
      </c>
      <c r="Q58" s="1" t="s">
        <v>42</v>
      </c>
      <c r="V58" s="1" t="s">
        <v>43</v>
      </c>
    </row>
    <row r="59" spans="1:24" x14ac:dyDescent="0.2">
      <c r="A59" s="1" t="s">
        <v>31</v>
      </c>
      <c r="B59" s="1" t="s">
        <v>255</v>
      </c>
      <c r="C59" s="1" t="s">
        <v>256</v>
      </c>
      <c r="D59" s="1">
        <f t="shared" si="0"/>
        <v>-1</v>
      </c>
      <c r="E59" s="1" t="s">
        <v>34</v>
      </c>
      <c r="F59" s="1" t="s">
        <v>35</v>
      </c>
      <c r="G59" s="1" t="s">
        <v>257</v>
      </c>
      <c r="H59" s="1" t="s">
        <v>37</v>
      </c>
      <c r="I59" s="1" t="s">
        <v>38</v>
      </c>
      <c r="J59" s="1" t="s">
        <v>244</v>
      </c>
      <c r="K59" s="1" t="s">
        <v>245</v>
      </c>
      <c r="L59" s="1">
        <v>29945.9</v>
      </c>
      <c r="M59" s="1">
        <v>0</v>
      </c>
      <c r="N59" s="1">
        <v>0</v>
      </c>
      <c r="O59" s="1">
        <v>187555.9</v>
      </c>
      <c r="P59" s="1" t="s">
        <v>41</v>
      </c>
      <c r="Q59" s="1" t="s">
        <v>42</v>
      </c>
      <c r="V59" s="1" t="s">
        <v>43</v>
      </c>
    </row>
    <row r="60" spans="1:24" x14ac:dyDescent="0.2">
      <c r="A60" s="33" t="s">
        <v>31</v>
      </c>
      <c r="B60" s="33" t="s">
        <v>258</v>
      </c>
      <c r="C60" s="33" t="s">
        <v>259</v>
      </c>
      <c r="D60" s="33">
        <f t="shared" si="0"/>
        <v>-1</v>
      </c>
      <c r="E60" s="33" t="s">
        <v>34</v>
      </c>
      <c r="F60" s="33" t="s">
        <v>35</v>
      </c>
      <c r="G60" s="33" t="s">
        <v>260</v>
      </c>
      <c r="H60" s="33" t="s">
        <v>37</v>
      </c>
      <c r="I60" s="33" t="s">
        <v>38</v>
      </c>
      <c r="J60" s="33" t="s">
        <v>261</v>
      </c>
      <c r="K60" s="33" t="s">
        <v>262</v>
      </c>
      <c r="L60" s="33">
        <v>551190</v>
      </c>
      <c r="M60" s="33">
        <v>0</v>
      </c>
      <c r="N60" s="33">
        <v>0</v>
      </c>
      <c r="O60" s="33">
        <v>3452190</v>
      </c>
      <c r="P60" s="33" t="s">
        <v>41</v>
      </c>
      <c r="Q60" s="33" t="s">
        <v>42</v>
      </c>
      <c r="W60" s="1" t="s">
        <v>43</v>
      </c>
      <c r="X60" s="1" t="s">
        <v>263</v>
      </c>
    </row>
    <row r="61" spans="1:24" x14ac:dyDescent="0.2">
      <c r="A61" s="29" t="s">
        <v>31</v>
      </c>
      <c r="B61" s="29" t="s">
        <v>264</v>
      </c>
      <c r="C61" s="29" t="s">
        <v>265</v>
      </c>
      <c r="D61" s="29">
        <f t="shared" si="0"/>
        <v>-1</v>
      </c>
      <c r="E61" s="29" t="s">
        <v>34</v>
      </c>
      <c r="F61" s="29" t="s">
        <v>35</v>
      </c>
      <c r="G61" s="29" t="s">
        <v>266</v>
      </c>
      <c r="H61" s="29" t="s">
        <v>37</v>
      </c>
      <c r="I61" s="29" t="s">
        <v>38</v>
      </c>
      <c r="J61" s="29" t="s">
        <v>267</v>
      </c>
      <c r="K61" s="29" t="s">
        <v>268</v>
      </c>
      <c r="L61" s="29">
        <v>578322</v>
      </c>
      <c r="M61" s="29">
        <v>0</v>
      </c>
      <c r="N61" s="29">
        <v>0</v>
      </c>
      <c r="O61" s="29">
        <v>3622122</v>
      </c>
      <c r="P61" s="29" t="s">
        <v>41</v>
      </c>
      <c r="Q61" s="29" t="s">
        <v>42</v>
      </c>
      <c r="T61" s="1" t="s">
        <v>43</v>
      </c>
    </row>
    <row r="62" spans="1:24" x14ac:dyDescent="0.2">
      <c r="A62" s="33" t="s">
        <v>31</v>
      </c>
      <c r="B62" s="33" t="s">
        <v>269</v>
      </c>
      <c r="C62" s="33" t="s">
        <v>270</v>
      </c>
      <c r="D62" s="33">
        <f t="shared" si="0"/>
        <v>-1</v>
      </c>
      <c r="E62" s="33" t="s">
        <v>34</v>
      </c>
      <c r="F62" s="33" t="s">
        <v>35</v>
      </c>
      <c r="G62" s="33" t="s">
        <v>271</v>
      </c>
      <c r="H62" s="33" t="s">
        <v>37</v>
      </c>
      <c r="I62" s="33" t="s">
        <v>38</v>
      </c>
      <c r="J62" s="33" t="s">
        <v>261</v>
      </c>
      <c r="K62" s="33" t="s">
        <v>262</v>
      </c>
      <c r="L62" s="33">
        <v>66310</v>
      </c>
      <c r="M62" s="33">
        <v>0</v>
      </c>
      <c r="N62" s="33">
        <v>0</v>
      </c>
      <c r="O62" s="33">
        <v>415310</v>
      </c>
      <c r="P62" s="33" t="s">
        <v>41</v>
      </c>
      <c r="Q62" s="33" t="s">
        <v>42</v>
      </c>
      <c r="W62" s="1" t="s">
        <v>43</v>
      </c>
      <c r="X62" s="1" t="s">
        <v>263</v>
      </c>
    </row>
    <row r="63" spans="1:24" x14ac:dyDescent="0.2">
      <c r="A63" s="33" t="s">
        <v>31</v>
      </c>
      <c r="B63" s="33" t="s">
        <v>272</v>
      </c>
      <c r="C63" s="33" t="s">
        <v>273</v>
      </c>
      <c r="D63" s="33">
        <f t="shared" si="0"/>
        <v>-1</v>
      </c>
      <c r="E63" s="33" t="s">
        <v>34</v>
      </c>
      <c r="F63" s="33" t="s">
        <v>35</v>
      </c>
      <c r="G63" s="33" t="s">
        <v>274</v>
      </c>
      <c r="H63" s="33" t="s">
        <v>37</v>
      </c>
      <c r="I63" s="33" t="s">
        <v>38</v>
      </c>
      <c r="J63" s="33" t="s">
        <v>275</v>
      </c>
      <c r="K63" s="33" t="s">
        <v>276</v>
      </c>
      <c r="L63" s="33">
        <v>0</v>
      </c>
      <c r="M63" s="33">
        <v>0</v>
      </c>
      <c r="N63" s="33">
        <v>0</v>
      </c>
      <c r="O63" s="33">
        <v>21953666</v>
      </c>
      <c r="P63" s="33" t="s">
        <v>41</v>
      </c>
      <c r="Q63" s="33" t="s">
        <v>42</v>
      </c>
      <c r="W63" s="33" t="s">
        <v>161</v>
      </c>
      <c r="X63" s="1" t="s">
        <v>277</v>
      </c>
    </row>
    <row r="64" spans="1:24" x14ac:dyDescent="0.2">
      <c r="A64" s="29" t="s">
        <v>31</v>
      </c>
      <c r="B64" s="29" t="s">
        <v>278</v>
      </c>
      <c r="C64" s="29" t="s">
        <v>279</v>
      </c>
      <c r="D64" s="29">
        <f t="shared" si="0"/>
        <v>-1</v>
      </c>
      <c r="E64" s="29" t="s">
        <v>34</v>
      </c>
      <c r="F64" s="29" t="s">
        <v>35</v>
      </c>
      <c r="G64" s="29" t="s">
        <v>280</v>
      </c>
      <c r="H64" s="29" t="s">
        <v>37</v>
      </c>
      <c r="I64" s="29" t="s">
        <v>38</v>
      </c>
      <c r="J64" s="29" t="s">
        <v>267</v>
      </c>
      <c r="K64" s="29" t="s">
        <v>268</v>
      </c>
      <c r="L64" s="29">
        <v>330410</v>
      </c>
      <c r="M64" s="29">
        <v>0</v>
      </c>
      <c r="N64" s="29">
        <v>0</v>
      </c>
      <c r="O64" s="29">
        <v>2069410</v>
      </c>
      <c r="P64" s="29" t="s">
        <v>41</v>
      </c>
      <c r="Q64" s="29" t="s">
        <v>42</v>
      </c>
      <c r="T64" s="1" t="s">
        <v>43</v>
      </c>
    </row>
    <row r="65" spans="1:24" x14ac:dyDescent="0.2">
      <c r="A65" s="33" t="s">
        <v>31</v>
      </c>
      <c r="B65" s="33" t="s">
        <v>281</v>
      </c>
      <c r="C65" s="33" t="s">
        <v>282</v>
      </c>
      <c r="D65" s="33">
        <f t="shared" si="0"/>
        <v>-1</v>
      </c>
      <c r="E65" s="33" t="s">
        <v>34</v>
      </c>
      <c r="F65" s="33" t="s">
        <v>35</v>
      </c>
      <c r="G65" s="33" t="s">
        <v>283</v>
      </c>
      <c r="H65" s="33" t="s">
        <v>37</v>
      </c>
      <c r="I65" s="33" t="s">
        <v>38</v>
      </c>
      <c r="J65" s="33" t="s">
        <v>284</v>
      </c>
      <c r="K65" s="33" t="s">
        <v>285</v>
      </c>
      <c r="L65" s="33">
        <v>122899.1</v>
      </c>
      <c r="M65" s="33">
        <v>0</v>
      </c>
      <c r="N65" s="33">
        <v>0</v>
      </c>
      <c r="O65" s="33">
        <v>789819.1</v>
      </c>
      <c r="P65" s="33" t="s">
        <v>41</v>
      </c>
      <c r="Q65" s="33" t="s">
        <v>42</v>
      </c>
      <c r="W65" s="33" t="s">
        <v>43</v>
      </c>
      <c r="X65" s="1" t="s">
        <v>129</v>
      </c>
    </row>
    <row r="66" spans="1:24" x14ac:dyDescent="0.2">
      <c r="A66" s="33" t="s">
        <v>31</v>
      </c>
      <c r="B66" s="33" t="s">
        <v>286</v>
      </c>
      <c r="C66" s="33" t="s">
        <v>287</v>
      </c>
      <c r="D66" s="33">
        <f t="shared" si="0"/>
        <v>-1</v>
      </c>
      <c r="E66" s="33" t="s">
        <v>34</v>
      </c>
      <c r="F66" s="33" t="s">
        <v>35</v>
      </c>
      <c r="G66" s="33" t="s">
        <v>288</v>
      </c>
      <c r="H66" s="33" t="s">
        <v>37</v>
      </c>
      <c r="I66" s="33" t="s">
        <v>38</v>
      </c>
      <c r="J66" s="33" t="s">
        <v>284</v>
      </c>
      <c r="K66" s="33" t="s">
        <v>285</v>
      </c>
      <c r="L66" s="33">
        <v>142453.5</v>
      </c>
      <c r="M66" s="33">
        <v>0</v>
      </c>
      <c r="N66" s="33">
        <v>0</v>
      </c>
      <c r="O66" s="33">
        <v>1074903.5</v>
      </c>
      <c r="P66" s="33" t="s">
        <v>41</v>
      </c>
      <c r="Q66" s="33" t="s">
        <v>42</v>
      </c>
      <c r="W66" s="33" t="s">
        <v>43</v>
      </c>
      <c r="X66" s="1" t="s">
        <v>129</v>
      </c>
    </row>
    <row r="67" spans="1:24" x14ac:dyDescent="0.2">
      <c r="A67" s="33" t="s">
        <v>31</v>
      </c>
      <c r="B67" s="33" t="s">
        <v>289</v>
      </c>
      <c r="C67" s="33" t="s">
        <v>290</v>
      </c>
      <c r="D67" s="33">
        <f t="shared" si="0"/>
        <v>-1</v>
      </c>
      <c r="E67" s="33" t="s">
        <v>34</v>
      </c>
      <c r="F67" s="33" t="s">
        <v>35</v>
      </c>
      <c r="G67" s="33" t="s">
        <v>291</v>
      </c>
      <c r="H67" s="33" t="s">
        <v>37</v>
      </c>
      <c r="I67" s="33" t="s">
        <v>38</v>
      </c>
      <c r="J67" s="33" t="s">
        <v>292</v>
      </c>
      <c r="K67" s="33" t="s">
        <v>293</v>
      </c>
      <c r="L67" s="33">
        <v>67454.75</v>
      </c>
      <c r="M67" s="33">
        <v>0</v>
      </c>
      <c r="N67" s="33">
        <v>0</v>
      </c>
      <c r="O67" s="33">
        <v>422479.75</v>
      </c>
      <c r="P67" s="33" t="s">
        <v>41</v>
      </c>
      <c r="Q67" s="33" t="s">
        <v>42</v>
      </c>
      <c r="W67" s="33" t="s">
        <v>161</v>
      </c>
      <c r="X67" s="1" t="s">
        <v>294</v>
      </c>
    </row>
    <row r="68" spans="1:24" x14ac:dyDescent="0.2">
      <c r="A68" s="33" t="s">
        <v>31</v>
      </c>
      <c r="B68" s="33" t="s">
        <v>295</v>
      </c>
      <c r="C68" s="33" t="s">
        <v>296</v>
      </c>
      <c r="D68" s="33">
        <f t="shared" si="0"/>
        <v>-1</v>
      </c>
      <c r="E68" s="33" t="s">
        <v>34</v>
      </c>
      <c r="F68" s="33" t="s">
        <v>35</v>
      </c>
      <c r="G68" s="33" t="s">
        <v>297</v>
      </c>
      <c r="H68" s="33" t="s">
        <v>37</v>
      </c>
      <c r="I68" s="33" t="s">
        <v>38</v>
      </c>
      <c r="J68" s="33" t="s">
        <v>298</v>
      </c>
      <c r="K68" s="33" t="s">
        <v>299</v>
      </c>
      <c r="L68" s="33">
        <v>53619.9</v>
      </c>
      <c r="M68" s="33">
        <v>0</v>
      </c>
      <c r="N68" s="33">
        <v>0</v>
      </c>
      <c r="O68" s="33">
        <v>335829.9</v>
      </c>
      <c r="P68" s="33" t="s">
        <v>41</v>
      </c>
      <c r="Q68" s="33" t="s">
        <v>42</v>
      </c>
      <c r="W68" s="33" t="s">
        <v>43</v>
      </c>
      <c r="X68" s="1" t="s">
        <v>300</v>
      </c>
    </row>
    <row r="69" spans="1:24" x14ac:dyDescent="0.2">
      <c r="A69" s="33" t="s">
        <v>31</v>
      </c>
      <c r="B69" s="33" t="s">
        <v>301</v>
      </c>
      <c r="C69" s="33" t="s">
        <v>302</v>
      </c>
      <c r="D69" s="33">
        <f t="shared" si="0"/>
        <v>-1</v>
      </c>
      <c r="E69" s="33" t="s">
        <v>34</v>
      </c>
      <c r="F69" s="33" t="s">
        <v>35</v>
      </c>
      <c r="G69" s="33" t="s">
        <v>303</v>
      </c>
      <c r="H69" s="33" t="s">
        <v>37</v>
      </c>
      <c r="I69" s="33" t="s">
        <v>38</v>
      </c>
      <c r="J69" s="33" t="s">
        <v>304</v>
      </c>
      <c r="K69" s="33" t="s">
        <v>305</v>
      </c>
      <c r="L69" s="33">
        <v>265478.45</v>
      </c>
      <c r="M69" s="33">
        <v>0</v>
      </c>
      <c r="N69" s="33">
        <v>0</v>
      </c>
      <c r="O69" s="33">
        <v>1677253.45</v>
      </c>
      <c r="P69" s="33" t="s">
        <v>41</v>
      </c>
      <c r="Q69" s="33" t="s">
        <v>42</v>
      </c>
      <c r="W69" s="1" t="s">
        <v>161</v>
      </c>
      <c r="X69" s="1" t="s">
        <v>306</v>
      </c>
    </row>
    <row r="70" spans="1:24" x14ac:dyDescent="0.2">
      <c r="A70" s="29" t="s">
        <v>31</v>
      </c>
      <c r="B70" s="29" t="s">
        <v>307</v>
      </c>
      <c r="C70" s="29" t="s">
        <v>308</v>
      </c>
      <c r="D70" s="29" t="e">
        <f>C70-#REF!</f>
        <v>#REF!</v>
      </c>
      <c r="E70" s="29" t="s">
        <v>34</v>
      </c>
      <c r="F70" s="29" t="s">
        <v>35</v>
      </c>
      <c r="G70" s="29" t="s">
        <v>309</v>
      </c>
      <c r="H70" s="29" t="s">
        <v>37</v>
      </c>
      <c r="I70" s="29" t="s">
        <v>38</v>
      </c>
      <c r="J70" s="29" t="s">
        <v>310</v>
      </c>
      <c r="K70" s="29" t="s">
        <v>311</v>
      </c>
      <c r="L70" s="29">
        <v>4880720</v>
      </c>
      <c r="M70" s="29">
        <v>0</v>
      </c>
      <c r="N70" s="29">
        <v>0</v>
      </c>
      <c r="O70" s="29">
        <v>30568720</v>
      </c>
      <c r="P70" s="29" t="s">
        <v>41</v>
      </c>
      <c r="Q70" s="29" t="s">
        <v>42</v>
      </c>
      <c r="T70" s="1" t="s">
        <v>43</v>
      </c>
    </row>
    <row r="71" spans="1:24" x14ac:dyDescent="0.2">
      <c r="A71" s="33" t="s">
        <v>31</v>
      </c>
      <c r="B71" s="33" t="s">
        <v>312</v>
      </c>
      <c r="C71" s="33" t="s">
        <v>313</v>
      </c>
      <c r="D71" s="33">
        <f t="shared" si="0"/>
        <v>-1</v>
      </c>
      <c r="E71" s="33" t="s">
        <v>34</v>
      </c>
      <c r="F71" s="33" t="s">
        <v>35</v>
      </c>
      <c r="G71" s="33" t="s">
        <v>314</v>
      </c>
      <c r="H71" s="33" t="s">
        <v>37</v>
      </c>
      <c r="I71" s="33" t="s">
        <v>38</v>
      </c>
      <c r="J71" s="33" t="s">
        <v>315</v>
      </c>
      <c r="K71" s="33" t="s">
        <v>316</v>
      </c>
      <c r="L71" s="33">
        <v>66120</v>
      </c>
      <c r="M71" s="33">
        <v>0</v>
      </c>
      <c r="N71" s="33">
        <v>0</v>
      </c>
      <c r="O71" s="33">
        <v>414120</v>
      </c>
      <c r="P71" s="33" t="s">
        <v>41</v>
      </c>
      <c r="Q71" s="33" t="s">
        <v>42</v>
      </c>
      <c r="W71" s="33" t="s">
        <v>43</v>
      </c>
      <c r="X71" s="1" t="s">
        <v>317</v>
      </c>
    </row>
    <row r="72" spans="1:24" x14ac:dyDescent="0.2">
      <c r="A72" s="33" t="s">
        <v>31</v>
      </c>
      <c r="B72" s="33" t="s">
        <v>318</v>
      </c>
      <c r="C72" s="33" t="s">
        <v>319</v>
      </c>
      <c r="D72" s="33">
        <f t="shared" si="0"/>
        <v>-1</v>
      </c>
      <c r="E72" s="33" t="s">
        <v>34</v>
      </c>
      <c r="F72" s="33" t="s">
        <v>35</v>
      </c>
      <c r="G72" s="33" t="s">
        <v>320</v>
      </c>
      <c r="H72" s="33" t="s">
        <v>37</v>
      </c>
      <c r="I72" s="33" t="s">
        <v>38</v>
      </c>
      <c r="J72" s="33" t="s">
        <v>321</v>
      </c>
      <c r="K72" s="33" t="s">
        <v>322</v>
      </c>
      <c r="L72" s="33">
        <v>163020</v>
      </c>
      <c r="M72" s="33">
        <v>0</v>
      </c>
      <c r="N72" s="33">
        <v>0</v>
      </c>
      <c r="O72" s="33">
        <v>1021020</v>
      </c>
      <c r="P72" s="33" t="s">
        <v>41</v>
      </c>
      <c r="Q72" s="33" t="s">
        <v>42</v>
      </c>
      <c r="W72" s="33" t="s">
        <v>161</v>
      </c>
      <c r="X72" s="1" t="s">
        <v>294</v>
      </c>
    </row>
    <row r="73" spans="1:24" x14ac:dyDescent="0.2">
      <c r="A73" s="33" t="s">
        <v>31</v>
      </c>
      <c r="B73" s="33" t="s">
        <v>323</v>
      </c>
      <c r="C73" s="33" t="s">
        <v>324</v>
      </c>
      <c r="D73" s="33">
        <f t="shared" si="0"/>
        <v>-1</v>
      </c>
      <c r="E73" s="33" t="s">
        <v>34</v>
      </c>
      <c r="F73" s="33" t="s">
        <v>35</v>
      </c>
      <c r="G73" s="33" t="s">
        <v>325</v>
      </c>
      <c r="H73" s="33" t="s">
        <v>37</v>
      </c>
      <c r="I73" s="33" t="s">
        <v>38</v>
      </c>
      <c r="J73" s="33" t="s">
        <v>321</v>
      </c>
      <c r="K73" s="33" t="s">
        <v>322</v>
      </c>
      <c r="L73" s="33">
        <v>830680</v>
      </c>
      <c r="M73" s="33">
        <v>0</v>
      </c>
      <c r="N73" s="33">
        <v>0</v>
      </c>
      <c r="O73" s="33">
        <v>5202680</v>
      </c>
      <c r="P73" s="33" t="s">
        <v>41</v>
      </c>
      <c r="Q73" s="33" t="s">
        <v>42</v>
      </c>
      <c r="W73" s="33" t="s">
        <v>161</v>
      </c>
      <c r="X73" s="1" t="s">
        <v>294</v>
      </c>
    </row>
    <row r="74" spans="1:24" x14ac:dyDescent="0.2">
      <c r="A74" s="33" t="s">
        <v>31</v>
      </c>
      <c r="B74" s="33" t="s">
        <v>326</v>
      </c>
      <c r="C74" s="33" t="s">
        <v>327</v>
      </c>
      <c r="D74" s="33">
        <f t="shared" si="0"/>
        <v>4</v>
      </c>
      <c r="E74" s="33" t="s">
        <v>34</v>
      </c>
      <c r="F74" s="33" t="s">
        <v>35</v>
      </c>
      <c r="G74" s="33" t="s">
        <v>328</v>
      </c>
      <c r="H74" s="33" t="s">
        <v>37</v>
      </c>
      <c r="I74" s="33" t="s">
        <v>38</v>
      </c>
      <c r="J74" s="33" t="s">
        <v>321</v>
      </c>
      <c r="K74" s="33" t="s">
        <v>322</v>
      </c>
      <c r="L74" s="33">
        <v>383040</v>
      </c>
      <c r="M74" s="33">
        <v>0</v>
      </c>
      <c r="N74" s="33">
        <v>0</v>
      </c>
      <c r="O74" s="33">
        <v>2399040</v>
      </c>
      <c r="P74" s="33" t="s">
        <v>41</v>
      </c>
      <c r="Q74" s="33" t="s">
        <v>42</v>
      </c>
      <c r="W74" s="33" t="s">
        <v>161</v>
      </c>
      <c r="X74" s="1" t="s">
        <v>294</v>
      </c>
    </row>
    <row r="75" spans="1:24" x14ac:dyDescent="0.2">
      <c r="A75" s="1" t="s">
        <v>31</v>
      </c>
      <c r="B75" s="1" t="s">
        <v>329</v>
      </c>
      <c r="C75" s="1" t="s">
        <v>330</v>
      </c>
      <c r="D75" s="1">
        <f t="shared" ref="D75:D138" si="1">C75-C76</f>
        <v>-6</v>
      </c>
      <c r="E75" s="1" t="s">
        <v>34</v>
      </c>
      <c r="F75" s="1" t="s">
        <v>35</v>
      </c>
      <c r="G75" s="1" t="s">
        <v>331</v>
      </c>
      <c r="H75" s="1" t="s">
        <v>37</v>
      </c>
      <c r="I75" s="1" t="s">
        <v>38</v>
      </c>
      <c r="J75" s="1" t="s">
        <v>332</v>
      </c>
      <c r="K75" s="1" t="s">
        <v>333</v>
      </c>
      <c r="L75" s="1">
        <v>99469.94</v>
      </c>
      <c r="M75" s="1">
        <v>0</v>
      </c>
      <c r="N75" s="1">
        <v>0</v>
      </c>
      <c r="O75" s="1">
        <v>622995.93999999994</v>
      </c>
      <c r="P75" s="1" t="s">
        <v>41</v>
      </c>
      <c r="Q75" s="1" t="s">
        <v>42</v>
      </c>
      <c r="V75" s="1" t="s">
        <v>43</v>
      </c>
    </row>
    <row r="76" spans="1:24" x14ac:dyDescent="0.2">
      <c r="A76" s="33" t="s">
        <v>31</v>
      </c>
      <c r="B76" s="33" t="s">
        <v>334</v>
      </c>
      <c r="C76" s="33" t="s">
        <v>335</v>
      </c>
      <c r="D76" s="33">
        <f t="shared" si="1"/>
        <v>-1</v>
      </c>
      <c r="E76" s="33" t="s">
        <v>34</v>
      </c>
      <c r="F76" s="33" t="s">
        <v>35</v>
      </c>
      <c r="G76" s="33" t="s">
        <v>336</v>
      </c>
      <c r="H76" s="33" t="s">
        <v>37</v>
      </c>
      <c r="I76" s="33" t="s">
        <v>38</v>
      </c>
      <c r="J76" s="33" t="s">
        <v>337</v>
      </c>
      <c r="K76" s="33" t="s">
        <v>338</v>
      </c>
      <c r="L76" s="33">
        <v>91164.800000000003</v>
      </c>
      <c r="M76" s="33">
        <v>0</v>
      </c>
      <c r="N76" s="33">
        <v>0</v>
      </c>
      <c r="O76" s="33">
        <v>891284.8</v>
      </c>
      <c r="P76" s="33" t="s">
        <v>41</v>
      </c>
      <c r="Q76" s="33" t="s">
        <v>42</v>
      </c>
      <c r="W76" s="33" t="s">
        <v>43</v>
      </c>
      <c r="X76" s="1" t="s">
        <v>195</v>
      </c>
    </row>
    <row r="77" spans="1:24" x14ac:dyDescent="0.2">
      <c r="A77" s="33" t="s">
        <v>31</v>
      </c>
      <c r="B77" s="33" t="s">
        <v>339</v>
      </c>
      <c r="C77" s="33" t="s">
        <v>340</v>
      </c>
      <c r="D77" s="33">
        <f t="shared" si="1"/>
        <v>-1</v>
      </c>
      <c r="E77" s="33" t="s">
        <v>34</v>
      </c>
      <c r="F77" s="33" t="s">
        <v>35</v>
      </c>
      <c r="G77" s="33" t="s">
        <v>341</v>
      </c>
      <c r="H77" s="33" t="s">
        <v>37</v>
      </c>
      <c r="I77" s="33" t="s">
        <v>38</v>
      </c>
      <c r="J77" s="33" t="s">
        <v>342</v>
      </c>
      <c r="K77" s="33" t="s">
        <v>343</v>
      </c>
      <c r="L77" s="33">
        <v>79672.36</v>
      </c>
      <c r="M77" s="33">
        <v>0</v>
      </c>
      <c r="N77" s="33">
        <v>0</v>
      </c>
      <c r="O77" s="33">
        <v>622112.36</v>
      </c>
      <c r="P77" s="33" t="s">
        <v>41</v>
      </c>
      <c r="Q77" s="33" t="s">
        <v>42</v>
      </c>
      <c r="W77" s="33" t="s">
        <v>43</v>
      </c>
      <c r="X77" s="1" t="s">
        <v>344</v>
      </c>
    </row>
    <row r="78" spans="1:24" x14ac:dyDescent="0.2">
      <c r="A78" s="33" t="s">
        <v>31</v>
      </c>
      <c r="B78" s="33" t="s">
        <v>345</v>
      </c>
      <c r="C78" s="33" t="s">
        <v>346</v>
      </c>
      <c r="D78" s="33">
        <f t="shared" si="1"/>
        <v>-1</v>
      </c>
      <c r="E78" s="33" t="s">
        <v>34</v>
      </c>
      <c r="F78" s="33" t="s">
        <v>35</v>
      </c>
      <c r="G78" s="33" t="s">
        <v>347</v>
      </c>
      <c r="H78" s="33" t="s">
        <v>37</v>
      </c>
      <c r="I78" s="33" t="s">
        <v>38</v>
      </c>
      <c r="J78" s="33" t="s">
        <v>348</v>
      </c>
      <c r="K78" s="33" t="s">
        <v>349</v>
      </c>
      <c r="L78" s="33">
        <v>0</v>
      </c>
      <c r="M78" s="33">
        <v>0</v>
      </c>
      <c r="N78" s="33">
        <v>0</v>
      </c>
      <c r="O78" s="33">
        <v>240000</v>
      </c>
      <c r="P78" s="33" t="s">
        <v>41</v>
      </c>
      <c r="Q78" s="33" t="s">
        <v>42</v>
      </c>
      <c r="W78" s="33" t="s">
        <v>161</v>
      </c>
      <c r="X78" s="1" t="s">
        <v>350</v>
      </c>
    </row>
    <row r="79" spans="1:24" x14ac:dyDescent="0.2">
      <c r="A79" s="29" t="s">
        <v>31</v>
      </c>
      <c r="B79" s="29" t="s">
        <v>351</v>
      </c>
      <c r="C79" s="29" t="s">
        <v>352</v>
      </c>
      <c r="D79" s="29">
        <f t="shared" si="1"/>
        <v>-1</v>
      </c>
      <c r="E79" s="29" t="s">
        <v>34</v>
      </c>
      <c r="F79" s="29" t="s">
        <v>35</v>
      </c>
      <c r="G79" s="29" t="s">
        <v>353</v>
      </c>
      <c r="H79" s="29" t="s">
        <v>37</v>
      </c>
      <c r="I79" s="29" t="s">
        <v>38</v>
      </c>
      <c r="J79" s="29" t="s">
        <v>267</v>
      </c>
      <c r="K79" s="29" t="s">
        <v>268</v>
      </c>
      <c r="L79" s="29">
        <v>357732</v>
      </c>
      <c r="M79" s="29">
        <v>0</v>
      </c>
      <c r="N79" s="29">
        <v>0</v>
      </c>
      <c r="O79" s="29">
        <v>2240532</v>
      </c>
      <c r="P79" s="29" t="s">
        <v>41</v>
      </c>
      <c r="Q79" s="29" t="s">
        <v>42</v>
      </c>
      <c r="T79" s="1" t="s">
        <v>43</v>
      </c>
    </row>
    <row r="80" spans="1:24" x14ac:dyDescent="0.2">
      <c r="A80" s="1" t="s">
        <v>31</v>
      </c>
      <c r="B80" s="1" t="s">
        <v>354</v>
      </c>
      <c r="C80" s="1" t="s">
        <v>355</v>
      </c>
      <c r="D80" s="1">
        <f t="shared" si="1"/>
        <v>-1</v>
      </c>
      <c r="E80" s="1" t="s">
        <v>34</v>
      </c>
      <c r="F80" s="1" t="s">
        <v>35</v>
      </c>
      <c r="G80" s="1" t="s">
        <v>356</v>
      </c>
      <c r="H80" s="1" t="s">
        <v>37</v>
      </c>
      <c r="I80" s="1" t="s">
        <v>38</v>
      </c>
      <c r="J80" s="1" t="s">
        <v>357</v>
      </c>
      <c r="K80" s="1" t="s">
        <v>358</v>
      </c>
      <c r="L80" s="1">
        <v>1911618.12</v>
      </c>
      <c r="M80" s="1">
        <v>0</v>
      </c>
      <c r="N80" s="1">
        <v>0</v>
      </c>
      <c r="O80" s="1">
        <v>11972766.119999999</v>
      </c>
      <c r="P80" s="1" t="s">
        <v>41</v>
      </c>
      <c r="Q80" s="1" t="s">
        <v>42</v>
      </c>
    </row>
    <row r="81" spans="1:24" x14ac:dyDescent="0.2">
      <c r="A81" s="29" t="s">
        <v>31</v>
      </c>
      <c r="B81" s="29" t="s">
        <v>359</v>
      </c>
      <c r="C81" s="29" t="s">
        <v>360</v>
      </c>
      <c r="D81" s="29">
        <f t="shared" si="1"/>
        <v>-1</v>
      </c>
      <c r="E81" s="29" t="s">
        <v>34</v>
      </c>
      <c r="F81" s="29" t="s">
        <v>35</v>
      </c>
      <c r="G81" s="29" t="s">
        <v>361</v>
      </c>
      <c r="H81" s="29" t="s">
        <v>37</v>
      </c>
      <c r="I81" s="29" t="s">
        <v>38</v>
      </c>
      <c r="J81" s="29" t="s">
        <v>362</v>
      </c>
      <c r="K81" s="29" t="s">
        <v>363</v>
      </c>
      <c r="L81" s="29">
        <v>1869452.18</v>
      </c>
      <c r="M81" s="29">
        <v>0</v>
      </c>
      <c r="N81" s="29">
        <v>0</v>
      </c>
      <c r="O81" s="29">
        <v>11708674.18</v>
      </c>
      <c r="P81" s="29" t="s">
        <v>41</v>
      </c>
      <c r="Q81" s="29" t="s">
        <v>42</v>
      </c>
      <c r="T81" s="1" t="s">
        <v>43</v>
      </c>
    </row>
    <row r="82" spans="1:24" x14ac:dyDescent="0.2">
      <c r="A82" s="33" t="s">
        <v>31</v>
      </c>
      <c r="B82" s="33" t="s">
        <v>364</v>
      </c>
      <c r="C82" s="33" t="s">
        <v>365</v>
      </c>
      <c r="D82" s="33">
        <f t="shared" si="1"/>
        <v>-1</v>
      </c>
      <c r="E82" s="33" t="s">
        <v>34</v>
      </c>
      <c r="F82" s="33" t="s">
        <v>35</v>
      </c>
      <c r="G82" s="33" t="s">
        <v>366</v>
      </c>
      <c r="H82" s="33" t="s">
        <v>37</v>
      </c>
      <c r="I82" s="33" t="s">
        <v>38</v>
      </c>
      <c r="J82" s="33" t="s">
        <v>367</v>
      </c>
      <c r="K82" s="33" t="s">
        <v>368</v>
      </c>
      <c r="L82" s="33">
        <v>280440</v>
      </c>
      <c r="M82" s="33">
        <v>0</v>
      </c>
      <c r="N82" s="33">
        <v>0</v>
      </c>
      <c r="O82" s="33">
        <v>1756440</v>
      </c>
      <c r="P82" s="33" t="s">
        <v>41</v>
      </c>
      <c r="Q82" s="33" t="s">
        <v>42</v>
      </c>
      <c r="W82" s="33" t="s">
        <v>161</v>
      </c>
      <c r="X82" s="1" t="s">
        <v>369</v>
      </c>
    </row>
    <row r="83" spans="1:24" x14ac:dyDescent="0.2">
      <c r="A83" s="29" t="s">
        <v>31</v>
      </c>
      <c r="B83" s="29" t="s">
        <v>370</v>
      </c>
      <c r="C83" s="29" t="s">
        <v>371</v>
      </c>
      <c r="D83" s="29">
        <f t="shared" si="1"/>
        <v>-1</v>
      </c>
      <c r="E83" s="29" t="s">
        <v>34</v>
      </c>
      <c r="F83" s="29" t="s">
        <v>35</v>
      </c>
      <c r="G83" s="29" t="s">
        <v>372</v>
      </c>
      <c r="H83" s="29" t="s">
        <v>37</v>
      </c>
      <c r="I83" s="29" t="s">
        <v>38</v>
      </c>
      <c r="J83" s="29" t="s">
        <v>373</v>
      </c>
      <c r="K83" s="29" t="s">
        <v>374</v>
      </c>
      <c r="L83" s="29">
        <v>3629000</v>
      </c>
      <c r="M83" s="29">
        <v>0</v>
      </c>
      <c r="N83" s="29">
        <v>0</v>
      </c>
      <c r="O83" s="29">
        <v>22729000</v>
      </c>
      <c r="P83" s="29" t="s">
        <v>41</v>
      </c>
      <c r="Q83" s="29" t="s">
        <v>42</v>
      </c>
      <c r="T83" s="1" t="s">
        <v>161</v>
      </c>
    </row>
    <row r="84" spans="1:24" x14ac:dyDescent="0.2">
      <c r="A84" s="29" t="s">
        <v>31</v>
      </c>
      <c r="B84" s="29" t="s">
        <v>375</v>
      </c>
      <c r="C84" s="29" t="s">
        <v>376</v>
      </c>
      <c r="D84" s="29">
        <f t="shared" si="1"/>
        <v>-1</v>
      </c>
      <c r="E84" s="29" t="s">
        <v>34</v>
      </c>
      <c r="F84" s="29" t="s">
        <v>35</v>
      </c>
      <c r="G84" s="29" t="s">
        <v>377</v>
      </c>
      <c r="H84" s="29" t="s">
        <v>37</v>
      </c>
      <c r="I84" s="29" t="s">
        <v>38</v>
      </c>
      <c r="J84" s="29" t="s">
        <v>373</v>
      </c>
      <c r="K84" s="29" t="s">
        <v>374</v>
      </c>
      <c r="L84" s="29">
        <v>3131200</v>
      </c>
      <c r="M84" s="29">
        <v>0</v>
      </c>
      <c r="N84" s="29">
        <v>0</v>
      </c>
      <c r="O84" s="29">
        <v>19611200</v>
      </c>
      <c r="P84" s="29" t="s">
        <v>41</v>
      </c>
      <c r="Q84" s="29" t="s">
        <v>42</v>
      </c>
      <c r="T84" s="1" t="s">
        <v>43</v>
      </c>
    </row>
    <row r="85" spans="1:24" x14ac:dyDescent="0.2">
      <c r="A85" s="33" t="s">
        <v>31</v>
      </c>
      <c r="B85" s="33" t="s">
        <v>378</v>
      </c>
      <c r="C85" s="33" t="s">
        <v>379</v>
      </c>
      <c r="D85" s="33">
        <f t="shared" si="1"/>
        <v>-1</v>
      </c>
      <c r="E85" s="33" t="s">
        <v>34</v>
      </c>
      <c r="F85" s="33" t="s">
        <v>35</v>
      </c>
      <c r="G85" s="33" t="s">
        <v>380</v>
      </c>
      <c r="H85" s="33" t="s">
        <v>37</v>
      </c>
      <c r="I85" s="33" t="s">
        <v>38</v>
      </c>
      <c r="J85" s="33" t="s">
        <v>381</v>
      </c>
      <c r="K85" s="33" t="s">
        <v>382</v>
      </c>
      <c r="L85" s="33">
        <v>68400</v>
      </c>
      <c r="M85" s="33">
        <v>0</v>
      </c>
      <c r="N85" s="33">
        <v>0</v>
      </c>
      <c r="O85" s="33">
        <v>428400</v>
      </c>
      <c r="P85" s="33" t="s">
        <v>41</v>
      </c>
      <c r="Q85" s="33" t="s">
        <v>42</v>
      </c>
      <c r="W85" s="33" t="s">
        <v>161</v>
      </c>
      <c r="X85" s="1" t="s">
        <v>294</v>
      </c>
    </row>
    <row r="86" spans="1:24" x14ac:dyDescent="0.2">
      <c r="A86" s="33" t="s">
        <v>31</v>
      </c>
      <c r="B86" s="33" t="s">
        <v>383</v>
      </c>
      <c r="C86" s="33" t="s">
        <v>384</v>
      </c>
      <c r="D86" s="33">
        <f t="shared" si="1"/>
        <v>-1</v>
      </c>
      <c r="E86" s="33" t="s">
        <v>34</v>
      </c>
      <c r="F86" s="33" t="s">
        <v>35</v>
      </c>
      <c r="G86" s="33" t="s">
        <v>385</v>
      </c>
      <c r="H86" s="33" t="s">
        <v>37</v>
      </c>
      <c r="I86" s="33" t="s">
        <v>38</v>
      </c>
      <c r="J86" s="33" t="s">
        <v>386</v>
      </c>
      <c r="K86" s="33" t="s">
        <v>387</v>
      </c>
      <c r="L86" s="33">
        <v>131745.91</v>
      </c>
      <c r="M86" s="33">
        <v>0</v>
      </c>
      <c r="N86" s="33">
        <v>0</v>
      </c>
      <c r="O86" s="33">
        <v>882182.91</v>
      </c>
      <c r="P86" s="33" t="s">
        <v>41</v>
      </c>
      <c r="Q86" s="33" t="s">
        <v>42</v>
      </c>
      <c r="W86" s="33" t="s">
        <v>161</v>
      </c>
      <c r="X86" s="1" t="s">
        <v>129</v>
      </c>
    </row>
    <row r="87" spans="1:24" x14ac:dyDescent="0.2">
      <c r="A87" s="33" t="s">
        <v>31</v>
      </c>
      <c r="B87" s="33" t="s">
        <v>388</v>
      </c>
      <c r="C87" s="33" t="s">
        <v>389</v>
      </c>
      <c r="D87" s="33">
        <f t="shared" si="1"/>
        <v>-1</v>
      </c>
      <c r="E87" s="33" t="s">
        <v>34</v>
      </c>
      <c r="F87" s="33" t="s">
        <v>35</v>
      </c>
      <c r="G87" s="33" t="s">
        <v>390</v>
      </c>
      <c r="H87" s="33" t="s">
        <v>37</v>
      </c>
      <c r="I87" s="33" t="s">
        <v>38</v>
      </c>
      <c r="J87" s="33" t="s">
        <v>391</v>
      </c>
      <c r="K87" s="33" t="s">
        <v>392</v>
      </c>
      <c r="L87" s="33">
        <v>0</v>
      </c>
      <c r="M87" s="33">
        <v>0</v>
      </c>
      <c r="N87" s="33">
        <v>0</v>
      </c>
      <c r="O87" s="33">
        <v>945000</v>
      </c>
      <c r="P87" s="33" t="s">
        <v>41</v>
      </c>
      <c r="Q87" s="33" t="s">
        <v>42</v>
      </c>
      <c r="W87" s="33" t="s">
        <v>43</v>
      </c>
      <c r="X87" s="1" t="s">
        <v>393</v>
      </c>
    </row>
    <row r="88" spans="1:24" x14ac:dyDescent="0.2">
      <c r="A88" s="33" t="s">
        <v>31</v>
      </c>
      <c r="B88" s="33" t="s">
        <v>394</v>
      </c>
      <c r="C88" s="33" t="s">
        <v>395</v>
      </c>
      <c r="D88" s="33">
        <f t="shared" si="1"/>
        <v>-1</v>
      </c>
      <c r="E88" s="33" t="s">
        <v>34</v>
      </c>
      <c r="F88" s="33" t="s">
        <v>35</v>
      </c>
      <c r="G88" s="33" t="s">
        <v>396</v>
      </c>
      <c r="H88" s="33" t="s">
        <v>37</v>
      </c>
      <c r="I88" s="33" t="s">
        <v>38</v>
      </c>
      <c r="J88" s="33" t="s">
        <v>397</v>
      </c>
      <c r="K88" s="33" t="s">
        <v>398</v>
      </c>
      <c r="L88" s="33">
        <v>0</v>
      </c>
      <c r="M88" s="33">
        <v>0</v>
      </c>
      <c r="N88" s="33">
        <v>0</v>
      </c>
      <c r="O88" s="33">
        <v>3526050</v>
      </c>
      <c r="P88" s="33" t="s">
        <v>41</v>
      </c>
      <c r="Q88" s="33" t="s">
        <v>42</v>
      </c>
      <c r="W88" s="33" t="s">
        <v>43</v>
      </c>
      <c r="X88" s="1" t="s">
        <v>399</v>
      </c>
    </row>
    <row r="89" spans="1:24" x14ac:dyDescent="0.2">
      <c r="A89" s="33" t="s">
        <v>31</v>
      </c>
      <c r="B89" s="33" t="s">
        <v>400</v>
      </c>
      <c r="C89" s="33" t="s">
        <v>401</v>
      </c>
      <c r="D89" s="33">
        <f t="shared" si="1"/>
        <v>-1</v>
      </c>
      <c r="E89" s="33" t="s">
        <v>34</v>
      </c>
      <c r="F89" s="33" t="s">
        <v>35</v>
      </c>
      <c r="G89" s="33" t="s">
        <v>402</v>
      </c>
      <c r="H89" s="33" t="s">
        <v>37</v>
      </c>
      <c r="I89" s="33" t="s">
        <v>38</v>
      </c>
      <c r="J89" s="33" t="s">
        <v>403</v>
      </c>
      <c r="K89" s="33" t="s">
        <v>404</v>
      </c>
      <c r="L89" s="33">
        <v>334400</v>
      </c>
      <c r="M89" s="33">
        <v>0</v>
      </c>
      <c r="N89" s="33">
        <v>0</v>
      </c>
      <c r="O89" s="33">
        <v>2094400</v>
      </c>
      <c r="P89" s="33" t="s">
        <v>41</v>
      </c>
      <c r="Q89" s="33" t="s">
        <v>42</v>
      </c>
      <c r="W89" s="33" t="s">
        <v>161</v>
      </c>
      <c r="X89" s="1" t="s">
        <v>405</v>
      </c>
    </row>
    <row r="90" spans="1:24" x14ac:dyDescent="0.2">
      <c r="A90" s="33" t="s">
        <v>31</v>
      </c>
      <c r="B90" s="33" t="s">
        <v>406</v>
      </c>
      <c r="C90" s="33" t="s">
        <v>407</v>
      </c>
      <c r="D90" s="33">
        <f t="shared" si="1"/>
        <v>-1</v>
      </c>
      <c r="E90" s="33" t="s">
        <v>34</v>
      </c>
      <c r="F90" s="33" t="s">
        <v>35</v>
      </c>
      <c r="G90" s="33" t="s">
        <v>408</v>
      </c>
      <c r="H90" s="33" t="s">
        <v>37</v>
      </c>
      <c r="I90" s="33" t="s">
        <v>38</v>
      </c>
      <c r="J90" s="33" t="s">
        <v>409</v>
      </c>
      <c r="K90" s="33" t="s">
        <v>410</v>
      </c>
      <c r="L90" s="33">
        <v>628900</v>
      </c>
      <c r="M90" s="33">
        <v>0</v>
      </c>
      <c r="N90" s="33">
        <v>0</v>
      </c>
      <c r="O90" s="33">
        <v>3938900</v>
      </c>
      <c r="P90" s="33" t="s">
        <v>41</v>
      </c>
      <c r="Q90" s="33" t="s">
        <v>42</v>
      </c>
      <c r="W90" s="1" t="s">
        <v>161</v>
      </c>
      <c r="X90" s="1" t="s">
        <v>411</v>
      </c>
    </row>
    <row r="91" spans="1:24" x14ac:dyDescent="0.2">
      <c r="A91" s="33" t="s">
        <v>31</v>
      </c>
      <c r="B91" s="33" t="s">
        <v>412</v>
      </c>
      <c r="C91" s="33" t="s">
        <v>413</v>
      </c>
      <c r="D91" s="33">
        <f t="shared" si="1"/>
        <v>-1</v>
      </c>
      <c r="E91" s="33" t="s">
        <v>34</v>
      </c>
      <c r="F91" s="33" t="s">
        <v>35</v>
      </c>
      <c r="G91" s="33" t="s">
        <v>414</v>
      </c>
      <c r="H91" s="33" t="s">
        <v>37</v>
      </c>
      <c r="I91" s="33" t="s">
        <v>38</v>
      </c>
      <c r="J91" s="33" t="s">
        <v>415</v>
      </c>
      <c r="K91" s="33" t="s">
        <v>416</v>
      </c>
      <c r="L91" s="33">
        <v>1063116</v>
      </c>
      <c r="M91" s="33">
        <v>0</v>
      </c>
      <c r="N91" s="33">
        <v>0</v>
      </c>
      <c r="O91" s="33">
        <v>7002156</v>
      </c>
      <c r="P91" s="33" t="s">
        <v>41</v>
      </c>
      <c r="Q91" s="33" t="s">
        <v>42</v>
      </c>
      <c r="W91" s="33" t="s">
        <v>43</v>
      </c>
      <c r="X91" s="1" t="s">
        <v>417</v>
      </c>
    </row>
    <row r="92" spans="1:24" x14ac:dyDescent="0.2">
      <c r="A92" s="33" t="s">
        <v>31</v>
      </c>
      <c r="B92" s="33" t="s">
        <v>418</v>
      </c>
      <c r="C92" s="33" t="s">
        <v>419</v>
      </c>
      <c r="D92" s="33">
        <f t="shared" si="1"/>
        <v>-1</v>
      </c>
      <c r="E92" s="33" t="s">
        <v>34</v>
      </c>
      <c r="F92" s="33" t="s">
        <v>35</v>
      </c>
      <c r="G92" s="33" t="s">
        <v>420</v>
      </c>
      <c r="H92" s="33" t="s">
        <v>37</v>
      </c>
      <c r="I92" s="33" t="s">
        <v>38</v>
      </c>
      <c r="J92" s="33" t="s">
        <v>421</v>
      </c>
      <c r="K92" s="33" t="s">
        <v>422</v>
      </c>
      <c r="L92" s="33">
        <v>689643</v>
      </c>
      <c r="M92" s="33">
        <v>0</v>
      </c>
      <c r="N92" s="33">
        <v>0</v>
      </c>
      <c r="O92" s="33">
        <v>4319343</v>
      </c>
      <c r="P92" s="33" t="s">
        <v>41</v>
      </c>
      <c r="Q92" s="33" t="s">
        <v>42</v>
      </c>
      <c r="W92" s="1" t="s">
        <v>161</v>
      </c>
      <c r="X92" s="1" t="s">
        <v>344</v>
      </c>
    </row>
    <row r="93" spans="1:24" x14ac:dyDescent="0.2">
      <c r="A93" s="1" t="s">
        <v>31</v>
      </c>
      <c r="B93" s="1" t="s">
        <v>423</v>
      </c>
      <c r="C93" s="1" t="s">
        <v>424</v>
      </c>
      <c r="D93" s="1">
        <f t="shared" si="1"/>
        <v>-1</v>
      </c>
      <c r="E93" s="1" t="s">
        <v>34</v>
      </c>
      <c r="F93" s="1" t="s">
        <v>35</v>
      </c>
      <c r="G93" s="1" t="s">
        <v>425</v>
      </c>
      <c r="H93" s="1" t="s">
        <v>37</v>
      </c>
      <c r="I93" s="1" t="s">
        <v>38</v>
      </c>
      <c r="J93" s="1" t="s">
        <v>426</v>
      </c>
      <c r="K93" s="1" t="s">
        <v>427</v>
      </c>
      <c r="L93" s="1">
        <v>0</v>
      </c>
      <c r="M93" s="1">
        <v>0</v>
      </c>
      <c r="N93" s="1">
        <v>0</v>
      </c>
      <c r="O93" s="1">
        <v>7045080</v>
      </c>
      <c r="P93" s="1" t="s">
        <v>41</v>
      </c>
      <c r="Q93" s="1" t="s">
        <v>42</v>
      </c>
      <c r="V93" s="1" t="s">
        <v>43</v>
      </c>
    </row>
    <row r="94" spans="1:24" x14ac:dyDescent="0.2">
      <c r="A94" s="33" t="s">
        <v>31</v>
      </c>
      <c r="B94" s="33" t="s">
        <v>428</v>
      </c>
      <c r="C94" s="33" t="s">
        <v>429</v>
      </c>
      <c r="D94" s="33">
        <f t="shared" si="1"/>
        <v>-1</v>
      </c>
      <c r="E94" s="33" t="s">
        <v>34</v>
      </c>
      <c r="F94" s="33" t="s">
        <v>35</v>
      </c>
      <c r="G94" s="33" t="s">
        <v>430</v>
      </c>
      <c r="H94" s="33" t="s">
        <v>37</v>
      </c>
      <c r="I94" s="33" t="s">
        <v>38</v>
      </c>
      <c r="J94" s="33" t="s">
        <v>431</v>
      </c>
      <c r="K94" s="33" t="s">
        <v>432</v>
      </c>
      <c r="L94" s="33">
        <v>247000</v>
      </c>
      <c r="M94" s="33">
        <v>0</v>
      </c>
      <c r="N94" s="33">
        <v>0</v>
      </c>
      <c r="O94" s="33">
        <v>1547000</v>
      </c>
      <c r="P94" s="33" t="s">
        <v>41</v>
      </c>
      <c r="Q94" s="33" t="s">
        <v>42</v>
      </c>
      <c r="W94" s="33" t="s">
        <v>43</v>
      </c>
      <c r="X94" s="1" t="s">
        <v>433</v>
      </c>
    </row>
    <row r="95" spans="1:24" x14ac:dyDescent="0.2">
      <c r="A95" s="33" t="s">
        <v>31</v>
      </c>
      <c r="B95" s="33" t="s">
        <v>434</v>
      </c>
      <c r="C95" s="33" t="s">
        <v>435</v>
      </c>
      <c r="D95" s="33">
        <f t="shared" si="1"/>
        <v>-1</v>
      </c>
      <c r="E95" s="33" t="s">
        <v>34</v>
      </c>
      <c r="F95" s="33" t="s">
        <v>35</v>
      </c>
      <c r="G95" s="33" t="s">
        <v>436</v>
      </c>
      <c r="H95" s="33" t="s">
        <v>37</v>
      </c>
      <c r="I95" s="33" t="s">
        <v>38</v>
      </c>
      <c r="J95" s="33" t="s">
        <v>437</v>
      </c>
      <c r="K95" s="33" t="s">
        <v>438</v>
      </c>
      <c r="L95" s="33">
        <v>10260000</v>
      </c>
      <c r="M95" s="33">
        <v>0</v>
      </c>
      <c r="N95" s="33">
        <v>0</v>
      </c>
      <c r="O95" s="33">
        <v>64260000</v>
      </c>
      <c r="P95" s="33" t="s">
        <v>41</v>
      </c>
      <c r="Q95" s="33" t="s">
        <v>42</v>
      </c>
      <c r="W95" s="33" t="s">
        <v>161</v>
      </c>
      <c r="X95" s="1" t="s">
        <v>439</v>
      </c>
    </row>
    <row r="96" spans="1:24" x14ac:dyDescent="0.2">
      <c r="A96" s="33" t="s">
        <v>31</v>
      </c>
      <c r="B96" s="33" t="s">
        <v>440</v>
      </c>
      <c r="C96" s="33">
        <v>104709</v>
      </c>
      <c r="D96" s="33">
        <f t="shared" si="1"/>
        <v>-1</v>
      </c>
      <c r="E96" s="33" t="s">
        <v>34</v>
      </c>
      <c r="F96" s="33" t="s">
        <v>35</v>
      </c>
      <c r="G96" s="33" t="s">
        <v>441</v>
      </c>
      <c r="H96" s="33" t="s">
        <v>37</v>
      </c>
      <c r="I96" s="33" t="s">
        <v>38</v>
      </c>
      <c r="J96" s="33" t="s">
        <v>437</v>
      </c>
      <c r="K96" s="33" t="s">
        <v>438</v>
      </c>
      <c r="L96" s="33">
        <v>966720</v>
      </c>
      <c r="M96" s="33">
        <v>0</v>
      </c>
      <c r="N96" s="33">
        <v>0</v>
      </c>
      <c r="O96" s="33">
        <v>6054720</v>
      </c>
      <c r="P96" s="33" t="s">
        <v>41</v>
      </c>
      <c r="Q96" s="33" t="s">
        <v>42</v>
      </c>
      <c r="W96" s="33" t="s">
        <v>161</v>
      </c>
      <c r="X96" s="1" t="s">
        <v>439</v>
      </c>
    </row>
    <row r="97" spans="1:24" x14ac:dyDescent="0.2">
      <c r="A97" s="33" t="s">
        <v>31</v>
      </c>
      <c r="B97" s="33" t="s">
        <v>442</v>
      </c>
      <c r="C97" s="33" t="s">
        <v>443</v>
      </c>
      <c r="D97" s="33">
        <f t="shared" si="1"/>
        <v>-1</v>
      </c>
      <c r="E97" s="33" t="s">
        <v>34</v>
      </c>
      <c r="F97" s="33" t="s">
        <v>35</v>
      </c>
      <c r="G97" s="33" t="s">
        <v>444</v>
      </c>
      <c r="H97" s="33" t="s">
        <v>37</v>
      </c>
      <c r="I97" s="33" t="s">
        <v>38</v>
      </c>
      <c r="J97" s="33" t="s">
        <v>445</v>
      </c>
      <c r="K97" s="33" t="s">
        <v>446</v>
      </c>
      <c r="L97" s="33">
        <v>442890</v>
      </c>
      <c r="M97" s="33">
        <v>0</v>
      </c>
      <c r="N97" s="33">
        <v>0</v>
      </c>
      <c r="O97" s="33">
        <v>2773890</v>
      </c>
      <c r="P97" s="33" t="s">
        <v>41</v>
      </c>
      <c r="Q97" s="33" t="s">
        <v>42</v>
      </c>
      <c r="W97" s="33" t="s">
        <v>161</v>
      </c>
      <c r="X97" s="1" t="s">
        <v>447</v>
      </c>
    </row>
    <row r="98" spans="1:24" x14ac:dyDescent="0.2">
      <c r="A98" s="33" t="s">
        <v>31</v>
      </c>
      <c r="B98" s="33" t="s">
        <v>448</v>
      </c>
      <c r="C98" s="33" t="s">
        <v>449</v>
      </c>
      <c r="D98" s="33">
        <f t="shared" si="1"/>
        <v>-1</v>
      </c>
      <c r="E98" s="33" t="s">
        <v>34</v>
      </c>
      <c r="F98" s="33" t="s">
        <v>35</v>
      </c>
      <c r="G98" s="33" t="s">
        <v>450</v>
      </c>
      <c r="H98" s="33" t="s">
        <v>37</v>
      </c>
      <c r="I98" s="33" t="s">
        <v>38</v>
      </c>
      <c r="J98" s="33" t="s">
        <v>451</v>
      </c>
      <c r="K98" s="33" t="s">
        <v>452</v>
      </c>
      <c r="L98" s="33">
        <v>91200</v>
      </c>
      <c r="M98" s="33">
        <v>0</v>
      </c>
      <c r="N98" s="33">
        <v>0</v>
      </c>
      <c r="O98" s="33">
        <v>571200</v>
      </c>
      <c r="P98" s="33" t="s">
        <v>41</v>
      </c>
      <c r="Q98" s="33" t="s">
        <v>42</v>
      </c>
      <c r="W98" s="33" t="s">
        <v>43</v>
      </c>
      <c r="X98" s="1" t="s">
        <v>453</v>
      </c>
    </row>
    <row r="99" spans="1:24" x14ac:dyDescent="0.2">
      <c r="A99" s="33" t="s">
        <v>31</v>
      </c>
      <c r="B99" s="33" t="s">
        <v>454</v>
      </c>
      <c r="C99" s="33" t="s">
        <v>455</v>
      </c>
      <c r="D99" s="33">
        <f t="shared" si="1"/>
        <v>-1</v>
      </c>
      <c r="E99" s="33" t="s">
        <v>34</v>
      </c>
      <c r="F99" s="33" t="s">
        <v>35</v>
      </c>
      <c r="G99" s="33" t="s">
        <v>456</v>
      </c>
      <c r="H99" s="33" t="s">
        <v>37</v>
      </c>
      <c r="I99" s="33" t="s">
        <v>38</v>
      </c>
      <c r="J99" s="33" t="s">
        <v>457</v>
      </c>
      <c r="K99" s="33" t="s">
        <v>458</v>
      </c>
      <c r="L99" s="33">
        <v>665000</v>
      </c>
      <c r="M99" s="33">
        <v>0</v>
      </c>
      <c r="N99" s="33">
        <v>0</v>
      </c>
      <c r="O99" s="33">
        <v>4165000</v>
      </c>
      <c r="P99" s="33" t="s">
        <v>41</v>
      </c>
      <c r="Q99" s="33" t="s">
        <v>42</v>
      </c>
      <c r="W99" s="33" t="s">
        <v>43</v>
      </c>
      <c r="X99" s="1" t="s">
        <v>459</v>
      </c>
    </row>
    <row r="100" spans="1:24" x14ac:dyDescent="0.2">
      <c r="A100" s="33" t="s">
        <v>31</v>
      </c>
      <c r="B100" s="33" t="s">
        <v>460</v>
      </c>
      <c r="C100" s="33" t="s">
        <v>461</v>
      </c>
      <c r="D100" s="33">
        <f t="shared" si="1"/>
        <v>-1</v>
      </c>
      <c r="E100" s="33" t="s">
        <v>34</v>
      </c>
      <c r="F100" s="33" t="s">
        <v>35</v>
      </c>
      <c r="G100" s="33" t="s">
        <v>462</v>
      </c>
      <c r="H100" s="33" t="s">
        <v>37</v>
      </c>
      <c r="I100" s="33" t="s">
        <v>38</v>
      </c>
      <c r="J100" s="33" t="s">
        <v>463</v>
      </c>
      <c r="K100" s="33" t="s">
        <v>464</v>
      </c>
      <c r="L100" s="33">
        <v>351880</v>
      </c>
      <c r="M100" s="33">
        <v>0</v>
      </c>
      <c r="N100" s="33">
        <v>0</v>
      </c>
      <c r="O100" s="33">
        <v>2203880</v>
      </c>
      <c r="P100" s="33" t="s">
        <v>41</v>
      </c>
      <c r="Q100" s="33" t="s">
        <v>42</v>
      </c>
      <c r="W100" s="33" t="s">
        <v>161</v>
      </c>
      <c r="X100" s="1" t="s">
        <v>129</v>
      </c>
    </row>
    <row r="101" spans="1:24" x14ac:dyDescent="0.2">
      <c r="A101" s="30" t="s">
        <v>31</v>
      </c>
      <c r="B101" s="30" t="s">
        <v>465</v>
      </c>
      <c r="C101" s="30" t="s">
        <v>466</v>
      </c>
      <c r="D101" s="30">
        <f t="shared" si="1"/>
        <v>-1</v>
      </c>
      <c r="E101" s="30" t="s">
        <v>34</v>
      </c>
      <c r="F101" s="30" t="s">
        <v>35</v>
      </c>
      <c r="G101" s="30" t="s">
        <v>467</v>
      </c>
      <c r="H101" s="30" t="s">
        <v>37</v>
      </c>
      <c r="I101" s="30" t="s">
        <v>38</v>
      </c>
      <c r="J101" s="30" t="s">
        <v>468</v>
      </c>
      <c r="K101" s="30" t="s">
        <v>469</v>
      </c>
      <c r="L101" s="30">
        <v>129200</v>
      </c>
      <c r="M101" s="30">
        <v>0</v>
      </c>
      <c r="N101" s="30">
        <v>0</v>
      </c>
      <c r="O101" s="30">
        <v>809200</v>
      </c>
      <c r="P101" s="30" t="s">
        <v>41</v>
      </c>
      <c r="Q101" s="30" t="s">
        <v>42</v>
      </c>
      <c r="S101" s="1" t="s">
        <v>43</v>
      </c>
    </row>
    <row r="102" spans="1:24" x14ac:dyDescent="0.2">
      <c r="A102" s="30" t="s">
        <v>31</v>
      </c>
      <c r="B102" s="30" t="s">
        <v>470</v>
      </c>
      <c r="C102" s="30" t="s">
        <v>471</v>
      </c>
      <c r="D102" s="30">
        <f t="shared" si="1"/>
        <v>-1</v>
      </c>
      <c r="E102" s="30" t="s">
        <v>34</v>
      </c>
      <c r="F102" s="30" t="s">
        <v>35</v>
      </c>
      <c r="G102" s="30" t="s">
        <v>472</v>
      </c>
      <c r="H102" s="30" t="s">
        <v>37</v>
      </c>
      <c r="I102" s="30" t="s">
        <v>38</v>
      </c>
      <c r="J102" s="30" t="s">
        <v>468</v>
      </c>
      <c r="K102" s="30" t="s">
        <v>469</v>
      </c>
      <c r="L102" s="30">
        <v>807500</v>
      </c>
      <c r="M102" s="30">
        <v>0</v>
      </c>
      <c r="N102" s="30">
        <v>0</v>
      </c>
      <c r="O102" s="30">
        <v>5057500</v>
      </c>
      <c r="P102" s="30" t="s">
        <v>41</v>
      </c>
      <c r="Q102" s="30" t="s">
        <v>42</v>
      </c>
      <c r="S102" s="1" t="s">
        <v>43</v>
      </c>
    </row>
    <row r="103" spans="1:24" x14ac:dyDescent="0.2">
      <c r="A103" s="30" t="s">
        <v>31</v>
      </c>
      <c r="B103" s="30" t="s">
        <v>473</v>
      </c>
      <c r="C103" s="30" t="s">
        <v>474</v>
      </c>
      <c r="D103" s="30">
        <f t="shared" si="1"/>
        <v>-1</v>
      </c>
      <c r="E103" s="30" t="s">
        <v>34</v>
      </c>
      <c r="F103" s="30" t="s">
        <v>35</v>
      </c>
      <c r="G103" s="30" t="s">
        <v>475</v>
      </c>
      <c r="H103" s="30" t="s">
        <v>37</v>
      </c>
      <c r="I103" s="30" t="s">
        <v>38</v>
      </c>
      <c r="J103" s="30" t="s">
        <v>468</v>
      </c>
      <c r="K103" s="30" t="s">
        <v>469</v>
      </c>
      <c r="L103" s="30">
        <v>13680</v>
      </c>
      <c r="M103" s="30">
        <v>0</v>
      </c>
      <c r="N103" s="30">
        <v>0</v>
      </c>
      <c r="O103" s="30">
        <v>85680</v>
      </c>
      <c r="P103" s="30" t="s">
        <v>41</v>
      </c>
      <c r="Q103" s="30" t="s">
        <v>42</v>
      </c>
      <c r="S103" s="1" t="s">
        <v>43</v>
      </c>
    </row>
    <row r="104" spans="1:24" x14ac:dyDescent="0.2">
      <c r="A104" s="30" t="s">
        <v>31</v>
      </c>
      <c r="B104" s="30" t="s">
        <v>476</v>
      </c>
      <c r="C104" s="30" t="s">
        <v>477</v>
      </c>
      <c r="D104" s="30">
        <f t="shared" si="1"/>
        <v>-1</v>
      </c>
      <c r="E104" s="30" t="s">
        <v>34</v>
      </c>
      <c r="F104" s="30" t="s">
        <v>35</v>
      </c>
      <c r="G104" s="30" t="s">
        <v>478</v>
      </c>
      <c r="H104" s="30" t="s">
        <v>37</v>
      </c>
      <c r="I104" s="30" t="s">
        <v>38</v>
      </c>
      <c r="J104" s="30" t="s">
        <v>468</v>
      </c>
      <c r="K104" s="30" t="s">
        <v>469</v>
      </c>
      <c r="L104" s="30">
        <v>446500</v>
      </c>
      <c r="M104" s="30">
        <v>0</v>
      </c>
      <c r="N104" s="30">
        <v>0</v>
      </c>
      <c r="O104" s="30">
        <v>2796500</v>
      </c>
      <c r="P104" s="30" t="s">
        <v>41</v>
      </c>
      <c r="Q104" s="30" t="s">
        <v>42</v>
      </c>
      <c r="S104" s="1" t="s">
        <v>43</v>
      </c>
    </row>
    <row r="105" spans="1:24" x14ac:dyDescent="0.2">
      <c r="A105" s="33" t="s">
        <v>31</v>
      </c>
      <c r="B105" s="33" t="s">
        <v>479</v>
      </c>
      <c r="C105" s="33" t="s">
        <v>480</v>
      </c>
      <c r="D105" s="33">
        <f t="shared" si="1"/>
        <v>-1</v>
      </c>
      <c r="E105" s="33" t="s">
        <v>34</v>
      </c>
      <c r="F105" s="33" t="s">
        <v>35</v>
      </c>
      <c r="G105" s="33" t="s">
        <v>481</v>
      </c>
      <c r="H105" s="33" t="s">
        <v>37</v>
      </c>
      <c r="I105" s="33" t="s">
        <v>38</v>
      </c>
      <c r="J105" s="33" t="s">
        <v>482</v>
      </c>
      <c r="K105" s="33" t="s">
        <v>483</v>
      </c>
      <c r="L105" s="33">
        <v>2152700</v>
      </c>
      <c r="M105" s="33">
        <v>0</v>
      </c>
      <c r="N105" s="33">
        <v>0</v>
      </c>
      <c r="O105" s="33">
        <v>13482700</v>
      </c>
      <c r="P105" s="33" t="s">
        <v>41</v>
      </c>
      <c r="Q105" s="33" t="s">
        <v>42</v>
      </c>
      <c r="W105" s="1" t="s">
        <v>161</v>
      </c>
      <c r="X105" s="1" t="s">
        <v>484</v>
      </c>
    </row>
    <row r="106" spans="1:24" x14ac:dyDescent="0.2">
      <c r="A106" s="29" t="s">
        <v>31</v>
      </c>
      <c r="B106" s="29" t="s">
        <v>485</v>
      </c>
      <c r="C106" s="29" t="s">
        <v>486</v>
      </c>
      <c r="D106" s="29">
        <f t="shared" si="1"/>
        <v>-1</v>
      </c>
      <c r="E106" s="29" t="s">
        <v>34</v>
      </c>
      <c r="F106" s="29" t="s">
        <v>35</v>
      </c>
      <c r="G106" s="29" t="s">
        <v>487</v>
      </c>
      <c r="H106" s="29" t="s">
        <v>37</v>
      </c>
      <c r="I106" s="29" t="s">
        <v>38</v>
      </c>
      <c r="J106" s="29" t="s">
        <v>488</v>
      </c>
      <c r="K106" s="29" t="s">
        <v>489</v>
      </c>
      <c r="L106" s="29">
        <v>112670</v>
      </c>
      <c r="M106" s="29">
        <v>0</v>
      </c>
      <c r="N106" s="29">
        <v>0</v>
      </c>
      <c r="O106" s="29">
        <v>705670</v>
      </c>
      <c r="P106" s="29" t="s">
        <v>41</v>
      </c>
      <c r="Q106" s="29" t="s">
        <v>42</v>
      </c>
      <c r="T106" s="1" t="s">
        <v>43</v>
      </c>
    </row>
    <row r="107" spans="1:24" x14ac:dyDescent="0.2">
      <c r="A107" s="29" t="s">
        <v>31</v>
      </c>
      <c r="B107" s="29" t="s">
        <v>490</v>
      </c>
      <c r="C107" s="29" t="s">
        <v>491</v>
      </c>
      <c r="D107" s="29">
        <f t="shared" si="1"/>
        <v>-1</v>
      </c>
      <c r="E107" s="29" t="s">
        <v>34</v>
      </c>
      <c r="F107" s="29" t="s">
        <v>35</v>
      </c>
      <c r="G107" s="29" t="s">
        <v>492</v>
      </c>
      <c r="H107" s="29" t="s">
        <v>37</v>
      </c>
      <c r="I107" s="29" t="s">
        <v>38</v>
      </c>
      <c r="J107" s="29" t="s">
        <v>488</v>
      </c>
      <c r="K107" s="29" t="s">
        <v>489</v>
      </c>
      <c r="L107" s="29">
        <v>73150</v>
      </c>
      <c r="M107" s="29">
        <v>0</v>
      </c>
      <c r="N107" s="29">
        <v>0</v>
      </c>
      <c r="O107" s="29">
        <v>458150</v>
      </c>
      <c r="P107" s="29" t="s">
        <v>41</v>
      </c>
      <c r="Q107" s="29" t="s">
        <v>42</v>
      </c>
      <c r="T107" s="1" t="s">
        <v>43</v>
      </c>
    </row>
    <row r="108" spans="1:24" x14ac:dyDescent="0.2">
      <c r="A108" s="29" t="s">
        <v>31</v>
      </c>
      <c r="B108" s="29" t="s">
        <v>493</v>
      </c>
      <c r="C108" s="29" t="s">
        <v>494</v>
      </c>
      <c r="D108" s="29">
        <f t="shared" si="1"/>
        <v>-1</v>
      </c>
      <c r="E108" s="29" t="s">
        <v>34</v>
      </c>
      <c r="F108" s="29" t="s">
        <v>35</v>
      </c>
      <c r="G108" s="29" t="s">
        <v>495</v>
      </c>
      <c r="H108" s="29" t="s">
        <v>37</v>
      </c>
      <c r="I108" s="29" t="s">
        <v>38</v>
      </c>
      <c r="J108" s="29" t="s">
        <v>488</v>
      </c>
      <c r="K108" s="29" t="s">
        <v>489</v>
      </c>
      <c r="L108" s="29">
        <v>0</v>
      </c>
      <c r="M108" s="29">
        <v>0</v>
      </c>
      <c r="N108" s="29">
        <v>0</v>
      </c>
      <c r="O108" s="29">
        <v>1180000</v>
      </c>
      <c r="P108" s="29" t="s">
        <v>41</v>
      </c>
      <c r="Q108" s="29" t="s">
        <v>42</v>
      </c>
      <c r="T108" s="1" t="s">
        <v>43</v>
      </c>
    </row>
    <row r="109" spans="1:24" x14ac:dyDescent="0.2">
      <c r="A109" s="33" t="s">
        <v>31</v>
      </c>
      <c r="B109" s="33" t="s">
        <v>496</v>
      </c>
      <c r="C109" s="33" t="s">
        <v>497</v>
      </c>
      <c r="D109" s="33">
        <f t="shared" si="1"/>
        <v>-1</v>
      </c>
      <c r="E109" s="33" t="s">
        <v>34</v>
      </c>
      <c r="F109" s="33" t="s">
        <v>35</v>
      </c>
      <c r="G109" s="33" t="s">
        <v>498</v>
      </c>
      <c r="H109" s="33" t="s">
        <v>37</v>
      </c>
      <c r="I109" s="33" t="s">
        <v>38</v>
      </c>
      <c r="J109" s="33" t="s">
        <v>499</v>
      </c>
      <c r="K109" s="33" t="s">
        <v>500</v>
      </c>
      <c r="L109" s="33">
        <v>136800</v>
      </c>
      <c r="M109" s="33">
        <v>0</v>
      </c>
      <c r="N109" s="33">
        <v>0</v>
      </c>
      <c r="O109" s="33">
        <v>856800</v>
      </c>
      <c r="P109" s="33" t="s">
        <v>41</v>
      </c>
      <c r="Q109" s="33" t="s">
        <v>42</v>
      </c>
      <c r="W109" s="1" t="s">
        <v>161</v>
      </c>
      <c r="X109" s="1" t="s">
        <v>501</v>
      </c>
    </row>
    <row r="110" spans="1:24" x14ac:dyDescent="0.2">
      <c r="A110" s="29" t="s">
        <v>31</v>
      </c>
      <c r="B110" s="29" t="s">
        <v>502</v>
      </c>
      <c r="C110" s="29" t="s">
        <v>503</v>
      </c>
      <c r="D110" s="29">
        <f t="shared" si="1"/>
        <v>-1</v>
      </c>
      <c r="E110" s="29" t="s">
        <v>34</v>
      </c>
      <c r="F110" s="29" t="s">
        <v>35</v>
      </c>
      <c r="G110" s="29" t="s">
        <v>504</v>
      </c>
      <c r="H110" s="29" t="s">
        <v>37</v>
      </c>
      <c r="I110" s="29" t="s">
        <v>38</v>
      </c>
      <c r="J110" s="29" t="s">
        <v>505</v>
      </c>
      <c r="K110" s="29" t="s">
        <v>506</v>
      </c>
      <c r="L110" s="29">
        <v>65360</v>
      </c>
      <c r="M110" s="29">
        <v>0</v>
      </c>
      <c r="N110" s="29">
        <v>0</v>
      </c>
      <c r="O110" s="29">
        <v>409360</v>
      </c>
      <c r="P110" s="29" t="s">
        <v>41</v>
      </c>
      <c r="Q110" s="29" t="s">
        <v>42</v>
      </c>
      <c r="T110" s="1" t="s">
        <v>43</v>
      </c>
    </row>
    <row r="111" spans="1:24" x14ac:dyDescent="0.2">
      <c r="A111" s="1" t="s">
        <v>31</v>
      </c>
      <c r="B111" s="1" t="s">
        <v>507</v>
      </c>
      <c r="C111" s="1" t="s">
        <v>508</v>
      </c>
      <c r="D111" s="1">
        <f t="shared" si="1"/>
        <v>-1</v>
      </c>
      <c r="E111" s="1" t="s">
        <v>34</v>
      </c>
      <c r="F111" s="1" t="s">
        <v>35</v>
      </c>
      <c r="G111" s="1" t="s">
        <v>509</v>
      </c>
      <c r="H111" s="1" t="s">
        <v>37</v>
      </c>
      <c r="I111" s="1" t="s">
        <v>38</v>
      </c>
      <c r="J111" s="1" t="s">
        <v>510</v>
      </c>
      <c r="K111" s="1" t="s">
        <v>511</v>
      </c>
      <c r="L111" s="1">
        <v>232265.5</v>
      </c>
      <c r="M111" s="1">
        <v>0</v>
      </c>
      <c r="N111" s="1">
        <v>0</v>
      </c>
      <c r="O111" s="1">
        <v>1462515.5</v>
      </c>
      <c r="P111" s="1" t="s">
        <v>41</v>
      </c>
      <c r="Q111" s="1" t="s">
        <v>42</v>
      </c>
      <c r="V111" s="1" t="s">
        <v>43</v>
      </c>
    </row>
    <row r="112" spans="1:24" x14ac:dyDescent="0.2">
      <c r="A112" s="1" t="s">
        <v>31</v>
      </c>
      <c r="B112" s="1" t="s">
        <v>512</v>
      </c>
      <c r="C112" s="1" t="s">
        <v>513</v>
      </c>
      <c r="D112" s="1">
        <f t="shared" si="1"/>
        <v>-1</v>
      </c>
      <c r="E112" s="1" t="s">
        <v>34</v>
      </c>
      <c r="F112" s="1" t="s">
        <v>35</v>
      </c>
      <c r="G112" s="1" t="s">
        <v>481</v>
      </c>
      <c r="H112" s="1" t="s">
        <v>37</v>
      </c>
      <c r="I112" s="1" t="s">
        <v>38</v>
      </c>
      <c r="J112" s="1" t="s">
        <v>510</v>
      </c>
      <c r="K112" s="1" t="s">
        <v>511</v>
      </c>
      <c r="L112" s="1">
        <v>1198900</v>
      </c>
      <c r="M112" s="1">
        <v>0</v>
      </c>
      <c r="N112" s="1">
        <v>0</v>
      </c>
      <c r="O112" s="1">
        <v>7508900</v>
      </c>
      <c r="P112" s="1" t="s">
        <v>41</v>
      </c>
      <c r="Q112" s="1" t="s">
        <v>42</v>
      </c>
      <c r="V112" s="1" t="s">
        <v>43</v>
      </c>
    </row>
    <row r="113" spans="1:24" x14ac:dyDescent="0.2">
      <c r="A113" s="1" t="s">
        <v>31</v>
      </c>
      <c r="B113" s="1" t="s">
        <v>514</v>
      </c>
      <c r="C113" s="1" t="s">
        <v>515</v>
      </c>
      <c r="D113" s="1">
        <f t="shared" si="1"/>
        <v>-1</v>
      </c>
      <c r="E113" s="1" t="s">
        <v>34</v>
      </c>
      <c r="F113" s="1" t="s">
        <v>35</v>
      </c>
      <c r="G113" s="1" t="s">
        <v>516</v>
      </c>
      <c r="H113" s="1" t="s">
        <v>37</v>
      </c>
      <c r="I113" s="1" t="s">
        <v>38</v>
      </c>
      <c r="J113" s="1" t="s">
        <v>510</v>
      </c>
      <c r="K113" s="1" t="s">
        <v>511</v>
      </c>
      <c r="L113" s="1">
        <v>122928</v>
      </c>
      <c r="M113" s="1">
        <v>0</v>
      </c>
      <c r="N113" s="1">
        <v>0</v>
      </c>
      <c r="O113" s="1">
        <v>1981728</v>
      </c>
      <c r="P113" s="1" t="s">
        <v>41</v>
      </c>
      <c r="Q113" s="1" t="s">
        <v>42</v>
      </c>
      <c r="V113" s="1" t="s">
        <v>43</v>
      </c>
    </row>
    <row r="114" spans="1:24" x14ac:dyDescent="0.2">
      <c r="A114" s="1" t="s">
        <v>31</v>
      </c>
      <c r="B114" s="1" t="s">
        <v>517</v>
      </c>
      <c r="C114" s="1" t="s">
        <v>518</v>
      </c>
      <c r="D114" s="1">
        <f t="shared" si="1"/>
        <v>-1</v>
      </c>
      <c r="E114" s="1" t="s">
        <v>34</v>
      </c>
      <c r="F114" s="1" t="s">
        <v>35</v>
      </c>
      <c r="G114" s="1" t="s">
        <v>519</v>
      </c>
      <c r="H114" s="1" t="s">
        <v>37</v>
      </c>
      <c r="I114" s="1" t="s">
        <v>38</v>
      </c>
      <c r="J114" s="1" t="s">
        <v>510</v>
      </c>
      <c r="K114" s="1" t="s">
        <v>511</v>
      </c>
      <c r="L114" s="1">
        <v>541139</v>
      </c>
      <c r="M114" s="1">
        <v>0</v>
      </c>
      <c r="N114" s="1">
        <v>0</v>
      </c>
      <c r="O114" s="1">
        <v>3389239</v>
      </c>
      <c r="P114" s="1" t="s">
        <v>41</v>
      </c>
      <c r="Q114" s="1" t="s">
        <v>42</v>
      </c>
      <c r="V114" s="1" t="s">
        <v>43</v>
      </c>
    </row>
    <row r="115" spans="1:24" x14ac:dyDescent="0.2">
      <c r="A115" s="33" t="s">
        <v>31</v>
      </c>
      <c r="B115" s="33" t="s">
        <v>520</v>
      </c>
      <c r="C115" s="33">
        <v>104728</v>
      </c>
      <c r="D115" s="33">
        <f t="shared" si="1"/>
        <v>-1</v>
      </c>
      <c r="E115" s="33" t="s">
        <v>34</v>
      </c>
      <c r="F115" s="33" t="s">
        <v>35</v>
      </c>
      <c r="G115" s="33" t="s">
        <v>521</v>
      </c>
      <c r="H115" s="33" t="s">
        <v>37</v>
      </c>
      <c r="I115" s="33" t="s">
        <v>38</v>
      </c>
      <c r="J115" s="33" t="s">
        <v>522</v>
      </c>
      <c r="K115" s="33" t="s">
        <v>523</v>
      </c>
      <c r="L115" s="33">
        <v>912000</v>
      </c>
      <c r="M115" s="33">
        <v>0</v>
      </c>
      <c r="N115" s="33">
        <v>0</v>
      </c>
      <c r="O115" s="33">
        <v>5712000</v>
      </c>
      <c r="P115" s="33" t="s">
        <v>41</v>
      </c>
      <c r="Q115" s="33" t="s">
        <v>42</v>
      </c>
      <c r="W115" s="33" t="s">
        <v>161</v>
      </c>
      <c r="X115" s="1" t="s">
        <v>524</v>
      </c>
    </row>
    <row r="116" spans="1:24" x14ac:dyDescent="0.2">
      <c r="A116" s="33" t="s">
        <v>31</v>
      </c>
      <c r="B116" s="33" t="s">
        <v>525</v>
      </c>
      <c r="C116" s="33" t="s">
        <v>526</v>
      </c>
      <c r="D116" s="33">
        <f t="shared" si="1"/>
        <v>-1</v>
      </c>
      <c r="E116" s="33" t="s">
        <v>34</v>
      </c>
      <c r="F116" s="33" t="s">
        <v>35</v>
      </c>
      <c r="G116" s="33" t="s">
        <v>527</v>
      </c>
      <c r="H116" s="33" t="s">
        <v>37</v>
      </c>
      <c r="I116" s="33" t="s">
        <v>38</v>
      </c>
      <c r="J116" s="33" t="s">
        <v>528</v>
      </c>
      <c r="K116" s="33" t="s">
        <v>529</v>
      </c>
      <c r="L116" s="33">
        <v>0</v>
      </c>
      <c r="M116" s="33">
        <v>0</v>
      </c>
      <c r="N116" s="33">
        <v>0</v>
      </c>
      <c r="O116" s="33">
        <v>2550000</v>
      </c>
      <c r="P116" s="33" t="s">
        <v>41</v>
      </c>
      <c r="Q116" s="33" t="s">
        <v>42</v>
      </c>
      <c r="W116" s="33" t="s">
        <v>43</v>
      </c>
      <c r="X116" s="1" t="s">
        <v>530</v>
      </c>
    </row>
    <row r="117" spans="1:24" x14ac:dyDescent="0.2">
      <c r="A117" s="31" t="s">
        <v>31</v>
      </c>
      <c r="B117" s="31" t="s">
        <v>531</v>
      </c>
      <c r="C117" s="31" t="s">
        <v>532</v>
      </c>
      <c r="D117" s="31">
        <f t="shared" si="1"/>
        <v>-1</v>
      </c>
      <c r="E117" s="31" t="s">
        <v>34</v>
      </c>
      <c r="F117" s="31" t="s">
        <v>35</v>
      </c>
      <c r="G117" s="31" t="s">
        <v>533</v>
      </c>
      <c r="H117" s="31" t="s">
        <v>37</v>
      </c>
      <c r="I117" s="31" t="s">
        <v>38</v>
      </c>
      <c r="J117" s="31" t="s">
        <v>534</v>
      </c>
      <c r="K117" s="31" t="s">
        <v>535</v>
      </c>
      <c r="L117" s="31">
        <v>169130.97</v>
      </c>
      <c r="M117" s="31">
        <v>0</v>
      </c>
      <c r="N117" s="31">
        <v>0</v>
      </c>
      <c r="O117" s="31">
        <v>1059293.97</v>
      </c>
      <c r="P117" s="31" t="s">
        <v>41</v>
      </c>
      <c r="Q117" s="31" t="s">
        <v>42</v>
      </c>
      <c r="U117" s="31" t="s">
        <v>161</v>
      </c>
    </row>
    <row r="118" spans="1:24" x14ac:dyDescent="0.2">
      <c r="A118" s="33" t="s">
        <v>31</v>
      </c>
      <c r="B118" s="33" t="s">
        <v>536</v>
      </c>
      <c r="C118" s="33" t="s">
        <v>537</v>
      </c>
      <c r="D118" s="33">
        <f t="shared" si="1"/>
        <v>-1</v>
      </c>
      <c r="E118" s="33" t="s">
        <v>34</v>
      </c>
      <c r="F118" s="33" t="s">
        <v>35</v>
      </c>
      <c r="G118" s="33" t="s">
        <v>538</v>
      </c>
      <c r="H118" s="33" t="s">
        <v>37</v>
      </c>
      <c r="I118" s="33" t="s">
        <v>38</v>
      </c>
      <c r="J118" s="33" t="s">
        <v>539</v>
      </c>
      <c r="K118" s="33" t="s">
        <v>540</v>
      </c>
      <c r="L118" s="33">
        <v>50950.400000000001</v>
      </c>
      <c r="M118" s="33">
        <v>0</v>
      </c>
      <c r="N118" s="33">
        <v>0</v>
      </c>
      <c r="O118" s="33">
        <v>319110.40000000002</v>
      </c>
      <c r="P118" s="33" t="s">
        <v>41</v>
      </c>
      <c r="Q118" s="33" t="s">
        <v>42</v>
      </c>
      <c r="W118" s="1" t="s">
        <v>43</v>
      </c>
      <c r="X118" s="1" t="s">
        <v>541</v>
      </c>
    </row>
    <row r="119" spans="1:24" x14ac:dyDescent="0.2">
      <c r="A119" s="1" t="s">
        <v>31</v>
      </c>
      <c r="B119" s="1" t="s">
        <v>542</v>
      </c>
      <c r="C119" s="1" t="s">
        <v>543</v>
      </c>
      <c r="D119" s="1">
        <f t="shared" si="1"/>
        <v>-1</v>
      </c>
      <c r="E119" s="1" t="s">
        <v>34</v>
      </c>
      <c r="F119" s="1" t="s">
        <v>35</v>
      </c>
      <c r="G119" s="1" t="s">
        <v>544</v>
      </c>
      <c r="H119" s="1" t="s">
        <v>37</v>
      </c>
      <c r="I119" s="1" t="s">
        <v>38</v>
      </c>
      <c r="J119" s="1" t="s">
        <v>545</v>
      </c>
      <c r="K119" s="1" t="s">
        <v>546</v>
      </c>
      <c r="L119" s="1">
        <v>832485</v>
      </c>
      <c r="M119" s="1">
        <v>0</v>
      </c>
      <c r="N119" s="1">
        <v>0</v>
      </c>
      <c r="O119" s="1">
        <v>5213985</v>
      </c>
      <c r="P119" s="1" t="s">
        <v>41</v>
      </c>
      <c r="Q119" s="1" t="s">
        <v>42</v>
      </c>
      <c r="V119" s="1" t="s">
        <v>43</v>
      </c>
    </row>
    <row r="120" spans="1:24" x14ac:dyDescent="0.2">
      <c r="A120" s="33" t="s">
        <v>31</v>
      </c>
      <c r="B120" s="33" t="s">
        <v>547</v>
      </c>
      <c r="C120" s="33" t="s">
        <v>548</v>
      </c>
      <c r="D120" s="33">
        <f t="shared" si="1"/>
        <v>-1</v>
      </c>
      <c r="E120" s="33" t="s">
        <v>34</v>
      </c>
      <c r="F120" s="33" t="s">
        <v>35</v>
      </c>
      <c r="G120" s="33" t="s">
        <v>549</v>
      </c>
      <c r="H120" s="33" t="s">
        <v>37</v>
      </c>
      <c r="I120" s="33" t="s">
        <v>38</v>
      </c>
      <c r="J120" s="33" t="s">
        <v>550</v>
      </c>
      <c r="K120" s="33" t="s">
        <v>551</v>
      </c>
      <c r="L120" s="33">
        <v>752799</v>
      </c>
      <c r="M120" s="33">
        <v>0</v>
      </c>
      <c r="N120" s="33">
        <v>0</v>
      </c>
      <c r="O120" s="33">
        <v>4714899</v>
      </c>
      <c r="P120" s="33" t="s">
        <v>41</v>
      </c>
      <c r="Q120" s="33" t="s">
        <v>42</v>
      </c>
      <c r="W120" s="33" t="s">
        <v>43</v>
      </c>
    </row>
    <row r="121" spans="1:24" x14ac:dyDescent="0.2">
      <c r="A121" s="33" t="s">
        <v>31</v>
      </c>
      <c r="B121" s="33" t="s">
        <v>552</v>
      </c>
      <c r="C121" s="33">
        <v>104734</v>
      </c>
      <c r="D121" s="33">
        <f t="shared" si="1"/>
        <v>-1</v>
      </c>
      <c r="E121" s="33" t="s">
        <v>34</v>
      </c>
      <c r="F121" s="33" t="s">
        <v>35</v>
      </c>
      <c r="G121" s="33" t="s">
        <v>553</v>
      </c>
      <c r="H121" s="33" t="s">
        <v>37</v>
      </c>
      <c r="I121" s="33" t="s">
        <v>38</v>
      </c>
      <c r="J121" s="33" t="s">
        <v>554</v>
      </c>
      <c r="K121" s="33" t="s">
        <v>555</v>
      </c>
      <c r="L121" s="33">
        <v>49400</v>
      </c>
      <c r="M121" s="33">
        <v>0</v>
      </c>
      <c r="N121" s="33">
        <v>0</v>
      </c>
      <c r="O121" s="33">
        <v>309400</v>
      </c>
      <c r="P121" s="33" t="s">
        <v>41</v>
      </c>
      <c r="Q121" s="33" t="s">
        <v>42</v>
      </c>
      <c r="W121" s="33" t="s">
        <v>43</v>
      </c>
    </row>
    <row r="122" spans="1:24" x14ac:dyDescent="0.2">
      <c r="A122" s="33" t="s">
        <v>31</v>
      </c>
      <c r="B122" s="33" t="s">
        <v>556</v>
      </c>
      <c r="C122" s="33" t="s">
        <v>557</v>
      </c>
      <c r="D122" s="33">
        <f t="shared" si="1"/>
        <v>-1</v>
      </c>
      <c r="E122" s="33" t="s">
        <v>34</v>
      </c>
      <c r="F122" s="33" t="s">
        <v>35</v>
      </c>
      <c r="G122" s="33" t="s">
        <v>558</v>
      </c>
      <c r="H122" s="33" t="s">
        <v>37</v>
      </c>
      <c r="I122" s="33" t="s">
        <v>38</v>
      </c>
      <c r="J122" s="33" t="s">
        <v>559</v>
      </c>
      <c r="K122" s="33" t="s">
        <v>560</v>
      </c>
      <c r="L122" s="33">
        <v>118063.34</v>
      </c>
      <c r="M122" s="33">
        <v>0</v>
      </c>
      <c r="N122" s="33">
        <v>0</v>
      </c>
      <c r="O122" s="33">
        <v>739449.34</v>
      </c>
      <c r="P122" s="33" t="s">
        <v>41</v>
      </c>
      <c r="Q122" s="33" t="s">
        <v>42</v>
      </c>
      <c r="W122" s="1" t="s">
        <v>43</v>
      </c>
      <c r="X122" s="1" t="s">
        <v>108</v>
      </c>
    </row>
    <row r="123" spans="1:24" x14ac:dyDescent="0.2">
      <c r="A123" s="31" t="s">
        <v>31</v>
      </c>
      <c r="B123" s="31" t="s">
        <v>561</v>
      </c>
      <c r="C123" s="31" t="s">
        <v>562</v>
      </c>
      <c r="D123" s="31">
        <f t="shared" si="1"/>
        <v>-1</v>
      </c>
      <c r="E123" s="31" t="s">
        <v>34</v>
      </c>
      <c r="F123" s="31" t="s">
        <v>35</v>
      </c>
      <c r="G123" s="31" t="s">
        <v>563</v>
      </c>
      <c r="H123" s="31" t="s">
        <v>37</v>
      </c>
      <c r="I123" s="31" t="s">
        <v>38</v>
      </c>
      <c r="J123" s="31" t="s">
        <v>534</v>
      </c>
      <c r="K123" s="31" t="s">
        <v>535</v>
      </c>
      <c r="L123" s="31">
        <v>1066115.46</v>
      </c>
      <c r="M123" s="31">
        <v>0</v>
      </c>
      <c r="N123" s="31">
        <v>0</v>
      </c>
      <c r="O123" s="31">
        <v>6677249.46</v>
      </c>
      <c r="P123" s="31" t="s">
        <v>41</v>
      </c>
      <c r="Q123" s="31" t="s">
        <v>42</v>
      </c>
      <c r="U123" s="31" t="s">
        <v>161</v>
      </c>
    </row>
    <row r="124" spans="1:24" x14ac:dyDescent="0.2">
      <c r="A124" s="33" t="s">
        <v>31</v>
      </c>
      <c r="B124" s="33" t="s">
        <v>564</v>
      </c>
      <c r="C124" s="33" t="s">
        <v>565</v>
      </c>
      <c r="D124" s="33">
        <f t="shared" si="1"/>
        <v>-1</v>
      </c>
      <c r="E124" s="33" t="s">
        <v>34</v>
      </c>
      <c r="F124" s="33" t="s">
        <v>35</v>
      </c>
      <c r="G124" s="33" t="s">
        <v>566</v>
      </c>
      <c r="H124" s="33" t="s">
        <v>37</v>
      </c>
      <c r="I124" s="33" t="s">
        <v>38</v>
      </c>
      <c r="J124" s="33" t="s">
        <v>567</v>
      </c>
      <c r="K124" s="33" t="s">
        <v>568</v>
      </c>
      <c r="L124" s="33">
        <v>220684.24</v>
      </c>
      <c r="M124" s="33">
        <v>0</v>
      </c>
      <c r="N124" s="33">
        <v>0</v>
      </c>
      <c r="O124" s="33">
        <v>1418932.24</v>
      </c>
      <c r="P124" s="33" t="s">
        <v>41</v>
      </c>
      <c r="Q124" s="33" t="s">
        <v>42</v>
      </c>
      <c r="W124" s="33" t="s">
        <v>43</v>
      </c>
      <c r="X124" s="1" t="s">
        <v>569</v>
      </c>
    </row>
    <row r="125" spans="1:24" x14ac:dyDescent="0.2">
      <c r="A125" s="33" t="s">
        <v>31</v>
      </c>
      <c r="B125" s="33" t="s">
        <v>570</v>
      </c>
      <c r="C125" s="33" t="s">
        <v>571</v>
      </c>
      <c r="D125" s="33">
        <f t="shared" si="1"/>
        <v>-1</v>
      </c>
      <c r="E125" s="33" t="s">
        <v>34</v>
      </c>
      <c r="F125" s="33" t="s">
        <v>35</v>
      </c>
      <c r="G125" s="33" t="s">
        <v>572</v>
      </c>
      <c r="H125" s="33" t="s">
        <v>37</v>
      </c>
      <c r="I125" s="33" t="s">
        <v>38</v>
      </c>
      <c r="J125" s="33" t="s">
        <v>573</v>
      </c>
      <c r="K125" s="33" t="s">
        <v>574</v>
      </c>
      <c r="L125" s="33">
        <v>225625</v>
      </c>
      <c r="M125" s="33">
        <v>0</v>
      </c>
      <c r="N125" s="33">
        <v>0</v>
      </c>
      <c r="O125" s="33">
        <v>1413125</v>
      </c>
      <c r="P125" s="33" t="s">
        <v>41</v>
      </c>
      <c r="Q125" s="33" t="s">
        <v>42</v>
      </c>
      <c r="W125" s="33" t="s">
        <v>43</v>
      </c>
      <c r="X125" s="1" t="s">
        <v>575</v>
      </c>
    </row>
    <row r="126" spans="1:24" x14ac:dyDescent="0.2">
      <c r="A126" s="29" t="s">
        <v>31</v>
      </c>
      <c r="B126" s="29" t="s">
        <v>576</v>
      </c>
      <c r="C126" s="29" t="s">
        <v>577</v>
      </c>
      <c r="D126" s="29">
        <f t="shared" si="1"/>
        <v>-1</v>
      </c>
      <c r="E126" s="29" t="s">
        <v>34</v>
      </c>
      <c r="F126" s="29" t="s">
        <v>35</v>
      </c>
      <c r="G126" s="29" t="s">
        <v>578</v>
      </c>
      <c r="H126" s="29" t="s">
        <v>37</v>
      </c>
      <c r="I126" s="29" t="s">
        <v>38</v>
      </c>
      <c r="J126" s="29" t="s">
        <v>579</v>
      </c>
      <c r="K126" s="29" t="s">
        <v>580</v>
      </c>
      <c r="L126" s="29">
        <v>78850</v>
      </c>
      <c r="M126" s="29">
        <v>0</v>
      </c>
      <c r="N126" s="29">
        <v>0</v>
      </c>
      <c r="O126" s="29">
        <v>493850</v>
      </c>
      <c r="P126" s="29" t="s">
        <v>41</v>
      </c>
      <c r="Q126" s="29" t="s">
        <v>42</v>
      </c>
      <c r="T126" s="1" t="s">
        <v>161</v>
      </c>
    </row>
    <row r="127" spans="1:24" x14ac:dyDescent="0.2">
      <c r="A127" s="29" t="s">
        <v>31</v>
      </c>
      <c r="B127" s="29" t="s">
        <v>581</v>
      </c>
      <c r="C127" s="29" t="s">
        <v>582</v>
      </c>
      <c r="D127" s="29">
        <f t="shared" si="1"/>
        <v>-1</v>
      </c>
      <c r="E127" s="29" t="s">
        <v>34</v>
      </c>
      <c r="F127" s="29" t="s">
        <v>35</v>
      </c>
      <c r="G127" s="29" t="s">
        <v>583</v>
      </c>
      <c r="H127" s="29" t="s">
        <v>37</v>
      </c>
      <c r="I127" s="29" t="s">
        <v>38</v>
      </c>
      <c r="J127" s="29" t="s">
        <v>579</v>
      </c>
      <c r="K127" s="29" t="s">
        <v>580</v>
      </c>
      <c r="L127" s="29">
        <v>45220</v>
      </c>
      <c r="M127" s="29">
        <v>0</v>
      </c>
      <c r="N127" s="29">
        <v>0</v>
      </c>
      <c r="O127" s="29">
        <v>283220</v>
      </c>
      <c r="P127" s="29" t="s">
        <v>41</v>
      </c>
      <c r="Q127" s="29" t="s">
        <v>42</v>
      </c>
      <c r="T127" s="1" t="s">
        <v>161</v>
      </c>
    </row>
    <row r="128" spans="1:24" x14ac:dyDescent="0.2">
      <c r="A128" s="33" t="s">
        <v>31</v>
      </c>
      <c r="B128" s="33" t="s">
        <v>584</v>
      </c>
      <c r="C128" s="33" t="s">
        <v>585</v>
      </c>
      <c r="D128" s="33">
        <f t="shared" si="1"/>
        <v>-1</v>
      </c>
      <c r="E128" s="33" t="s">
        <v>34</v>
      </c>
      <c r="F128" s="33" t="s">
        <v>35</v>
      </c>
      <c r="G128" s="33" t="s">
        <v>586</v>
      </c>
      <c r="H128" s="33" t="s">
        <v>37</v>
      </c>
      <c r="I128" s="33" t="s">
        <v>38</v>
      </c>
      <c r="J128" s="33" t="s">
        <v>587</v>
      </c>
      <c r="K128" s="33" t="s">
        <v>588</v>
      </c>
      <c r="L128" s="33">
        <v>1033980</v>
      </c>
      <c r="M128" s="33">
        <v>0</v>
      </c>
      <c r="N128" s="33">
        <v>0</v>
      </c>
      <c r="O128" s="33">
        <v>6475980</v>
      </c>
      <c r="P128" s="33" t="s">
        <v>41</v>
      </c>
      <c r="Q128" s="33" t="s">
        <v>42</v>
      </c>
      <c r="W128" s="33" t="s">
        <v>161</v>
      </c>
      <c r="X128" s="1" t="s">
        <v>589</v>
      </c>
    </row>
    <row r="129" spans="1:24" x14ac:dyDescent="0.2">
      <c r="A129" s="29" t="s">
        <v>31</v>
      </c>
      <c r="B129" s="29" t="s">
        <v>590</v>
      </c>
      <c r="C129" s="29" t="s">
        <v>591</v>
      </c>
      <c r="D129" s="29">
        <f t="shared" si="1"/>
        <v>-1</v>
      </c>
      <c r="E129" s="29" t="s">
        <v>34</v>
      </c>
      <c r="F129" s="29" t="s">
        <v>35</v>
      </c>
      <c r="G129" s="29" t="s">
        <v>592</v>
      </c>
      <c r="H129" s="29" t="s">
        <v>37</v>
      </c>
      <c r="I129" s="29" t="s">
        <v>38</v>
      </c>
      <c r="J129" s="29" t="s">
        <v>593</v>
      </c>
      <c r="K129" s="29" t="s">
        <v>594</v>
      </c>
      <c r="L129" s="29">
        <v>288369</v>
      </c>
      <c r="M129" s="29">
        <v>0</v>
      </c>
      <c r="N129" s="29">
        <v>0</v>
      </c>
      <c r="O129" s="29">
        <v>2253069</v>
      </c>
      <c r="P129" s="29" t="s">
        <v>41</v>
      </c>
      <c r="Q129" s="29" t="s">
        <v>42</v>
      </c>
      <c r="T129" s="1" t="s">
        <v>43</v>
      </c>
    </row>
    <row r="130" spans="1:24" x14ac:dyDescent="0.2">
      <c r="A130" s="29" t="s">
        <v>31</v>
      </c>
      <c r="B130" s="29" t="s">
        <v>595</v>
      </c>
      <c r="C130" s="29" t="s">
        <v>596</v>
      </c>
      <c r="D130" s="29">
        <f t="shared" si="1"/>
        <v>-1</v>
      </c>
      <c r="E130" s="29" t="s">
        <v>34</v>
      </c>
      <c r="F130" s="29" t="s">
        <v>35</v>
      </c>
      <c r="G130" s="29" t="s">
        <v>597</v>
      </c>
      <c r="H130" s="29" t="s">
        <v>37</v>
      </c>
      <c r="I130" s="29" t="s">
        <v>38</v>
      </c>
      <c r="J130" s="29" t="s">
        <v>593</v>
      </c>
      <c r="K130" s="29" t="s">
        <v>594</v>
      </c>
      <c r="L130" s="29">
        <v>259737</v>
      </c>
      <c r="M130" s="29">
        <v>0</v>
      </c>
      <c r="N130" s="29">
        <v>0</v>
      </c>
      <c r="O130" s="29">
        <v>1836037</v>
      </c>
      <c r="P130" s="29" t="s">
        <v>41</v>
      </c>
      <c r="Q130" s="29" t="s">
        <v>42</v>
      </c>
      <c r="T130" s="1" t="s">
        <v>43</v>
      </c>
    </row>
    <row r="131" spans="1:24" x14ac:dyDescent="0.2">
      <c r="A131" s="29" t="s">
        <v>31</v>
      </c>
      <c r="B131" s="29" t="s">
        <v>598</v>
      </c>
      <c r="C131" s="29" t="s">
        <v>599</v>
      </c>
      <c r="D131" s="29">
        <f t="shared" si="1"/>
        <v>-1</v>
      </c>
      <c r="E131" s="29" t="s">
        <v>34</v>
      </c>
      <c r="F131" s="29" t="s">
        <v>35</v>
      </c>
      <c r="G131" s="29" t="s">
        <v>600</v>
      </c>
      <c r="H131" s="29" t="s">
        <v>37</v>
      </c>
      <c r="I131" s="29" t="s">
        <v>38</v>
      </c>
      <c r="J131" s="29" t="s">
        <v>593</v>
      </c>
      <c r="K131" s="29" t="s">
        <v>594</v>
      </c>
      <c r="L131" s="29">
        <v>100479.4</v>
      </c>
      <c r="M131" s="29">
        <v>0</v>
      </c>
      <c r="N131" s="29">
        <v>0</v>
      </c>
      <c r="O131" s="29">
        <v>650539.4</v>
      </c>
      <c r="P131" s="29" t="s">
        <v>41</v>
      </c>
      <c r="Q131" s="29" t="s">
        <v>42</v>
      </c>
      <c r="T131" s="1" t="s">
        <v>43</v>
      </c>
    </row>
    <row r="132" spans="1:24" x14ac:dyDescent="0.2">
      <c r="A132" s="28" t="s">
        <v>31</v>
      </c>
      <c r="B132" s="28" t="s">
        <v>601</v>
      </c>
      <c r="C132" s="28" t="s">
        <v>602</v>
      </c>
      <c r="D132" s="28">
        <f t="shared" si="1"/>
        <v>-1</v>
      </c>
      <c r="E132" s="28" t="s">
        <v>34</v>
      </c>
      <c r="F132" s="28" t="s">
        <v>35</v>
      </c>
      <c r="G132" s="28" t="s">
        <v>603</v>
      </c>
      <c r="H132" s="28" t="s">
        <v>37</v>
      </c>
      <c r="I132" s="28" t="s">
        <v>38</v>
      </c>
      <c r="J132" s="28" t="s">
        <v>57</v>
      </c>
      <c r="K132" s="28" t="s">
        <v>58</v>
      </c>
      <c r="L132" s="28">
        <v>613320</v>
      </c>
      <c r="M132" s="28">
        <v>0</v>
      </c>
      <c r="N132" s="28">
        <v>0</v>
      </c>
      <c r="O132" s="28">
        <v>3841320</v>
      </c>
      <c r="P132" s="28" t="s">
        <v>41</v>
      </c>
      <c r="Q132" s="28" t="s">
        <v>42</v>
      </c>
      <c r="R132" s="1" t="s">
        <v>43</v>
      </c>
    </row>
    <row r="133" spans="1:24" x14ac:dyDescent="0.2">
      <c r="A133" s="29" t="s">
        <v>31</v>
      </c>
      <c r="B133" s="29" t="s">
        <v>604</v>
      </c>
      <c r="C133" s="29" t="s">
        <v>605</v>
      </c>
      <c r="D133" s="29">
        <f t="shared" si="1"/>
        <v>-1</v>
      </c>
      <c r="E133" s="29" t="s">
        <v>34</v>
      </c>
      <c r="F133" s="29" t="s">
        <v>35</v>
      </c>
      <c r="G133" s="29" t="s">
        <v>606</v>
      </c>
      <c r="H133" s="29" t="s">
        <v>37</v>
      </c>
      <c r="I133" s="29" t="s">
        <v>38</v>
      </c>
      <c r="J133" s="29" t="s">
        <v>62</v>
      </c>
      <c r="K133" s="29" t="s">
        <v>63</v>
      </c>
      <c r="L133" s="29">
        <v>613320</v>
      </c>
      <c r="M133" s="29">
        <v>0</v>
      </c>
      <c r="N133" s="29">
        <v>0</v>
      </c>
      <c r="O133" s="29">
        <v>3841320</v>
      </c>
      <c r="P133" s="29" t="s">
        <v>41</v>
      </c>
      <c r="Q133" s="29" t="s">
        <v>42</v>
      </c>
      <c r="T133" s="1" t="s">
        <v>43</v>
      </c>
    </row>
    <row r="134" spans="1:24" x14ac:dyDescent="0.2">
      <c r="A134" s="33" t="s">
        <v>31</v>
      </c>
      <c r="B134" s="33" t="s">
        <v>607</v>
      </c>
      <c r="C134" s="33" t="s">
        <v>608</v>
      </c>
      <c r="D134" s="33">
        <f t="shared" si="1"/>
        <v>-1</v>
      </c>
      <c r="E134" s="33" t="s">
        <v>34</v>
      </c>
      <c r="F134" s="33" t="s">
        <v>35</v>
      </c>
      <c r="G134" s="33" t="s">
        <v>609</v>
      </c>
      <c r="H134" s="33" t="s">
        <v>37</v>
      </c>
      <c r="I134" s="33" t="s">
        <v>38</v>
      </c>
      <c r="J134" s="33" t="s">
        <v>610</v>
      </c>
      <c r="K134" s="33" t="s">
        <v>611</v>
      </c>
      <c r="L134" s="33">
        <v>29787.9</v>
      </c>
      <c r="M134" s="33">
        <v>0</v>
      </c>
      <c r="N134" s="33">
        <v>0</v>
      </c>
      <c r="O134" s="33">
        <v>363997.9</v>
      </c>
      <c r="P134" s="33" t="s">
        <v>41</v>
      </c>
      <c r="Q134" s="33" t="s">
        <v>42</v>
      </c>
      <c r="W134" s="33" t="s">
        <v>43</v>
      </c>
      <c r="X134" s="40" t="s">
        <v>237</v>
      </c>
    </row>
    <row r="135" spans="1:24" x14ac:dyDescent="0.2">
      <c r="A135" s="33" t="s">
        <v>31</v>
      </c>
      <c r="B135" s="33" t="s">
        <v>612</v>
      </c>
      <c r="C135" s="33" t="s">
        <v>613</v>
      </c>
      <c r="D135" s="33">
        <f t="shared" si="1"/>
        <v>-1</v>
      </c>
      <c r="E135" s="33" t="s">
        <v>34</v>
      </c>
      <c r="F135" s="33" t="s">
        <v>35</v>
      </c>
      <c r="G135" s="33" t="s">
        <v>614</v>
      </c>
      <c r="H135" s="33" t="s">
        <v>37</v>
      </c>
      <c r="I135" s="33" t="s">
        <v>38</v>
      </c>
      <c r="J135" s="33" t="s">
        <v>615</v>
      </c>
      <c r="K135" s="33" t="s">
        <v>616</v>
      </c>
      <c r="L135" s="33">
        <v>48010.46</v>
      </c>
      <c r="M135" s="33">
        <v>0</v>
      </c>
      <c r="N135" s="33">
        <v>0</v>
      </c>
      <c r="O135" s="33">
        <v>410368.46</v>
      </c>
      <c r="P135" s="33" t="s">
        <v>41</v>
      </c>
      <c r="Q135" s="33" t="s">
        <v>42</v>
      </c>
      <c r="W135" s="1" t="s">
        <v>161</v>
      </c>
      <c r="X135" s="1" t="s">
        <v>484</v>
      </c>
    </row>
    <row r="136" spans="1:24" x14ac:dyDescent="0.2">
      <c r="A136" s="33" t="s">
        <v>31</v>
      </c>
      <c r="B136" s="33" t="s">
        <v>617</v>
      </c>
      <c r="C136" s="33" t="s">
        <v>618</v>
      </c>
      <c r="D136" s="33">
        <f>C136-C137</f>
        <v>-1</v>
      </c>
      <c r="E136" s="33" t="s">
        <v>34</v>
      </c>
      <c r="F136" s="33" t="s">
        <v>35</v>
      </c>
      <c r="G136" s="33" t="s">
        <v>619</v>
      </c>
      <c r="H136" s="33" t="s">
        <v>37</v>
      </c>
      <c r="I136" s="33" t="s">
        <v>38</v>
      </c>
      <c r="J136" s="33" t="s">
        <v>620</v>
      </c>
      <c r="K136" s="33" t="s">
        <v>621</v>
      </c>
      <c r="L136" s="33">
        <v>209558.79</v>
      </c>
      <c r="M136" s="33">
        <v>0</v>
      </c>
      <c r="N136" s="33">
        <v>0</v>
      </c>
      <c r="O136" s="33">
        <v>1312499.79</v>
      </c>
      <c r="P136" s="33" t="s">
        <v>41</v>
      </c>
      <c r="Q136" s="33" t="s">
        <v>42</v>
      </c>
      <c r="W136" s="33" t="s">
        <v>161</v>
      </c>
      <c r="X136" s="1" t="s">
        <v>622</v>
      </c>
    </row>
    <row r="137" spans="1:24" x14ac:dyDescent="0.2">
      <c r="A137" s="33" t="s">
        <v>31</v>
      </c>
      <c r="B137" s="33" t="s">
        <v>623</v>
      </c>
      <c r="C137" s="33" t="s">
        <v>624</v>
      </c>
      <c r="D137" s="33">
        <f>C137-C138</f>
        <v>-1</v>
      </c>
      <c r="E137" s="33" t="s">
        <v>34</v>
      </c>
      <c r="F137" s="33" t="s">
        <v>35</v>
      </c>
      <c r="G137" s="33" t="s">
        <v>625</v>
      </c>
      <c r="H137" s="33" t="s">
        <v>37</v>
      </c>
      <c r="I137" s="33" t="s">
        <v>38</v>
      </c>
      <c r="J137" s="33" t="s">
        <v>143</v>
      </c>
      <c r="K137" s="33" t="s">
        <v>144</v>
      </c>
      <c r="L137" s="33">
        <v>26032.47</v>
      </c>
      <c r="M137" s="33">
        <v>0</v>
      </c>
      <c r="N137" s="33">
        <v>0</v>
      </c>
      <c r="O137" s="33">
        <v>163045.47</v>
      </c>
      <c r="P137" s="33" t="s">
        <v>41</v>
      </c>
      <c r="Q137" s="33" t="s">
        <v>42</v>
      </c>
      <c r="W137" s="1" t="s">
        <v>43</v>
      </c>
      <c r="X137" s="1" t="s">
        <v>108</v>
      </c>
    </row>
    <row r="138" spans="1:24" x14ac:dyDescent="0.2">
      <c r="A138" s="33" t="s">
        <v>31</v>
      </c>
      <c r="B138" s="33" t="s">
        <v>626</v>
      </c>
      <c r="C138" s="33" t="s">
        <v>627</v>
      </c>
      <c r="D138" s="33">
        <f t="shared" si="1"/>
        <v>-1</v>
      </c>
      <c r="E138" s="33" t="s">
        <v>34</v>
      </c>
      <c r="F138" s="33" t="s">
        <v>35</v>
      </c>
      <c r="G138" s="33" t="s">
        <v>628</v>
      </c>
      <c r="H138" s="33" t="s">
        <v>37</v>
      </c>
      <c r="I138" s="33" t="s">
        <v>38</v>
      </c>
      <c r="J138" s="33" t="s">
        <v>79</v>
      </c>
      <c r="K138" s="33" t="s">
        <v>80</v>
      </c>
      <c r="L138" s="33">
        <v>39681.5</v>
      </c>
      <c r="M138" s="33">
        <v>0</v>
      </c>
      <c r="N138" s="33">
        <v>0</v>
      </c>
      <c r="O138" s="33">
        <v>248531.5</v>
      </c>
      <c r="P138" s="33" t="s">
        <v>41</v>
      </c>
      <c r="Q138" s="33" t="s">
        <v>42</v>
      </c>
      <c r="W138" s="1" t="s">
        <v>43</v>
      </c>
      <c r="X138" s="1" t="s">
        <v>84</v>
      </c>
    </row>
    <row r="139" spans="1:24" x14ac:dyDescent="0.2">
      <c r="A139" s="33" t="s">
        <v>31</v>
      </c>
      <c r="B139" s="33" t="s">
        <v>629</v>
      </c>
      <c r="C139" s="33" t="s">
        <v>630</v>
      </c>
      <c r="D139" s="33">
        <f t="shared" ref="D139:D202" si="2">C139-C140</f>
        <v>-1</v>
      </c>
      <c r="E139" s="33" t="s">
        <v>34</v>
      </c>
      <c r="F139" s="33" t="s">
        <v>35</v>
      </c>
      <c r="G139" s="33" t="s">
        <v>631</v>
      </c>
      <c r="H139" s="33" t="s">
        <v>37</v>
      </c>
      <c r="I139" s="33" t="s">
        <v>38</v>
      </c>
      <c r="J139" s="33" t="s">
        <v>632</v>
      </c>
      <c r="K139" s="33" t="s">
        <v>633</v>
      </c>
      <c r="L139" s="33">
        <v>28500</v>
      </c>
      <c r="M139" s="33">
        <v>0</v>
      </c>
      <c r="N139" s="33">
        <v>0</v>
      </c>
      <c r="O139" s="33">
        <v>178500</v>
      </c>
      <c r="P139" s="33" t="s">
        <v>41</v>
      </c>
      <c r="Q139" s="33" t="s">
        <v>42</v>
      </c>
      <c r="W139" s="33" t="s">
        <v>161</v>
      </c>
      <c r="X139" s="1" t="s">
        <v>294</v>
      </c>
    </row>
    <row r="140" spans="1:24" x14ac:dyDescent="0.2">
      <c r="A140" s="33" t="s">
        <v>31</v>
      </c>
      <c r="B140" s="33" t="s">
        <v>634</v>
      </c>
      <c r="C140" s="33" t="s">
        <v>635</v>
      </c>
      <c r="D140" s="33">
        <f t="shared" si="2"/>
        <v>-1</v>
      </c>
      <c r="E140" s="33" t="s">
        <v>34</v>
      </c>
      <c r="F140" s="33" t="s">
        <v>35</v>
      </c>
      <c r="G140" s="33" t="s">
        <v>636</v>
      </c>
      <c r="H140" s="33" t="s">
        <v>37</v>
      </c>
      <c r="I140" s="33" t="s">
        <v>38</v>
      </c>
      <c r="J140" s="33" t="s">
        <v>637</v>
      </c>
      <c r="K140" s="33" t="s">
        <v>638</v>
      </c>
      <c r="L140" s="33">
        <v>2215397.91</v>
      </c>
      <c r="M140" s="33">
        <v>0</v>
      </c>
      <c r="N140" s="33">
        <v>0</v>
      </c>
      <c r="O140" s="33">
        <v>13875386.91</v>
      </c>
      <c r="P140" s="33" t="s">
        <v>41</v>
      </c>
      <c r="Q140" s="33" t="s">
        <v>42</v>
      </c>
      <c r="W140" s="33" t="s">
        <v>161</v>
      </c>
      <c r="X140" s="1" t="s">
        <v>129</v>
      </c>
    </row>
    <row r="141" spans="1:24" x14ac:dyDescent="0.2">
      <c r="A141" s="33" t="s">
        <v>31</v>
      </c>
      <c r="B141" s="33" t="s">
        <v>639</v>
      </c>
      <c r="C141" s="33" t="s">
        <v>640</v>
      </c>
      <c r="D141" s="33">
        <f t="shared" si="2"/>
        <v>-1</v>
      </c>
      <c r="E141" s="33" t="s">
        <v>34</v>
      </c>
      <c r="F141" s="33" t="s">
        <v>35</v>
      </c>
      <c r="G141" s="33" t="s">
        <v>641</v>
      </c>
      <c r="H141" s="33" t="s">
        <v>37</v>
      </c>
      <c r="I141" s="33" t="s">
        <v>38</v>
      </c>
      <c r="J141" s="33" t="s">
        <v>642</v>
      </c>
      <c r="K141" s="33" t="s">
        <v>643</v>
      </c>
      <c r="L141" s="33">
        <v>35150</v>
      </c>
      <c r="M141" s="33">
        <v>0</v>
      </c>
      <c r="N141" s="33">
        <v>0</v>
      </c>
      <c r="O141" s="33">
        <v>220150</v>
      </c>
      <c r="P141" s="33" t="s">
        <v>41</v>
      </c>
      <c r="Q141" s="33" t="s">
        <v>42</v>
      </c>
      <c r="W141" s="33" t="s">
        <v>161</v>
      </c>
      <c r="X141" s="1" t="s">
        <v>439</v>
      </c>
    </row>
    <row r="142" spans="1:24" x14ac:dyDescent="0.2">
      <c r="A142" s="33" t="s">
        <v>31</v>
      </c>
      <c r="B142" s="33" t="s">
        <v>644</v>
      </c>
      <c r="C142" s="33" t="s">
        <v>645</v>
      </c>
      <c r="D142" s="33">
        <f t="shared" si="2"/>
        <v>-1</v>
      </c>
      <c r="E142" s="33" t="s">
        <v>34</v>
      </c>
      <c r="F142" s="33" t="s">
        <v>35</v>
      </c>
      <c r="G142" s="33" t="s">
        <v>646</v>
      </c>
      <c r="H142" s="33" t="s">
        <v>37</v>
      </c>
      <c r="I142" s="33" t="s">
        <v>38</v>
      </c>
      <c r="J142" s="33" t="s">
        <v>647</v>
      </c>
      <c r="K142" s="33" t="s">
        <v>648</v>
      </c>
      <c r="L142" s="33">
        <v>68400</v>
      </c>
      <c r="M142" s="33">
        <v>0</v>
      </c>
      <c r="N142" s="33">
        <v>0</v>
      </c>
      <c r="O142" s="33">
        <v>428400</v>
      </c>
      <c r="P142" s="33" t="s">
        <v>41</v>
      </c>
      <c r="Q142" s="33" t="s">
        <v>42</v>
      </c>
      <c r="W142" s="33" t="s">
        <v>43</v>
      </c>
      <c r="X142" s="1" t="s">
        <v>501</v>
      </c>
    </row>
    <row r="143" spans="1:24" x14ac:dyDescent="0.2">
      <c r="A143" s="33" t="s">
        <v>31</v>
      </c>
      <c r="B143" s="33" t="s">
        <v>649</v>
      </c>
      <c r="C143" s="33" t="s">
        <v>650</v>
      </c>
      <c r="D143" s="33">
        <f t="shared" si="2"/>
        <v>-1</v>
      </c>
      <c r="E143" s="33" t="s">
        <v>34</v>
      </c>
      <c r="F143" s="33" t="s">
        <v>35</v>
      </c>
      <c r="G143" s="33" t="s">
        <v>651</v>
      </c>
      <c r="H143" s="33" t="s">
        <v>37</v>
      </c>
      <c r="I143" s="33" t="s">
        <v>38</v>
      </c>
      <c r="J143" s="33" t="s">
        <v>652</v>
      </c>
      <c r="K143" s="33" t="s">
        <v>653</v>
      </c>
      <c r="L143" s="33">
        <v>142500</v>
      </c>
      <c r="M143" s="33">
        <v>0</v>
      </c>
      <c r="N143" s="33">
        <v>0</v>
      </c>
      <c r="O143" s="33">
        <v>892500</v>
      </c>
      <c r="P143" s="33" t="s">
        <v>41</v>
      </c>
      <c r="Q143" s="33" t="s">
        <v>42</v>
      </c>
      <c r="W143" s="33" t="s">
        <v>43</v>
      </c>
      <c r="X143" s="1" t="s">
        <v>654</v>
      </c>
    </row>
    <row r="144" spans="1:24" x14ac:dyDescent="0.2">
      <c r="A144" s="33" t="s">
        <v>31</v>
      </c>
      <c r="B144" s="33" t="s">
        <v>655</v>
      </c>
      <c r="C144" s="33" t="s">
        <v>656</v>
      </c>
      <c r="D144" s="33">
        <f t="shared" si="2"/>
        <v>-1</v>
      </c>
      <c r="E144" s="33" t="s">
        <v>34</v>
      </c>
      <c r="F144" s="33" t="s">
        <v>35</v>
      </c>
      <c r="G144" s="33" t="s">
        <v>657</v>
      </c>
      <c r="H144" s="33" t="s">
        <v>37</v>
      </c>
      <c r="I144" s="33" t="s">
        <v>38</v>
      </c>
      <c r="J144" s="33" t="s">
        <v>658</v>
      </c>
      <c r="K144" s="33" t="s">
        <v>659</v>
      </c>
      <c r="L144" s="33">
        <v>106409.5</v>
      </c>
      <c r="M144" s="33">
        <v>0</v>
      </c>
      <c r="N144" s="33">
        <v>0</v>
      </c>
      <c r="O144" s="33">
        <v>666459.5</v>
      </c>
      <c r="P144" s="33" t="s">
        <v>41</v>
      </c>
      <c r="Q144" s="33" t="s">
        <v>42</v>
      </c>
      <c r="W144" s="33" t="s">
        <v>161</v>
      </c>
      <c r="X144" s="1" t="s">
        <v>405</v>
      </c>
    </row>
    <row r="145" spans="1:24" x14ac:dyDescent="0.2">
      <c r="A145" s="33" t="s">
        <v>31</v>
      </c>
      <c r="B145" s="33" t="s">
        <v>660</v>
      </c>
      <c r="C145" s="33" t="s">
        <v>661</v>
      </c>
      <c r="D145" s="33">
        <f t="shared" si="2"/>
        <v>-1</v>
      </c>
      <c r="E145" s="33" t="s">
        <v>34</v>
      </c>
      <c r="F145" s="33" t="s">
        <v>35</v>
      </c>
      <c r="G145" s="33" t="s">
        <v>662</v>
      </c>
      <c r="H145" s="33" t="s">
        <v>37</v>
      </c>
      <c r="I145" s="33" t="s">
        <v>38</v>
      </c>
      <c r="J145" s="33" t="s">
        <v>663</v>
      </c>
      <c r="K145" s="33" t="s">
        <v>664</v>
      </c>
      <c r="L145" s="33">
        <v>3800</v>
      </c>
      <c r="M145" s="33">
        <v>0</v>
      </c>
      <c r="N145" s="33">
        <v>0</v>
      </c>
      <c r="O145" s="33">
        <v>23800</v>
      </c>
      <c r="P145" s="33" t="s">
        <v>41</v>
      </c>
      <c r="Q145" s="33" t="s">
        <v>42</v>
      </c>
      <c r="W145" s="33" t="s">
        <v>161</v>
      </c>
      <c r="X145" s="1" t="s">
        <v>665</v>
      </c>
    </row>
    <row r="146" spans="1:24" x14ac:dyDescent="0.2">
      <c r="A146" s="33" t="s">
        <v>31</v>
      </c>
      <c r="B146" s="33" t="s">
        <v>666</v>
      </c>
      <c r="C146" s="33" t="s">
        <v>667</v>
      </c>
      <c r="D146" s="33">
        <f t="shared" si="2"/>
        <v>-1</v>
      </c>
      <c r="E146" s="33" t="s">
        <v>34</v>
      </c>
      <c r="F146" s="33" t="s">
        <v>668</v>
      </c>
      <c r="G146" s="33" t="s">
        <v>669</v>
      </c>
      <c r="H146" s="33" t="s">
        <v>37</v>
      </c>
      <c r="I146" s="33" t="s">
        <v>38</v>
      </c>
      <c r="J146" s="33" t="s">
        <v>670</v>
      </c>
      <c r="K146" s="33" t="s">
        <v>671</v>
      </c>
      <c r="L146" s="33">
        <v>21369</v>
      </c>
      <c r="M146" s="33">
        <v>0</v>
      </c>
      <c r="N146" s="33">
        <v>0</v>
      </c>
      <c r="O146" s="33">
        <v>288869</v>
      </c>
      <c r="P146" s="33" t="s">
        <v>41</v>
      </c>
      <c r="Q146" s="33" t="s">
        <v>42</v>
      </c>
      <c r="W146" s="33" t="s">
        <v>43</v>
      </c>
      <c r="X146" s="1" t="s">
        <v>173</v>
      </c>
    </row>
    <row r="147" spans="1:24" x14ac:dyDescent="0.2">
      <c r="A147" s="33" t="s">
        <v>31</v>
      </c>
      <c r="B147" s="33" t="s">
        <v>672</v>
      </c>
      <c r="C147" s="33">
        <v>104760</v>
      </c>
      <c r="D147" s="33">
        <f t="shared" si="2"/>
        <v>-1</v>
      </c>
      <c r="E147" s="33" t="s">
        <v>34</v>
      </c>
      <c r="F147" s="33" t="s">
        <v>668</v>
      </c>
      <c r="G147" s="33" t="s">
        <v>673</v>
      </c>
      <c r="H147" s="33" t="s">
        <v>37</v>
      </c>
      <c r="I147" s="33" t="s">
        <v>38</v>
      </c>
      <c r="J147" s="33" t="s">
        <v>674</v>
      </c>
      <c r="K147" s="33" t="s">
        <v>675</v>
      </c>
      <c r="L147" s="33">
        <v>1326200</v>
      </c>
      <c r="M147" s="33">
        <v>0</v>
      </c>
      <c r="N147" s="33">
        <v>0</v>
      </c>
      <c r="O147" s="33">
        <v>8306200</v>
      </c>
      <c r="P147" s="33" t="s">
        <v>41</v>
      </c>
      <c r="Q147" s="33" t="s">
        <v>42</v>
      </c>
      <c r="W147" s="33" t="s">
        <v>43</v>
      </c>
      <c r="X147" s="1" t="s">
        <v>530</v>
      </c>
    </row>
    <row r="148" spans="1:24" x14ac:dyDescent="0.2">
      <c r="A148" s="33" t="s">
        <v>31</v>
      </c>
      <c r="B148" s="33" t="s">
        <v>676</v>
      </c>
      <c r="C148" s="33" t="s">
        <v>677</v>
      </c>
      <c r="D148" s="33">
        <f t="shared" si="2"/>
        <v>-1</v>
      </c>
      <c r="E148" s="33" t="s">
        <v>34</v>
      </c>
      <c r="F148" s="33" t="s">
        <v>668</v>
      </c>
      <c r="G148" s="33" t="s">
        <v>678</v>
      </c>
      <c r="H148" s="33" t="s">
        <v>37</v>
      </c>
      <c r="I148" s="33" t="s">
        <v>38</v>
      </c>
      <c r="J148" s="33" t="s">
        <v>679</v>
      </c>
      <c r="K148" s="33" t="s">
        <v>680</v>
      </c>
      <c r="L148" s="33">
        <v>103740</v>
      </c>
      <c r="M148" s="33">
        <v>0</v>
      </c>
      <c r="N148" s="33">
        <v>0</v>
      </c>
      <c r="O148" s="33">
        <v>649740</v>
      </c>
      <c r="P148" s="33" t="s">
        <v>41</v>
      </c>
      <c r="Q148" s="33" t="s">
        <v>42</v>
      </c>
      <c r="W148" s="33" t="s">
        <v>43</v>
      </c>
      <c r="X148" s="1" t="s">
        <v>484</v>
      </c>
    </row>
    <row r="149" spans="1:24" x14ac:dyDescent="0.2">
      <c r="A149" s="33" t="s">
        <v>31</v>
      </c>
      <c r="B149" s="33" t="s">
        <v>681</v>
      </c>
      <c r="C149" s="33" t="s">
        <v>682</v>
      </c>
      <c r="D149" s="33">
        <f t="shared" si="2"/>
        <v>-1</v>
      </c>
      <c r="E149" s="33" t="s">
        <v>34</v>
      </c>
      <c r="F149" s="33" t="s">
        <v>668</v>
      </c>
      <c r="G149" s="33" t="s">
        <v>683</v>
      </c>
      <c r="H149" s="33" t="s">
        <v>37</v>
      </c>
      <c r="I149" s="33" t="s">
        <v>38</v>
      </c>
      <c r="J149" s="33" t="s">
        <v>298</v>
      </c>
      <c r="K149" s="33" t="s">
        <v>299</v>
      </c>
      <c r="L149" s="33">
        <v>38949.050000000003</v>
      </c>
      <c r="M149" s="33">
        <v>0</v>
      </c>
      <c r="N149" s="33">
        <v>0</v>
      </c>
      <c r="O149" s="33">
        <v>243944.05</v>
      </c>
      <c r="P149" s="33" t="s">
        <v>41</v>
      </c>
      <c r="Q149" s="33" t="s">
        <v>42</v>
      </c>
      <c r="W149" s="33" t="s">
        <v>43</v>
      </c>
      <c r="X149" s="1" t="s">
        <v>306</v>
      </c>
    </row>
    <row r="150" spans="1:24" x14ac:dyDescent="0.2">
      <c r="A150" s="33" t="s">
        <v>31</v>
      </c>
      <c r="B150" s="33" t="s">
        <v>684</v>
      </c>
      <c r="C150" s="33" t="s">
        <v>685</v>
      </c>
      <c r="D150" s="33">
        <f t="shared" si="2"/>
        <v>-1</v>
      </c>
      <c r="E150" s="33" t="s">
        <v>34</v>
      </c>
      <c r="F150" s="33" t="s">
        <v>668</v>
      </c>
      <c r="G150" s="33" t="s">
        <v>686</v>
      </c>
      <c r="H150" s="33" t="s">
        <v>37</v>
      </c>
      <c r="I150" s="33" t="s">
        <v>38</v>
      </c>
      <c r="J150" s="33" t="s">
        <v>687</v>
      </c>
      <c r="K150" s="33" t="s">
        <v>688</v>
      </c>
      <c r="L150" s="33">
        <v>62130</v>
      </c>
      <c r="M150" s="33">
        <v>0</v>
      </c>
      <c r="N150" s="33">
        <v>0</v>
      </c>
      <c r="O150" s="33">
        <v>389130</v>
      </c>
      <c r="P150" s="33" t="s">
        <v>41</v>
      </c>
      <c r="Q150" s="33" t="s">
        <v>42</v>
      </c>
      <c r="W150" s="1" t="s">
        <v>161</v>
      </c>
      <c r="X150" s="1" t="s">
        <v>530</v>
      </c>
    </row>
    <row r="151" spans="1:24" x14ac:dyDescent="0.2">
      <c r="A151" s="33" t="s">
        <v>31</v>
      </c>
      <c r="B151" s="33" t="s">
        <v>689</v>
      </c>
      <c r="C151" s="33" t="s">
        <v>690</v>
      </c>
      <c r="D151" s="33">
        <f t="shared" si="2"/>
        <v>-1</v>
      </c>
      <c r="E151" s="33" t="s">
        <v>34</v>
      </c>
      <c r="F151" s="33" t="s">
        <v>668</v>
      </c>
      <c r="G151" s="33" t="s">
        <v>691</v>
      </c>
      <c r="H151" s="33" t="s">
        <v>37</v>
      </c>
      <c r="I151" s="33" t="s">
        <v>38</v>
      </c>
      <c r="J151" s="33" t="s">
        <v>692</v>
      </c>
      <c r="K151" s="33" t="s">
        <v>693</v>
      </c>
      <c r="L151" s="33">
        <v>64182</v>
      </c>
      <c r="M151" s="33">
        <v>0</v>
      </c>
      <c r="N151" s="33">
        <v>0</v>
      </c>
      <c r="O151" s="33">
        <v>401982</v>
      </c>
      <c r="P151" s="33" t="s">
        <v>41</v>
      </c>
      <c r="Q151" s="33" t="s">
        <v>42</v>
      </c>
      <c r="W151" s="33" t="s">
        <v>161</v>
      </c>
      <c r="X151" s="1" t="s">
        <v>694</v>
      </c>
    </row>
    <row r="152" spans="1:24" x14ac:dyDescent="0.2">
      <c r="A152" s="33" t="s">
        <v>31</v>
      </c>
      <c r="B152" s="33" t="s">
        <v>695</v>
      </c>
      <c r="C152" s="33" t="s">
        <v>696</v>
      </c>
      <c r="D152" s="33">
        <f t="shared" si="2"/>
        <v>-1</v>
      </c>
      <c r="E152" s="33" t="s">
        <v>34</v>
      </c>
      <c r="F152" s="33" t="s">
        <v>668</v>
      </c>
      <c r="G152" s="33" t="s">
        <v>697</v>
      </c>
      <c r="H152" s="33" t="s">
        <v>37</v>
      </c>
      <c r="I152" s="33" t="s">
        <v>38</v>
      </c>
      <c r="J152" s="33" t="s">
        <v>698</v>
      </c>
      <c r="K152" s="33" t="s">
        <v>699</v>
      </c>
      <c r="L152" s="33">
        <v>125343</v>
      </c>
      <c r="M152" s="33">
        <v>0</v>
      </c>
      <c r="N152" s="33">
        <v>0</v>
      </c>
      <c r="O152" s="33">
        <v>785043</v>
      </c>
      <c r="P152" s="33" t="s">
        <v>41</v>
      </c>
      <c r="Q152" s="33" t="s">
        <v>42</v>
      </c>
      <c r="W152" s="1" t="s">
        <v>43</v>
      </c>
      <c r="X152" s="1" t="s">
        <v>108</v>
      </c>
    </row>
    <row r="153" spans="1:24" x14ac:dyDescent="0.2">
      <c r="A153" s="33" t="s">
        <v>31</v>
      </c>
      <c r="B153" s="33" t="s">
        <v>700</v>
      </c>
      <c r="C153" s="33" t="s">
        <v>701</v>
      </c>
      <c r="D153" s="33">
        <f t="shared" si="2"/>
        <v>-1</v>
      </c>
      <c r="E153" s="33" t="s">
        <v>34</v>
      </c>
      <c r="F153" s="33" t="s">
        <v>668</v>
      </c>
      <c r="G153" s="33" t="s">
        <v>702</v>
      </c>
      <c r="H153" s="33" t="s">
        <v>37</v>
      </c>
      <c r="I153" s="33" t="s">
        <v>38</v>
      </c>
      <c r="J153" s="33" t="s">
        <v>703</v>
      </c>
      <c r="K153" s="33" t="s">
        <v>704</v>
      </c>
      <c r="L153" s="33">
        <v>42750</v>
      </c>
      <c r="M153" s="33">
        <v>0</v>
      </c>
      <c r="N153" s="33">
        <v>0</v>
      </c>
      <c r="O153" s="33">
        <v>267750</v>
      </c>
      <c r="P153" s="33" t="s">
        <v>41</v>
      </c>
      <c r="Q153" s="33" t="s">
        <v>42</v>
      </c>
      <c r="W153" s="1" t="s">
        <v>43</v>
      </c>
      <c r="X153" s="1" t="s">
        <v>530</v>
      </c>
    </row>
    <row r="154" spans="1:24" x14ac:dyDescent="0.2">
      <c r="A154" s="33" t="s">
        <v>31</v>
      </c>
      <c r="B154" s="33" t="s">
        <v>705</v>
      </c>
      <c r="C154" s="33" t="s">
        <v>706</v>
      </c>
      <c r="D154" s="33">
        <f t="shared" si="2"/>
        <v>-1</v>
      </c>
      <c r="E154" s="33" t="s">
        <v>34</v>
      </c>
      <c r="F154" s="33" t="s">
        <v>668</v>
      </c>
      <c r="G154" s="33" t="s">
        <v>707</v>
      </c>
      <c r="H154" s="33" t="s">
        <v>37</v>
      </c>
      <c r="I154" s="33" t="s">
        <v>38</v>
      </c>
      <c r="J154" s="33" t="s">
        <v>708</v>
      </c>
      <c r="K154" s="33" t="s">
        <v>709</v>
      </c>
      <c r="L154" s="33">
        <v>1939294.47</v>
      </c>
      <c r="M154" s="33">
        <v>0</v>
      </c>
      <c r="N154" s="33">
        <v>0</v>
      </c>
      <c r="O154" s="33">
        <v>12146107.470000001</v>
      </c>
      <c r="P154" s="33" t="s">
        <v>41</v>
      </c>
      <c r="Q154" s="33" t="s">
        <v>42</v>
      </c>
      <c r="W154" s="33" t="s">
        <v>43</v>
      </c>
      <c r="X154" s="1" t="s">
        <v>710</v>
      </c>
    </row>
    <row r="155" spans="1:24" x14ac:dyDescent="0.2">
      <c r="A155" s="33" t="s">
        <v>31</v>
      </c>
      <c r="B155" s="33" t="s">
        <v>711</v>
      </c>
      <c r="C155" s="33" t="s">
        <v>712</v>
      </c>
      <c r="D155" s="33">
        <f t="shared" si="2"/>
        <v>-1</v>
      </c>
      <c r="E155" s="33" t="s">
        <v>34</v>
      </c>
      <c r="F155" s="33" t="s">
        <v>668</v>
      </c>
      <c r="G155" s="33" t="s">
        <v>713</v>
      </c>
      <c r="H155" s="33" t="s">
        <v>37</v>
      </c>
      <c r="I155" s="33" t="s">
        <v>38</v>
      </c>
      <c r="J155" s="33" t="s">
        <v>714</v>
      </c>
      <c r="K155" s="33" t="s">
        <v>715</v>
      </c>
      <c r="L155" s="33">
        <v>60925.78</v>
      </c>
      <c r="M155" s="33">
        <v>0</v>
      </c>
      <c r="N155" s="33">
        <v>0</v>
      </c>
      <c r="O155" s="33">
        <v>381587.78</v>
      </c>
      <c r="P155" s="33" t="s">
        <v>41</v>
      </c>
      <c r="Q155" s="33" t="s">
        <v>42</v>
      </c>
      <c r="W155" s="33" t="s">
        <v>161</v>
      </c>
      <c r="X155" s="1" t="s">
        <v>716</v>
      </c>
    </row>
    <row r="156" spans="1:24" x14ac:dyDescent="0.2">
      <c r="A156" s="33" t="s">
        <v>31</v>
      </c>
      <c r="B156" s="33" t="s">
        <v>717</v>
      </c>
      <c r="C156" s="33" t="s">
        <v>718</v>
      </c>
      <c r="D156" s="33">
        <f t="shared" si="2"/>
        <v>-1</v>
      </c>
      <c r="E156" s="33" t="s">
        <v>34</v>
      </c>
      <c r="F156" s="33" t="s">
        <v>668</v>
      </c>
      <c r="G156" s="33" t="s">
        <v>719</v>
      </c>
      <c r="H156" s="33" t="s">
        <v>37</v>
      </c>
      <c r="I156" s="33" t="s">
        <v>38</v>
      </c>
      <c r="J156" s="33" t="s">
        <v>720</v>
      </c>
      <c r="K156" s="33" t="s">
        <v>721</v>
      </c>
      <c r="L156" s="33">
        <v>431583.29</v>
      </c>
      <c r="M156" s="33">
        <v>0</v>
      </c>
      <c r="N156" s="33">
        <v>0</v>
      </c>
      <c r="O156" s="33">
        <v>2703074.29</v>
      </c>
      <c r="P156" s="33" t="s">
        <v>41</v>
      </c>
      <c r="Q156" s="33" t="s">
        <v>42</v>
      </c>
      <c r="W156" s="1" t="s">
        <v>161</v>
      </c>
      <c r="X156" s="1" t="s">
        <v>722</v>
      </c>
    </row>
    <row r="157" spans="1:24" x14ac:dyDescent="0.2">
      <c r="A157" s="29" t="s">
        <v>31</v>
      </c>
      <c r="B157" s="29" t="s">
        <v>723</v>
      </c>
      <c r="C157" s="29" t="s">
        <v>724</v>
      </c>
      <c r="D157" s="29">
        <f t="shared" si="2"/>
        <v>-1</v>
      </c>
      <c r="E157" s="29" t="s">
        <v>34</v>
      </c>
      <c r="F157" s="29" t="s">
        <v>668</v>
      </c>
      <c r="G157" s="29" t="s">
        <v>725</v>
      </c>
      <c r="H157" s="29" t="s">
        <v>37</v>
      </c>
      <c r="I157" s="29" t="s">
        <v>38</v>
      </c>
      <c r="J157" s="29" t="s">
        <v>726</v>
      </c>
      <c r="K157" s="29" t="s">
        <v>727</v>
      </c>
      <c r="L157" s="29">
        <v>144799</v>
      </c>
      <c r="M157" s="29">
        <v>0</v>
      </c>
      <c r="N157" s="29">
        <v>0</v>
      </c>
      <c r="O157" s="29">
        <v>906899</v>
      </c>
      <c r="P157" s="29" t="s">
        <v>41</v>
      </c>
      <c r="Q157" s="29" t="s">
        <v>42</v>
      </c>
      <c r="T157" s="1" t="s">
        <v>161</v>
      </c>
    </row>
    <row r="158" spans="1:24" x14ac:dyDescent="0.2">
      <c r="A158" s="33" t="s">
        <v>31</v>
      </c>
      <c r="B158" s="33" t="s">
        <v>728</v>
      </c>
      <c r="C158" s="33" t="s">
        <v>729</v>
      </c>
      <c r="D158" s="33">
        <f t="shared" si="2"/>
        <v>-1</v>
      </c>
      <c r="E158" s="33" t="s">
        <v>34</v>
      </c>
      <c r="F158" s="33" t="s">
        <v>668</v>
      </c>
      <c r="G158" s="33" t="s">
        <v>730</v>
      </c>
      <c r="H158" s="33" t="s">
        <v>37</v>
      </c>
      <c r="I158" s="33" t="s">
        <v>38</v>
      </c>
      <c r="J158" s="33" t="s">
        <v>632</v>
      </c>
      <c r="K158" s="33" t="s">
        <v>633</v>
      </c>
      <c r="L158" s="33">
        <v>461794.62</v>
      </c>
      <c r="M158" s="33">
        <v>0</v>
      </c>
      <c r="N158" s="33">
        <v>0</v>
      </c>
      <c r="O158" s="33">
        <v>2892292.62</v>
      </c>
      <c r="P158" s="33" t="s">
        <v>41</v>
      </c>
      <c r="Q158" s="33" t="s">
        <v>42</v>
      </c>
      <c r="W158" s="33" t="s">
        <v>43</v>
      </c>
      <c r="X158" s="1" t="s">
        <v>731</v>
      </c>
    </row>
    <row r="159" spans="1:24" x14ac:dyDescent="0.2">
      <c r="A159" s="33" t="s">
        <v>31</v>
      </c>
      <c r="B159" s="33" t="s">
        <v>732</v>
      </c>
      <c r="C159" s="33" t="s">
        <v>733</v>
      </c>
      <c r="D159" s="33">
        <f t="shared" si="2"/>
        <v>-1</v>
      </c>
      <c r="E159" s="33" t="s">
        <v>34</v>
      </c>
      <c r="F159" s="33" t="s">
        <v>668</v>
      </c>
      <c r="G159" s="33" t="s">
        <v>734</v>
      </c>
      <c r="H159" s="33" t="s">
        <v>37</v>
      </c>
      <c r="I159" s="33" t="s">
        <v>38</v>
      </c>
      <c r="J159" s="33" t="s">
        <v>735</v>
      </c>
      <c r="K159" s="33" t="s">
        <v>736</v>
      </c>
      <c r="L159" s="33">
        <v>1348838.5</v>
      </c>
      <c r="M159" s="33">
        <v>0</v>
      </c>
      <c r="N159" s="33">
        <v>0</v>
      </c>
      <c r="O159" s="33">
        <v>8447988.5</v>
      </c>
      <c r="P159" s="33" t="s">
        <v>41</v>
      </c>
      <c r="Q159" s="33" t="s">
        <v>42</v>
      </c>
      <c r="W159" s="33" t="s">
        <v>161</v>
      </c>
      <c r="X159" s="1" t="s">
        <v>439</v>
      </c>
    </row>
    <row r="160" spans="1:24" x14ac:dyDescent="0.2">
      <c r="A160" s="33" t="s">
        <v>31</v>
      </c>
      <c r="B160" s="33" t="s">
        <v>737</v>
      </c>
      <c r="C160" s="33" t="s">
        <v>738</v>
      </c>
      <c r="D160" s="33">
        <f t="shared" si="2"/>
        <v>-1</v>
      </c>
      <c r="E160" s="33" t="s">
        <v>34</v>
      </c>
      <c r="F160" s="33" t="s">
        <v>668</v>
      </c>
      <c r="G160" s="33" t="s">
        <v>739</v>
      </c>
      <c r="H160" s="33" t="s">
        <v>37</v>
      </c>
      <c r="I160" s="33" t="s">
        <v>38</v>
      </c>
      <c r="J160" s="33" t="s">
        <v>740</v>
      </c>
      <c r="K160" s="33" t="s">
        <v>741</v>
      </c>
      <c r="L160" s="33">
        <v>24525</v>
      </c>
      <c r="M160" s="33">
        <v>0</v>
      </c>
      <c r="N160" s="33">
        <v>0</v>
      </c>
      <c r="O160" s="33">
        <v>515025</v>
      </c>
      <c r="P160" s="33" t="s">
        <v>41</v>
      </c>
      <c r="Q160" s="33" t="s">
        <v>42</v>
      </c>
      <c r="W160" s="33" t="s">
        <v>43</v>
      </c>
      <c r="X160" s="1" t="s">
        <v>742</v>
      </c>
    </row>
    <row r="161" spans="1:24" x14ac:dyDescent="0.2">
      <c r="A161" s="33" t="s">
        <v>31</v>
      </c>
      <c r="B161" s="33" t="s">
        <v>743</v>
      </c>
      <c r="C161" s="33" t="s">
        <v>744</v>
      </c>
      <c r="D161" s="33">
        <f t="shared" si="2"/>
        <v>-1</v>
      </c>
      <c r="E161" s="33" t="s">
        <v>34</v>
      </c>
      <c r="F161" s="33" t="s">
        <v>668</v>
      </c>
      <c r="G161" s="33" t="s">
        <v>745</v>
      </c>
      <c r="H161" s="33" t="s">
        <v>37</v>
      </c>
      <c r="I161" s="33" t="s">
        <v>38</v>
      </c>
      <c r="J161" s="33" t="s">
        <v>687</v>
      </c>
      <c r="K161" s="33" t="s">
        <v>688</v>
      </c>
      <c r="L161" s="33">
        <v>176776</v>
      </c>
      <c r="M161" s="33">
        <v>0</v>
      </c>
      <c r="N161" s="33">
        <v>0</v>
      </c>
      <c r="O161" s="33">
        <v>1107176</v>
      </c>
      <c r="P161" s="33" t="s">
        <v>41</v>
      </c>
      <c r="Q161" s="33" t="s">
        <v>42</v>
      </c>
      <c r="W161" s="1" t="s">
        <v>161</v>
      </c>
      <c r="X161" s="1" t="s">
        <v>530</v>
      </c>
    </row>
    <row r="162" spans="1:24" x14ac:dyDescent="0.2">
      <c r="A162" s="33" t="s">
        <v>31</v>
      </c>
      <c r="B162" s="33" t="s">
        <v>746</v>
      </c>
      <c r="C162" s="33" t="s">
        <v>747</v>
      </c>
      <c r="D162" s="33">
        <f t="shared" si="2"/>
        <v>-1</v>
      </c>
      <c r="E162" s="33" t="s">
        <v>34</v>
      </c>
      <c r="F162" s="33" t="s">
        <v>668</v>
      </c>
      <c r="G162" s="33" t="s">
        <v>748</v>
      </c>
      <c r="H162" s="33" t="s">
        <v>37</v>
      </c>
      <c r="I162" s="33" t="s">
        <v>38</v>
      </c>
      <c r="J162" s="33" t="s">
        <v>749</v>
      </c>
      <c r="K162" s="33" t="s">
        <v>750</v>
      </c>
      <c r="L162" s="33">
        <v>0</v>
      </c>
      <c r="M162" s="33">
        <v>0</v>
      </c>
      <c r="N162" s="33">
        <v>0</v>
      </c>
      <c r="O162" s="33">
        <v>1954800</v>
      </c>
      <c r="P162" s="33" t="s">
        <v>41</v>
      </c>
      <c r="Q162" s="33" t="s">
        <v>42</v>
      </c>
      <c r="W162" s="33" t="s">
        <v>43</v>
      </c>
      <c r="X162" s="1" t="s">
        <v>716</v>
      </c>
    </row>
    <row r="163" spans="1:24" x14ac:dyDescent="0.2">
      <c r="A163" s="33" t="s">
        <v>31</v>
      </c>
      <c r="B163" s="33" t="s">
        <v>751</v>
      </c>
      <c r="C163" s="33" t="s">
        <v>752</v>
      </c>
      <c r="D163" s="33">
        <f t="shared" si="2"/>
        <v>-1</v>
      </c>
      <c r="E163" s="33" t="s">
        <v>34</v>
      </c>
      <c r="F163" s="33" t="s">
        <v>668</v>
      </c>
      <c r="G163" s="33" t="s">
        <v>753</v>
      </c>
      <c r="H163" s="33" t="s">
        <v>37</v>
      </c>
      <c r="I163" s="33" t="s">
        <v>38</v>
      </c>
      <c r="J163" s="33" t="s">
        <v>749</v>
      </c>
      <c r="K163" s="33" t="s">
        <v>750</v>
      </c>
      <c r="L163" s="33">
        <v>0</v>
      </c>
      <c r="M163" s="33">
        <v>0</v>
      </c>
      <c r="N163" s="33">
        <v>0</v>
      </c>
      <c r="O163" s="33">
        <v>3636800</v>
      </c>
      <c r="P163" s="33" t="s">
        <v>41</v>
      </c>
      <c r="Q163" s="33" t="s">
        <v>42</v>
      </c>
      <c r="W163" s="33" t="s">
        <v>43</v>
      </c>
      <c r="X163" s="1" t="s">
        <v>716</v>
      </c>
    </row>
    <row r="164" spans="1:24" x14ac:dyDescent="0.2">
      <c r="A164" s="33" t="s">
        <v>31</v>
      </c>
      <c r="B164" s="33" t="s">
        <v>754</v>
      </c>
      <c r="C164" s="33" t="s">
        <v>755</v>
      </c>
      <c r="D164" s="33">
        <f t="shared" si="2"/>
        <v>-1</v>
      </c>
      <c r="E164" s="33" t="s">
        <v>34</v>
      </c>
      <c r="F164" s="33" t="s">
        <v>668</v>
      </c>
      <c r="G164" s="33" t="s">
        <v>756</v>
      </c>
      <c r="H164" s="33" t="s">
        <v>37</v>
      </c>
      <c r="I164" s="33" t="s">
        <v>38</v>
      </c>
      <c r="J164" s="33" t="s">
        <v>757</v>
      </c>
      <c r="K164" s="33" t="s">
        <v>758</v>
      </c>
      <c r="L164" s="33">
        <v>32385.119999999999</v>
      </c>
      <c r="M164" s="33">
        <v>0</v>
      </c>
      <c r="N164" s="33">
        <v>0</v>
      </c>
      <c r="O164" s="33">
        <v>202833.12</v>
      </c>
      <c r="P164" s="33" t="s">
        <v>41</v>
      </c>
      <c r="Q164" s="33" t="s">
        <v>42</v>
      </c>
      <c r="W164" s="33" t="s">
        <v>43</v>
      </c>
      <c r="X164" s="1" t="s">
        <v>201</v>
      </c>
    </row>
    <row r="165" spans="1:24" x14ac:dyDescent="0.2">
      <c r="A165" s="33" t="s">
        <v>31</v>
      </c>
      <c r="B165" s="33" t="s">
        <v>759</v>
      </c>
      <c r="C165" s="33" t="s">
        <v>760</v>
      </c>
      <c r="D165" s="33">
        <f t="shared" si="2"/>
        <v>-1</v>
      </c>
      <c r="E165" s="33" t="s">
        <v>34</v>
      </c>
      <c r="F165" s="33" t="s">
        <v>668</v>
      </c>
      <c r="G165" s="33" t="s">
        <v>761</v>
      </c>
      <c r="H165" s="33" t="s">
        <v>37</v>
      </c>
      <c r="I165" s="33" t="s">
        <v>38</v>
      </c>
      <c r="J165" s="33" t="s">
        <v>762</v>
      </c>
      <c r="K165" s="33" t="s">
        <v>763</v>
      </c>
      <c r="L165" s="33">
        <v>1942351</v>
      </c>
      <c r="M165" s="33">
        <v>0</v>
      </c>
      <c r="N165" s="33">
        <v>0</v>
      </c>
      <c r="O165" s="33">
        <v>12165251</v>
      </c>
      <c r="P165" s="33" t="s">
        <v>41</v>
      </c>
      <c r="Q165" s="33" t="s">
        <v>42</v>
      </c>
      <c r="W165" s="33" t="s">
        <v>161</v>
      </c>
      <c r="X165" s="1" t="s">
        <v>369</v>
      </c>
    </row>
    <row r="166" spans="1:24" x14ac:dyDescent="0.2">
      <c r="A166" s="28" t="s">
        <v>31</v>
      </c>
      <c r="B166" s="28" t="s">
        <v>764</v>
      </c>
      <c r="C166" s="28" t="s">
        <v>765</v>
      </c>
      <c r="D166" s="28">
        <f t="shared" si="2"/>
        <v>-1</v>
      </c>
      <c r="E166" s="28" t="s">
        <v>34</v>
      </c>
      <c r="F166" s="28" t="s">
        <v>668</v>
      </c>
      <c r="G166" s="28" t="s">
        <v>766</v>
      </c>
      <c r="H166" s="28" t="s">
        <v>37</v>
      </c>
      <c r="I166" s="28" t="s">
        <v>38</v>
      </c>
      <c r="J166" s="28" t="s">
        <v>767</v>
      </c>
      <c r="K166" s="28" t="s">
        <v>768</v>
      </c>
      <c r="L166" s="28">
        <v>183920</v>
      </c>
      <c r="M166" s="28">
        <v>0</v>
      </c>
      <c r="N166" s="28">
        <v>0</v>
      </c>
      <c r="O166" s="28">
        <v>5071920</v>
      </c>
      <c r="P166" s="28" t="s">
        <v>41</v>
      </c>
      <c r="Q166" s="28" t="s">
        <v>42</v>
      </c>
      <c r="R166" s="1" t="s">
        <v>43</v>
      </c>
    </row>
    <row r="167" spans="1:24" x14ac:dyDescent="0.2">
      <c r="A167" s="33" t="s">
        <v>31</v>
      </c>
      <c r="B167" s="33" t="s">
        <v>769</v>
      </c>
      <c r="C167" s="33" t="s">
        <v>770</v>
      </c>
      <c r="D167" s="33">
        <f t="shared" si="2"/>
        <v>-1</v>
      </c>
      <c r="E167" s="33" t="s">
        <v>34</v>
      </c>
      <c r="F167" s="33" t="s">
        <v>668</v>
      </c>
      <c r="G167" s="33" t="s">
        <v>771</v>
      </c>
      <c r="H167" s="33" t="s">
        <v>37</v>
      </c>
      <c r="I167" s="33" t="s">
        <v>38</v>
      </c>
      <c r="J167" s="33" t="s">
        <v>772</v>
      </c>
      <c r="K167" s="33" t="s">
        <v>773</v>
      </c>
      <c r="L167" s="33">
        <v>73853</v>
      </c>
      <c r="M167" s="33">
        <v>0</v>
      </c>
      <c r="N167" s="33">
        <v>0</v>
      </c>
      <c r="O167" s="33">
        <v>462553</v>
      </c>
      <c r="P167" s="33" t="s">
        <v>41</v>
      </c>
      <c r="Q167" s="33" t="s">
        <v>42</v>
      </c>
      <c r="W167" s="33" t="s">
        <v>43</v>
      </c>
      <c r="X167" s="1" t="s">
        <v>459</v>
      </c>
    </row>
    <row r="168" spans="1:24" x14ac:dyDescent="0.2">
      <c r="A168" s="1" t="s">
        <v>31</v>
      </c>
      <c r="B168" s="1" t="s">
        <v>774</v>
      </c>
      <c r="C168" s="1" t="s">
        <v>775</v>
      </c>
      <c r="D168" s="1">
        <f t="shared" si="2"/>
        <v>-1</v>
      </c>
      <c r="E168" s="1" t="s">
        <v>34</v>
      </c>
      <c r="F168" s="1" t="s">
        <v>668</v>
      </c>
      <c r="G168" s="1" t="s">
        <v>776</v>
      </c>
      <c r="H168" s="1" t="s">
        <v>37</v>
      </c>
      <c r="I168" s="1" t="s">
        <v>38</v>
      </c>
      <c r="J168" s="1" t="s">
        <v>777</v>
      </c>
      <c r="K168" s="1" t="s">
        <v>778</v>
      </c>
      <c r="L168" s="1">
        <v>612750</v>
      </c>
      <c r="M168" s="1">
        <v>0</v>
      </c>
      <c r="N168" s="1">
        <v>0</v>
      </c>
      <c r="O168" s="1">
        <v>3837750</v>
      </c>
      <c r="P168" s="1" t="s">
        <v>41</v>
      </c>
      <c r="Q168" s="1" t="s">
        <v>42</v>
      </c>
      <c r="V168" s="1" t="s">
        <v>43</v>
      </c>
    </row>
    <row r="169" spans="1:24" x14ac:dyDescent="0.2">
      <c r="A169" s="33" t="s">
        <v>31</v>
      </c>
      <c r="B169" s="33" t="s">
        <v>779</v>
      </c>
      <c r="C169" s="33" t="s">
        <v>780</v>
      </c>
      <c r="D169" s="33">
        <f t="shared" si="2"/>
        <v>-1</v>
      </c>
      <c r="E169" s="33" t="s">
        <v>34</v>
      </c>
      <c r="F169" s="33" t="s">
        <v>668</v>
      </c>
      <c r="G169" s="33" t="s">
        <v>781</v>
      </c>
      <c r="H169" s="33" t="s">
        <v>37</v>
      </c>
      <c r="I169" s="33" t="s">
        <v>38</v>
      </c>
      <c r="J169" s="33" t="s">
        <v>782</v>
      </c>
      <c r="K169" s="33" t="s">
        <v>783</v>
      </c>
      <c r="L169" s="33">
        <v>17272.71</v>
      </c>
      <c r="M169" s="33">
        <v>0</v>
      </c>
      <c r="N169" s="33">
        <v>0</v>
      </c>
      <c r="O169" s="33">
        <v>108181.71</v>
      </c>
      <c r="P169" s="33" t="s">
        <v>41</v>
      </c>
      <c r="Q169" s="33" t="s">
        <v>42</v>
      </c>
      <c r="W169" s="33" t="s">
        <v>43</v>
      </c>
      <c r="X169" s="1" t="s">
        <v>784</v>
      </c>
    </row>
    <row r="170" spans="1:24" x14ac:dyDescent="0.2">
      <c r="A170" s="33" t="s">
        <v>31</v>
      </c>
      <c r="B170" s="33" t="s">
        <v>785</v>
      </c>
      <c r="C170" s="33" t="s">
        <v>786</v>
      </c>
      <c r="D170" s="33">
        <f t="shared" si="2"/>
        <v>-1</v>
      </c>
      <c r="E170" s="33" t="s">
        <v>34</v>
      </c>
      <c r="F170" s="33" t="s">
        <v>668</v>
      </c>
      <c r="G170" s="33" t="s">
        <v>787</v>
      </c>
      <c r="H170" s="33" t="s">
        <v>37</v>
      </c>
      <c r="I170" s="33" t="s">
        <v>38</v>
      </c>
      <c r="J170" s="33" t="s">
        <v>782</v>
      </c>
      <c r="K170" s="33" t="s">
        <v>783</v>
      </c>
      <c r="L170" s="33">
        <v>17272.71</v>
      </c>
      <c r="M170" s="33">
        <v>0</v>
      </c>
      <c r="N170" s="33">
        <v>0</v>
      </c>
      <c r="O170" s="33">
        <v>108181.71</v>
      </c>
      <c r="P170" s="33" t="s">
        <v>41</v>
      </c>
      <c r="Q170" s="33" t="s">
        <v>42</v>
      </c>
      <c r="W170" s="33" t="s">
        <v>43</v>
      </c>
      <c r="X170" s="1" t="s">
        <v>784</v>
      </c>
    </row>
    <row r="171" spans="1:24" x14ac:dyDescent="0.2">
      <c r="A171" s="33" t="s">
        <v>31</v>
      </c>
      <c r="B171" s="33" t="s">
        <v>788</v>
      </c>
      <c r="C171" s="33" t="s">
        <v>789</v>
      </c>
      <c r="D171" s="33">
        <f t="shared" si="2"/>
        <v>-1</v>
      </c>
      <c r="E171" s="33" t="s">
        <v>34</v>
      </c>
      <c r="F171" s="33" t="s">
        <v>668</v>
      </c>
      <c r="G171" s="33" t="s">
        <v>790</v>
      </c>
      <c r="H171" s="33" t="s">
        <v>37</v>
      </c>
      <c r="I171" s="33" t="s">
        <v>38</v>
      </c>
      <c r="J171" s="33" t="s">
        <v>714</v>
      </c>
      <c r="K171" s="33" t="s">
        <v>715</v>
      </c>
      <c r="L171" s="33">
        <v>395200</v>
      </c>
      <c r="M171" s="33">
        <v>0</v>
      </c>
      <c r="N171" s="33">
        <v>0</v>
      </c>
      <c r="O171" s="33">
        <v>2475200</v>
      </c>
      <c r="P171" s="33" t="s">
        <v>41</v>
      </c>
      <c r="Q171" s="33" t="s">
        <v>42</v>
      </c>
      <c r="W171" s="33" t="s">
        <v>161</v>
      </c>
      <c r="X171" s="1" t="s">
        <v>791</v>
      </c>
    </row>
    <row r="172" spans="1:24" x14ac:dyDescent="0.2">
      <c r="A172" s="1" t="s">
        <v>31</v>
      </c>
      <c r="B172" s="1" t="s">
        <v>792</v>
      </c>
      <c r="C172" s="1" t="s">
        <v>793</v>
      </c>
      <c r="D172" s="1">
        <f t="shared" si="2"/>
        <v>-1</v>
      </c>
      <c r="E172" s="1" t="s">
        <v>34</v>
      </c>
      <c r="F172" s="1" t="s">
        <v>668</v>
      </c>
      <c r="G172" s="1" t="s">
        <v>794</v>
      </c>
      <c r="H172" s="1" t="s">
        <v>37</v>
      </c>
      <c r="I172" s="1" t="s">
        <v>38</v>
      </c>
      <c r="J172" s="1" t="s">
        <v>795</v>
      </c>
      <c r="K172" s="1" t="s">
        <v>796</v>
      </c>
      <c r="L172" s="1">
        <v>183206.74</v>
      </c>
      <c r="M172" s="1">
        <v>0</v>
      </c>
      <c r="N172" s="1">
        <v>0</v>
      </c>
      <c r="O172" s="1">
        <v>1147452.74</v>
      </c>
      <c r="P172" s="1" t="s">
        <v>41</v>
      </c>
      <c r="Q172" s="1" t="s">
        <v>42</v>
      </c>
      <c r="V172" s="1" t="s">
        <v>43</v>
      </c>
    </row>
    <row r="173" spans="1:24" x14ac:dyDescent="0.2">
      <c r="A173" s="31" t="s">
        <v>31</v>
      </c>
      <c r="B173" s="31" t="s">
        <v>797</v>
      </c>
      <c r="C173" s="31">
        <v>104786</v>
      </c>
      <c r="D173" s="31">
        <f t="shared" si="2"/>
        <v>-1</v>
      </c>
      <c r="E173" s="31" t="s">
        <v>34</v>
      </c>
      <c r="F173" s="31" t="s">
        <v>668</v>
      </c>
      <c r="G173" s="31" t="s">
        <v>798</v>
      </c>
      <c r="H173" s="31" t="s">
        <v>37</v>
      </c>
      <c r="I173" s="31" t="s">
        <v>38</v>
      </c>
      <c r="J173" s="31" t="s">
        <v>799</v>
      </c>
      <c r="K173" s="31" t="s">
        <v>800</v>
      </c>
      <c r="L173" s="31">
        <v>592800</v>
      </c>
      <c r="M173" s="31">
        <v>0</v>
      </c>
      <c r="N173" s="31">
        <v>0</v>
      </c>
      <c r="O173" s="31">
        <v>3712800</v>
      </c>
      <c r="P173" s="31" t="s">
        <v>41</v>
      </c>
      <c r="Q173" s="31" t="s">
        <v>42</v>
      </c>
      <c r="U173" s="31" t="s">
        <v>43</v>
      </c>
    </row>
    <row r="174" spans="1:24" x14ac:dyDescent="0.2">
      <c r="A174" s="31" t="s">
        <v>31</v>
      </c>
      <c r="B174" s="31" t="s">
        <v>801</v>
      </c>
      <c r="C174" s="31" t="s">
        <v>802</v>
      </c>
      <c r="D174" s="31">
        <f t="shared" si="2"/>
        <v>-1</v>
      </c>
      <c r="E174" s="31" t="s">
        <v>34</v>
      </c>
      <c r="F174" s="31" t="s">
        <v>668</v>
      </c>
      <c r="G174" s="31" t="s">
        <v>803</v>
      </c>
      <c r="H174" s="31" t="s">
        <v>37</v>
      </c>
      <c r="I174" s="31" t="s">
        <v>38</v>
      </c>
      <c r="J174" s="31" t="s">
        <v>799</v>
      </c>
      <c r="K174" s="31" t="s">
        <v>800</v>
      </c>
      <c r="L174" s="31">
        <v>247000</v>
      </c>
      <c r="M174" s="31">
        <v>0</v>
      </c>
      <c r="N174" s="31">
        <v>0</v>
      </c>
      <c r="O174" s="31">
        <v>1547000</v>
      </c>
      <c r="P174" s="31" t="s">
        <v>41</v>
      </c>
      <c r="Q174" s="31" t="s">
        <v>42</v>
      </c>
      <c r="U174" s="31" t="s">
        <v>43</v>
      </c>
    </row>
    <row r="175" spans="1:24" x14ac:dyDescent="0.2">
      <c r="A175" s="33" t="s">
        <v>31</v>
      </c>
      <c r="B175" s="33" t="s">
        <v>804</v>
      </c>
      <c r="C175" s="33" t="s">
        <v>805</v>
      </c>
      <c r="D175" s="33">
        <f t="shared" si="2"/>
        <v>-1</v>
      </c>
      <c r="E175" s="33" t="s">
        <v>34</v>
      </c>
      <c r="F175" s="33" t="s">
        <v>668</v>
      </c>
      <c r="G175" s="33" t="s">
        <v>806</v>
      </c>
      <c r="H175" s="33" t="s">
        <v>37</v>
      </c>
      <c r="I175" s="33" t="s">
        <v>38</v>
      </c>
      <c r="J175" s="33" t="s">
        <v>807</v>
      </c>
      <c r="K175" s="33" t="s">
        <v>808</v>
      </c>
      <c r="L175" s="33">
        <v>199500</v>
      </c>
      <c r="M175" s="33">
        <v>0</v>
      </c>
      <c r="N175" s="33">
        <v>0</v>
      </c>
      <c r="O175" s="33">
        <v>1249500</v>
      </c>
      <c r="P175" s="33" t="s">
        <v>41</v>
      </c>
      <c r="Q175" s="33" t="s">
        <v>42</v>
      </c>
      <c r="W175" s="33" t="s">
        <v>43</v>
      </c>
      <c r="X175" s="1" t="s">
        <v>716</v>
      </c>
    </row>
    <row r="176" spans="1:24" x14ac:dyDescent="0.2">
      <c r="A176" s="33" t="s">
        <v>31</v>
      </c>
      <c r="B176" s="33" t="s">
        <v>809</v>
      </c>
      <c r="C176" s="33" t="s">
        <v>810</v>
      </c>
      <c r="D176" s="33">
        <f t="shared" si="2"/>
        <v>-1</v>
      </c>
      <c r="E176" s="33" t="s">
        <v>34</v>
      </c>
      <c r="F176" s="33" t="s">
        <v>668</v>
      </c>
      <c r="G176" s="33" t="s">
        <v>806</v>
      </c>
      <c r="H176" s="33" t="s">
        <v>37</v>
      </c>
      <c r="I176" s="33" t="s">
        <v>38</v>
      </c>
      <c r="J176" s="33" t="s">
        <v>463</v>
      </c>
      <c r="K176" s="33" t="s">
        <v>464</v>
      </c>
      <c r="L176" s="33">
        <v>19000</v>
      </c>
      <c r="M176" s="33">
        <v>0</v>
      </c>
      <c r="N176" s="33">
        <v>0</v>
      </c>
      <c r="O176" s="33">
        <v>119000</v>
      </c>
      <c r="P176" s="33" t="s">
        <v>41</v>
      </c>
      <c r="Q176" s="33" t="s">
        <v>42</v>
      </c>
      <c r="W176" s="33" t="s">
        <v>161</v>
      </c>
      <c r="X176" s="1" t="s">
        <v>129</v>
      </c>
    </row>
    <row r="177" spans="1:24" x14ac:dyDescent="0.2">
      <c r="A177" s="33" t="s">
        <v>31</v>
      </c>
      <c r="B177" s="33" t="s">
        <v>811</v>
      </c>
      <c r="C177" s="33" t="s">
        <v>812</v>
      </c>
      <c r="D177" s="33">
        <f t="shared" si="2"/>
        <v>-1</v>
      </c>
      <c r="E177" s="33" t="s">
        <v>34</v>
      </c>
      <c r="F177" s="33" t="s">
        <v>668</v>
      </c>
      <c r="G177" s="33" t="s">
        <v>813</v>
      </c>
      <c r="H177" s="33" t="s">
        <v>37</v>
      </c>
      <c r="I177" s="33" t="s">
        <v>38</v>
      </c>
      <c r="J177" s="33" t="s">
        <v>814</v>
      </c>
      <c r="K177" s="33" t="s">
        <v>815</v>
      </c>
      <c r="L177" s="33">
        <v>37200.1</v>
      </c>
      <c r="M177" s="33">
        <v>0</v>
      </c>
      <c r="N177" s="33">
        <v>0</v>
      </c>
      <c r="O177" s="33">
        <v>241510.1</v>
      </c>
      <c r="P177" s="33" t="s">
        <v>41</v>
      </c>
      <c r="Q177" s="33" t="s">
        <v>42</v>
      </c>
      <c r="W177" s="33" t="s">
        <v>43</v>
      </c>
      <c r="X177" s="1" t="s">
        <v>816</v>
      </c>
    </row>
    <row r="178" spans="1:24" x14ac:dyDescent="0.2">
      <c r="A178" s="1" t="s">
        <v>31</v>
      </c>
      <c r="B178" s="1" t="s">
        <v>817</v>
      </c>
      <c r="C178" s="1" t="s">
        <v>818</v>
      </c>
      <c r="D178" s="1">
        <f t="shared" si="2"/>
        <v>-1</v>
      </c>
      <c r="E178" s="1" t="s">
        <v>34</v>
      </c>
      <c r="F178" s="1" t="s">
        <v>668</v>
      </c>
      <c r="G178" s="1" t="s">
        <v>819</v>
      </c>
      <c r="H178" s="1" t="s">
        <v>37</v>
      </c>
      <c r="I178" s="1" t="s">
        <v>38</v>
      </c>
      <c r="J178" s="1" t="s">
        <v>814</v>
      </c>
      <c r="K178" s="1" t="s">
        <v>815</v>
      </c>
      <c r="L178" s="1">
        <v>123040.8</v>
      </c>
      <c r="M178" s="1">
        <v>0</v>
      </c>
      <c r="N178" s="1">
        <v>0</v>
      </c>
      <c r="O178" s="1">
        <v>1024760.8</v>
      </c>
      <c r="P178" s="1" t="s">
        <v>41</v>
      </c>
      <c r="Q178" s="1" t="s">
        <v>42</v>
      </c>
      <c r="V178" s="1" t="s">
        <v>161</v>
      </c>
    </row>
    <row r="179" spans="1:24" x14ac:dyDescent="0.2">
      <c r="A179" s="31" t="s">
        <v>31</v>
      </c>
      <c r="B179" s="31" t="s">
        <v>820</v>
      </c>
      <c r="C179" s="31">
        <v>104792</v>
      </c>
      <c r="D179" s="31">
        <f t="shared" si="2"/>
        <v>-1</v>
      </c>
      <c r="E179" s="31" t="s">
        <v>34</v>
      </c>
      <c r="F179" s="31" t="s">
        <v>668</v>
      </c>
      <c r="G179" s="31" t="s">
        <v>821</v>
      </c>
      <c r="H179" s="31" t="s">
        <v>37</v>
      </c>
      <c r="I179" s="31" t="s">
        <v>38</v>
      </c>
      <c r="J179" s="31" t="s">
        <v>822</v>
      </c>
      <c r="K179" s="31" t="s">
        <v>823</v>
      </c>
      <c r="L179" s="31">
        <v>76380</v>
      </c>
      <c r="M179" s="31">
        <v>0</v>
      </c>
      <c r="N179" s="31">
        <v>0</v>
      </c>
      <c r="O179" s="31">
        <v>478380</v>
      </c>
      <c r="P179" s="31" t="s">
        <v>41</v>
      </c>
      <c r="Q179" s="31" t="s">
        <v>42</v>
      </c>
      <c r="U179" s="31" t="s">
        <v>161</v>
      </c>
    </row>
    <row r="180" spans="1:24" x14ac:dyDescent="0.2">
      <c r="A180" s="33" t="s">
        <v>31</v>
      </c>
      <c r="B180" s="33" t="s">
        <v>824</v>
      </c>
      <c r="C180" s="33" t="s">
        <v>825</v>
      </c>
      <c r="D180" s="33">
        <f t="shared" si="2"/>
        <v>-1</v>
      </c>
      <c r="E180" s="33" t="s">
        <v>34</v>
      </c>
      <c r="F180" s="33" t="s">
        <v>668</v>
      </c>
      <c r="G180" s="33" t="s">
        <v>826</v>
      </c>
      <c r="H180" s="33" t="s">
        <v>37</v>
      </c>
      <c r="I180" s="33" t="s">
        <v>38</v>
      </c>
      <c r="J180" s="33" t="s">
        <v>112</v>
      </c>
      <c r="K180" s="33" t="s">
        <v>113</v>
      </c>
      <c r="L180" s="33">
        <v>4105251.15</v>
      </c>
      <c r="M180" s="33">
        <v>0</v>
      </c>
      <c r="N180" s="33">
        <v>0</v>
      </c>
      <c r="O180" s="33">
        <v>25711836.149999999</v>
      </c>
      <c r="P180" s="33" t="s">
        <v>41</v>
      </c>
      <c r="Q180" s="33" t="s">
        <v>42</v>
      </c>
      <c r="W180" s="33" t="s">
        <v>43</v>
      </c>
      <c r="X180" s="1" t="s">
        <v>69</v>
      </c>
    </row>
    <row r="181" spans="1:24" x14ac:dyDescent="0.2">
      <c r="A181" s="33" t="s">
        <v>31</v>
      </c>
      <c r="B181" s="33" t="s">
        <v>827</v>
      </c>
      <c r="C181" s="33" t="s">
        <v>828</v>
      </c>
      <c r="D181" s="33">
        <f t="shared" si="2"/>
        <v>-1</v>
      </c>
      <c r="E181" s="33" t="s">
        <v>34</v>
      </c>
      <c r="F181" s="33" t="s">
        <v>668</v>
      </c>
      <c r="G181" s="33" t="s">
        <v>829</v>
      </c>
      <c r="H181" s="33" t="s">
        <v>37</v>
      </c>
      <c r="I181" s="33" t="s">
        <v>38</v>
      </c>
      <c r="J181" s="33" t="s">
        <v>143</v>
      </c>
      <c r="K181" s="33" t="s">
        <v>144</v>
      </c>
      <c r="L181" s="33">
        <v>508978.08</v>
      </c>
      <c r="M181" s="33">
        <v>0</v>
      </c>
      <c r="N181" s="33">
        <v>0</v>
      </c>
      <c r="O181" s="33">
        <v>3187810.08</v>
      </c>
      <c r="P181" s="33" t="s">
        <v>41</v>
      </c>
      <c r="Q181" s="33" t="s">
        <v>42</v>
      </c>
      <c r="W181" s="1" t="s">
        <v>43</v>
      </c>
      <c r="X181" s="1" t="s">
        <v>108</v>
      </c>
    </row>
    <row r="182" spans="1:24" x14ac:dyDescent="0.2">
      <c r="A182" s="33" t="s">
        <v>31</v>
      </c>
      <c r="B182" s="33" t="s">
        <v>830</v>
      </c>
      <c r="C182" s="33" t="s">
        <v>831</v>
      </c>
      <c r="D182" s="33">
        <f t="shared" si="2"/>
        <v>-1</v>
      </c>
      <c r="E182" s="33" t="s">
        <v>34</v>
      </c>
      <c r="F182" s="33" t="s">
        <v>668</v>
      </c>
      <c r="G182" s="33" t="s">
        <v>832</v>
      </c>
      <c r="H182" s="33" t="s">
        <v>37</v>
      </c>
      <c r="I182" s="33" t="s">
        <v>38</v>
      </c>
      <c r="J182" s="33" t="s">
        <v>79</v>
      </c>
      <c r="K182" s="33" t="s">
        <v>80</v>
      </c>
      <c r="L182" s="33">
        <v>2612432.5499999998</v>
      </c>
      <c r="M182" s="33">
        <v>0</v>
      </c>
      <c r="N182" s="33">
        <v>0</v>
      </c>
      <c r="O182" s="33">
        <v>16362077.550000001</v>
      </c>
      <c r="P182" s="33" t="s">
        <v>41</v>
      </c>
      <c r="Q182" s="33" t="s">
        <v>42</v>
      </c>
      <c r="W182" s="1" t="s">
        <v>43</v>
      </c>
      <c r="X182" s="1" t="s">
        <v>108</v>
      </c>
    </row>
    <row r="183" spans="1:24" x14ac:dyDescent="0.2">
      <c r="A183" s="33" t="s">
        <v>31</v>
      </c>
      <c r="B183" s="33" t="s">
        <v>833</v>
      </c>
      <c r="C183" s="33" t="s">
        <v>834</v>
      </c>
      <c r="D183" s="33">
        <f t="shared" si="2"/>
        <v>-1</v>
      </c>
      <c r="E183" s="33" t="s">
        <v>34</v>
      </c>
      <c r="F183" s="33" t="s">
        <v>668</v>
      </c>
      <c r="G183" s="33" t="s">
        <v>835</v>
      </c>
      <c r="H183" s="33" t="s">
        <v>37</v>
      </c>
      <c r="I183" s="33" t="s">
        <v>38</v>
      </c>
      <c r="J183" s="33" t="s">
        <v>79</v>
      </c>
      <c r="K183" s="33" t="s">
        <v>80</v>
      </c>
      <c r="L183" s="33">
        <v>882182.73</v>
      </c>
      <c r="M183" s="33">
        <v>0</v>
      </c>
      <c r="N183" s="33">
        <v>0</v>
      </c>
      <c r="O183" s="33">
        <v>5525249.7300000004</v>
      </c>
      <c r="P183" s="33" t="s">
        <v>41</v>
      </c>
      <c r="Q183" s="33" t="s">
        <v>42</v>
      </c>
      <c r="W183" s="1" t="s">
        <v>43</v>
      </c>
      <c r="X183" s="1" t="s">
        <v>84</v>
      </c>
    </row>
    <row r="184" spans="1:24" x14ac:dyDescent="0.2">
      <c r="A184" s="33" t="s">
        <v>31</v>
      </c>
      <c r="B184" s="33" t="s">
        <v>836</v>
      </c>
      <c r="C184" s="33" t="s">
        <v>837</v>
      </c>
      <c r="D184" s="33">
        <f t="shared" si="2"/>
        <v>-1</v>
      </c>
      <c r="E184" s="33" t="s">
        <v>34</v>
      </c>
      <c r="F184" s="33" t="s">
        <v>838</v>
      </c>
      <c r="G184" s="33" t="s">
        <v>839</v>
      </c>
      <c r="H184" s="33" t="s">
        <v>37</v>
      </c>
      <c r="I184" s="33" t="s">
        <v>38</v>
      </c>
      <c r="J184" s="33" t="s">
        <v>138</v>
      </c>
      <c r="K184" s="33" t="s">
        <v>139</v>
      </c>
      <c r="L184" s="33">
        <v>373204.65</v>
      </c>
      <c r="M184" s="33">
        <v>0</v>
      </c>
      <c r="N184" s="33">
        <v>0</v>
      </c>
      <c r="O184" s="33">
        <v>2337439.65</v>
      </c>
      <c r="P184" s="33" t="s">
        <v>41</v>
      </c>
      <c r="Q184" s="33" t="s">
        <v>42</v>
      </c>
      <c r="W184" s="33" t="s">
        <v>43</v>
      </c>
      <c r="X184" s="1" t="s">
        <v>69</v>
      </c>
    </row>
    <row r="185" spans="1:24" x14ac:dyDescent="0.2">
      <c r="A185" s="33" t="s">
        <v>31</v>
      </c>
      <c r="B185" s="33" t="s">
        <v>840</v>
      </c>
      <c r="C185" s="33" t="s">
        <v>841</v>
      </c>
      <c r="D185" s="33">
        <f t="shared" si="2"/>
        <v>-1</v>
      </c>
      <c r="E185" s="33" t="s">
        <v>34</v>
      </c>
      <c r="F185" s="33" t="s">
        <v>838</v>
      </c>
      <c r="G185" s="33" t="s">
        <v>842</v>
      </c>
      <c r="H185" s="33" t="s">
        <v>37</v>
      </c>
      <c r="I185" s="33" t="s">
        <v>38</v>
      </c>
      <c r="J185" s="33" t="s">
        <v>112</v>
      </c>
      <c r="K185" s="33" t="s">
        <v>113</v>
      </c>
      <c r="L185" s="33">
        <v>373204.46</v>
      </c>
      <c r="M185" s="33">
        <v>0</v>
      </c>
      <c r="N185" s="33">
        <v>0</v>
      </c>
      <c r="O185" s="33">
        <v>2337438.46</v>
      </c>
      <c r="P185" s="33" t="s">
        <v>41</v>
      </c>
      <c r="Q185" s="33" t="s">
        <v>42</v>
      </c>
      <c r="W185" s="33" t="s">
        <v>43</v>
      </c>
      <c r="X185" s="1" t="s">
        <v>69</v>
      </c>
    </row>
    <row r="186" spans="1:24" x14ac:dyDescent="0.2">
      <c r="A186" s="33" t="s">
        <v>31</v>
      </c>
      <c r="B186" s="33" t="s">
        <v>843</v>
      </c>
      <c r="C186" s="33" t="s">
        <v>844</v>
      </c>
      <c r="D186" s="33">
        <f t="shared" si="2"/>
        <v>-1</v>
      </c>
      <c r="E186" s="33" t="s">
        <v>34</v>
      </c>
      <c r="F186" s="33" t="s">
        <v>838</v>
      </c>
      <c r="G186" s="33" t="s">
        <v>845</v>
      </c>
      <c r="H186" s="33" t="s">
        <v>37</v>
      </c>
      <c r="I186" s="33" t="s">
        <v>38</v>
      </c>
      <c r="J186" s="33" t="s">
        <v>112</v>
      </c>
      <c r="K186" s="33" t="s">
        <v>113</v>
      </c>
      <c r="L186" s="33">
        <v>882182.73</v>
      </c>
      <c r="M186" s="33">
        <v>0</v>
      </c>
      <c r="N186" s="33">
        <v>0</v>
      </c>
      <c r="O186" s="33">
        <v>5525249.7300000004</v>
      </c>
      <c r="P186" s="33" t="s">
        <v>41</v>
      </c>
      <c r="Q186" s="33" t="s">
        <v>42</v>
      </c>
      <c r="W186" s="33" t="s">
        <v>43</v>
      </c>
      <c r="X186" s="1" t="s">
        <v>69</v>
      </c>
    </row>
    <row r="187" spans="1:24" x14ac:dyDescent="0.2">
      <c r="A187" s="33" t="s">
        <v>31</v>
      </c>
      <c r="B187" s="33" t="s">
        <v>846</v>
      </c>
      <c r="C187" s="33" t="s">
        <v>847</v>
      </c>
      <c r="D187" s="33">
        <f t="shared" si="2"/>
        <v>-1</v>
      </c>
      <c r="E187" s="33" t="s">
        <v>34</v>
      </c>
      <c r="F187" s="33" t="s">
        <v>838</v>
      </c>
      <c r="G187" s="33" t="s">
        <v>848</v>
      </c>
      <c r="H187" s="33" t="s">
        <v>37</v>
      </c>
      <c r="I187" s="33" t="s">
        <v>38</v>
      </c>
      <c r="J187" s="33" t="s">
        <v>143</v>
      </c>
      <c r="K187" s="33" t="s">
        <v>144</v>
      </c>
      <c r="L187" s="33">
        <v>373204.65</v>
      </c>
      <c r="M187" s="33">
        <v>0</v>
      </c>
      <c r="N187" s="33">
        <v>0</v>
      </c>
      <c r="O187" s="33">
        <v>2337439.65</v>
      </c>
      <c r="P187" s="33" t="s">
        <v>41</v>
      </c>
      <c r="Q187" s="33" t="s">
        <v>42</v>
      </c>
      <c r="W187" s="1" t="s">
        <v>43</v>
      </c>
      <c r="X187" s="1" t="s">
        <v>108</v>
      </c>
    </row>
    <row r="188" spans="1:24" x14ac:dyDescent="0.2">
      <c r="A188" s="33" t="s">
        <v>31</v>
      </c>
      <c r="B188" s="33" t="s">
        <v>849</v>
      </c>
      <c r="C188" s="33" t="s">
        <v>850</v>
      </c>
      <c r="D188" s="33">
        <f t="shared" si="2"/>
        <v>-1</v>
      </c>
      <c r="E188" s="33" t="s">
        <v>34</v>
      </c>
      <c r="F188" s="33" t="s">
        <v>838</v>
      </c>
      <c r="G188" s="33" t="s">
        <v>851</v>
      </c>
      <c r="H188" s="33" t="s">
        <v>37</v>
      </c>
      <c r="I188" s="33" t="s">
        <v>38</v>
      </c>
      <c r="J188" s="33" t="s">
        <v>143</v>
      </c>
      <c r="K188" s="33" t="s">
        <v>144</v>
      </c>
      <c r="L188" s="33">
        <v>373204.65</v>
      </c>
      <c r="M188" s="33">
        <v>0</v>
      </c>
      <c r="N188" s="33">
        <v>0</v>
      </c>
      <c r="O188" s="33">
        <v>2337439.65</v>
      </c>
      <c r="P188" s="33" t="s">
        <v>41</v>
      </c>
      <c r="Q188" s="33" t="s">
        <v>42</v>
      </c>
      <c r="W188" s="1" t="s">
        <v>43</v>
      </c>
      <c r="X188" s="1" t="s">
        <v>108</v>
      </c>
    </row>
    <row r="189" spans="1:24" x14ac:dyDescent="0.2">
      <c r="A189" s="33" t="s">
        <v>31</v>
      </c>
      <c r="B189" s="33" t="s">
        <v>852</v>
      </c>
      <c r="C189" s="33" t="s">
        <v>853</v>
      </c>
      <c r="D189" s="33">
        <f t="shared" si="2"/>
        <v>-1</v>
      </c>
      <c r="E189" s="33" t="s">
        <v>34</v>
      </c>
      <c r="F189" s="33" t="s">
        <v>838</v>
      </c>
      <c r="G189" s="33" t="s">
        <v>854</v>
      </c>
      <c r="H189" s="33" t="s">
        <v>37</v>
      </c>
      <c r="I189" s="33" t="s">
        <v>38</v>
      </c>
      <c r="J189" s="33" t="s">
        <v>143</v>
      </c>
      <c r="K189" s="33" t="s">
        <v>144</v>
      </c>
      <c r="L189" s="33">
        <v>1119613.95</v>
      </c>
      <c r="M189" s="33">
        <v>0</v>
      </c>
      <c r="N189" s="33">
        <v>0</v>
      </c>
      <c r="O189" s="33">
        <v>7012318.9500000002</v>
      </c>
      <c r="P189" s="33" t="s">
        <v>41</v>
      </c>
      <c r="Q189" s="33" t="s">
        <v>42</v>
      </c>
      <c r="W189" s="1" t="s">
        <v>43</v>
      </c>
      <c r="X189" s="1" t="s">
        <v>108</v>
      </c>
    </row>
    <row r="190" spans="1:24" x14ac:dyDescent="0.2">
      <c r="A190" s="33" t="s">
        <v>31</v>
      </c>
      <c r="B190" s="33" t="s">
        <v>855</v>
      </c>
      <c r="C190" s="33" t="s">
        <v>856</v>
      </c>
      <c r="D190" s="33">
        <f t="shared" si="2"/>
        <v>-1</v>
      </c>
      <c r="E190" s="33" t="s">
        <v>34</v>
      </c>
      <c r="F190" s="33" t="s">
        <v>838</v>
      </c>
      <c r="G190" s="33" t="s">
        <v>857</v>
      </c>
      <c r="H190" s="33" t="s">
        <v>37</v>
      </c>
      <c r="I190" s="33" t="s">
        <v>38</v>
      </c>
      <c r="J190" s="33" t="s">
        <v>858</v>
      </c>
      <c r="K190" s="33" t="s">
        <v>859</v>
      </c>
      <c r="L190" s="33">
        <v>746409.3</v>
      </c>
      <c r="M190" s="33">
        <v>0</v>
      </c>
      <c r="N190" s="33">
        <v>0</v>
      </c>
      <c r="O190" s="33">
        <v>4674879.3</v>
      </c>
      <c r="P190" s="33" t="s">
        <v>41</v>
      </c>
      <c r="Q190" s="33" t="s">
        <v>42</v>
      </c>
      <c r="W190" s="33" t="s">
        <v>43</v>
      </c>
      <c r="X190" s="1" t="s">
        <v>69</v>
      </c>
    </row>
    <row r="191" spans="1:24" x14ac:dyDescent="0.2">
      <c r="A191" s="33" t="s">
        <v>31</v>
      </c>
      <c r="B191" s="33" t="s">
        <v>860</v>
      </c>
      <c r="C191" s="33" t="s">
        <v>861</v>
      </c>
      <c r="D191" s="33">
        <f t="shared" si="2"/>
        <v>-1</v>
      </c>
      <c r="E191" s="33" t="s">
        <v>34</v>
      </c>
      <c r="F191" s="33" t="s">
        <v>838</v>
      </c>
      <c r="G191" s="33" t="s">
        <v>862</v>
      </c>
      <c r="H191" s="33" t="s">
        <v>37</v>
      </c>
      <c r="I191" s="33" t="s">
        <v>38</v>
      </c>
      <c r="J191" s="33" t="s">
        <v>863</v>
      </c>
      <c r="K191" s="33" t="s">
        <v>864</v>
      </c>
      <c r="L191" s="33">
        <v>253365</v>
      </c>
      <c r="M191" s="33">
        <v>0</v>
      </c>
      <c r="N191" s="33">
        <v>0</v>
      </c>
      <c r="O191" s="33">
        <v>1586865</v>
      </c>
      <c r="P191" s="33" t="s">
        <v>41</v>
      </c>
      <c r="Q191" s="33" t="s">
        <v>42</v>
      </c>
      <c r="W191" s="33" t="s">
        <v>43</v>
      </c>
      <c r="X191" s="1" t="s">
        <v>201</v>
      </c>
    </row>
    <row r="192" spans="1:24" x14ac:dyDescent="0.2">
      <c r="A192" s="33" t="s">
        <v>31</v>
      </c>
      <c r="B192" s="33" t="s">
        <v>865</v>
      </c>
      <c r="C192" s="33" t="s">
        <v>866</v>
      </c>
      <c r="D192" s="33">
        <f t="shared" si="2"/>
        <v>-1</v>
      </c>
      <c r="E192" s="33" t="s">
        <v>34</v>
      </c>
      <c r="F192" s="33" t="s">
        <v>838</v>
      </c>
      <c r="G192" s="33" t="s">
        <v>867</v>
      </c>
      <c r="H192" s="33" t="s">
        <v>37</v>
      </c>
      <c r="I192" s="33" t="s">
        <v>38</v>
      </c>
      <c r="J192" s="33" t="s">
        <v>868</v>
      </c>
      <c r="K192" s="33" t="s">
        <v>869</v>
      </c>
      <c r="L192" s="33">
        <v>16568</v>
      </c>
      <c r="M192" s="33">
        <v>0</v>
      </c>
      <c r="N192" s="33">
        <v>0</v>
      </c>
      <c r="O192" s="33">
        <v>103768</v>
      </c>
      <c r="P192" s="33" t="s">
        <v>41</v>
      </c>
      <c r="Q192" s="33" t="s">
        <v>42</v>
      </c>
      <c r="W192" s="33" t="s">
        <v>161</v>
      </c>
      <c r="X192" s="1" t="s">
        <v>870</v>
      </c>
    </row>
    <row r="193" spans="1:24" x14ac:dyDescent="0.2">
      <c r="A193" s="33" t="s">
        <v>31</v>
      </c>
      <c r="B193" s="33" t="s">
        <v>871</v>
      </c>
      <c r="C193" s="33" t="s">
        <v>872</v>
      </c>
      <c r="D193" s="33">
        <f t="shared" si="2"/>
        <v>-1</v>
      </c>
      <c r="E193" s="33" t="s">
        <v>34</v>
      </c>
      <c r="F193" s="33" t="s">
        <v>838</v>
      </c>
      <c r="G193" s="33" t="s">
        <v>873</v>
      </c>
      <c r="H193" s="33" t="s">
        <v>37</v>
      </c>
      <c r="I193" s="33" t="s">
        <v>38</v>
      </c>
      <c r="J193" s="33" t="s">
        <v>445</v>
      </c>
      <c r="K193" s="33" t="s">
        <v>446</v>
      </c>
      <c r="L193" s="33">
        <v>64600</v>
      </c>
      <c r="M193" s="33">
        <v>0</v>
      </c>
      <c r="N193" s="33">
        <v>0</v>
      </c>
      <c r="O193" s="33">
        <v>404600</v>
      </c>
      <c r="P193" s="33" t="s">
        <v>41</v>
      </c>
      <c r="Q193" s="33" t="s">
        <v>42</v>
      </c>
      <c r="W193" s="33" t="s">
        <v>161</v>
      </c>
      <c r="X193" s="1" t="s">
        <v>447</v>
      </c>
    </row>
    <row r="194" spans="1:24" x14ac:dyDescent="0.2">
      <c r="A194" s="1" t="s">
        <v>31</v>
      </c>
      <c r="B194" s="1" t="s">
        <v>874</v>
      </c>
      <c r="C194" s="1" t="s">
        <v>875</v>
      </c>
      <c r="D194" s="1">
        <f t="shared" si="2"/>
        <v>-1</v>
      </c>
      <c r="E194" s="1" t="s">
        <v>34</v>
      </c>
      <c r="F194" s="1" t="s">
        <v>838</v>
      </c>
      <c r="G194" s="1" t="s">
        <v>876</v>
      </c>
      <c r="H194" s="1" t="s">
        <v>37</v>
      </c>
      <c r="I194" s="1" t="s">
        <v>38</v>
      </c>
      <c r="J194" s="1" t="s">
        <v>877</v>
      </c>
      <c r="K194" s="1" t="s">
        <v>878</v>
      </c>
      <c r="L194" s="1">
        <v>0</v>
      </c>
      <c r="M194" s="1">
        <v>0</v>
      </c>
      <c r="N194" s="1">
        <v>0</v>
      </c>
      <c r="O194" s="1">
        <v>344350</v>
      </c>
      <c r="P194" s="1" t="s">
        <v>41</v>
      </c>
      <c r="Q194" s="1" t="s">
        <v>42</v>
      </c>
      <c r="V194" s="1" t="s">
        <v>43</v>
      </c>
    </row>
    <row r="195" spans="1:24" x14ac:dyDescent="0.2">
      <c r="A195" s="28" t="s">
        <v>31</v>
      </c>
      <c r="B195" s="28" t="s">
        <v>879</v>
      </c>
      <c r="C195" s="28" t="s">
        <v>880</v>
      </c>
      <c r="D195" s="28">
        <f t="shared" si="2"/>
        <v>-1</v>
      </c>
      <c r="E195" s="28" t="s">
        <v>34</v>
      </c>
      <c r="F195" s="28" t="s">
        <v>838</v>
      </c>
      <c r="G195" s="28" t="s">
        <v>881</v>
      </c>
      <c r="H195" s="28" t="s">
        <v>37</v>
      </c>
      <c r="I195" s="28" t="s">
        <v>38</v>
      </c>
      <c r="J195" s="28" t="s">
        <v>57</v>
      </c>
      <c r="K195" s="28" t="s">
        <v>58</v>
      </c>
      <c r="L195" s="28">
        <v>203855.18</v>
      </c>
      <c r="M195" s="28">
        <v>0</v>
      </c>
      <c r="N195" s="28">
        <v>0</v>
      </c>
      <c r="O195" s="28">
        <v>1276777.18</v>
      </c>
      <c r="P195" s="28" t="s">
        <v>41</v>
      </c>
      <c r="Q195" s="28" t="s">
        <v>42</v>
      </c>
      <c r="R195" s="1" t="s">
        <v>43</v>
      </c>
    </row>
    <row r="196" spans="1:24" x14ac:dyDescent="0.2">
      <c r="A196" s="33" t="s">
        <v>31</v>
      </c>
      <c r="B196" s="33" t="s">
        <v>882</v>
      </c>
      <c r="C196" s="33" t="s">
        <v>883</v>
      </c>
      <c r="D196" s="33">
        <f t="shared" si="2"/>
        <v>-1</v>
      </c>
      <c r="E196" s="33" t="s">
        <v>34</v>
      </c>
      <c r="F196" s="33" t="s">
        <v>838</v>
      </c>
      <c r="G196" s="33" t="s">
        <v>884</v>
      </c>
      <c r="H196" s="33" t="s">
        <v>37</v>
      </c>
      <c r="I196" s="33" t="s">
        <v>38</v>
      </c>
      <c r="J196" s="33" t="s">
        <v>885</v>
      </c>
      <c r="K196" s="33" t="s">
        <v>886</v>
      </c>
      <c r="L196" s="33">
        <v>78850</v>
      </c>
      <c r="M196" s="33">
        <v>0</v>
      </c>
      <c r="N196" s="33">
        <v>0</v>
      </c>
      <c r="O196" s="33">
        <v>493850</v>
      </c>
      <c r="P196" s="33" t="s">
        <v>41</v>
      </c>
      <c r="Q196" s="33" t="s">
        <v>42</v>
      </c>
      <c r="W196" s="1" t="s">
        <v>161</v>
      </c>
      <c r="X196" s="1" t="s">
        <v>411</v>
      </c>
    </row>
    <row r="197" spans="1:24" x14ac:dyDescent="0.2">
      <c r="A197" s="28" t="s">
        <v>31</v>
      </c>
      <c r="B197" s="28" t="s">
        <v>887</v>
      </c>
      <c r="C197" s="28" t="s">
        <v>888</v>
      </c>
      <c r="D197" s="28">
        <f t="shared" si="2"/>
        <v>-1</v>
      </c>
      <c r="E197" s="28" t="s">
        <v>34</v>
      </c>
      <c r="F197" s="28" t="s">
        <v>838</v>
      </c>
      <c r="G197" s="28" t="s">
        <v>889</v>
      </c>
      <c r="H197" s="28" t="s">
        <v>37</v>
      </c>
      <c r="I197" s="28" t="s">
        <v>38</v>
      </c>
      <c r="J197" s="28" t="s">
        <v>885</v>
      </c>
      <c r="K197" s="28" t="s">
        <v>886</v>
      </c>
      <c r="L197" s="28">
        <v>791350</v>
      </c>
      <c r="M197" s="28">
        <v>0</v>
      </c>
      <c r="N197" s="28">
        <v>0</v>
      </c>
      <c r="O197" s="28">
        <v>4956350</v>
      </c>
      <c r="P197" s="28" t="s">
        <v>41</v>
      </c>
      <c r="Q197" s="28" t="s">
        <v>42</v>
      </c>
      <c r="R197" s="1" t="s">
        <v>43</v>
      </c>
    </row>
    <row r="198" spans="1:24" x14ac:dyDescent="0.2">
      <c r="A198" s="33" t="s">
        <v>31</v>
      </c>
      <c r="B198" s="33" t="s">
        <v>890</v>
      </c>
      <c r="C198" s="33" t="s">
        <v>891</v>
      </c>
      <c r="D198" s="33">
        <f t="shared" si="2"/>
        <v>-1</v>
      </c>
      <c r="E198" s="33" t="s">
        <v>34</v>
      </c>
      <c r="F198" s="33" t="s">
        <v>838</v>
      </c>
      <c r="G198" s="33" t="s">
        <v>892</v>
      </c>
      <c r="H198" s="33" t="s">
        <v>37</v>
      </c>
      <c r="I198" s="33" t="s">
        <v>38</v>
      </c>
      <c r="J198" s="33" t="s">
        <v>893</v>
      </c>
      <c r="K198" s="33" t="s">
        <v>894</v>
      </c>
      <c r="L198" s="33">
        <v>98059.5</v>
      </c>
      <c r="M198" s="33">
        <v>0</v>
      </c>
      <c r="N198" s="33">
        <v>0</v>
      </c>
      <c r="O198" s="33">
        <v>944709.5</v>
      </c>
      <c r="P198" s="33" t="s">
        <v>41</v>
      </c>
      <c r="Q198" s="33" t="s">
        <v>42</v>
      </c>
      <c r="W198" s="1" t="s">
        <v>43</v>
      </c>
      <c r="X198" s="1" t="s">
        <v>541</v>
      </c>
    </row>
    <row r="199" spans="1:24" x14ac:dyDescent="0.2">
      <c r="A199" s="33" t="s">
        <v>31</v>
      </c>
      <c r="B199" s="33" t="s">
        <v>895</v>
      </c>
      <c r="C199" s="33" t="s">
        <v>896</v>
      </c>
      <c r="D199" s="33">
        <f t="shared" si="2"/>
        <v>-1</v>
      </c>
      <c r="E199" s="33" t="s">
        <v>34</v>
      </c>
      <c r="F199" s="33" t="s">
        <v>838</v>
      </c>
      <c r="G199" s="33" t="s">
        <v>897</v>
      </c>
      <c r="H199" s="33" t="s">
        <v>37</v>
      </c>
      <c r="I199" s="33" t="s">
        <v>38</v>
      </c>
      <c r="J199" s="33" t="s">
        <v>898</v>
      </c>
      <c r="K199" s="33" t="s">
        <v>899</v>
      </c>
      <c r="L199" s="33">
        <v>52166</v>
      </c>
      <c r="M199" s="33">
        <v>0</v>
      </c>
      <c r="N199" s="33">
        <v>0</v>
      </c>
      <c r="O199" s="33">
        <v>538566</v>
      </c>
      <c r="P199" s="33" t="s">
        <v>41</v>
      </c>
      <c r="Q199" s="33" t="s">
        <v>42</v>
      </c>
      <c r="W199" s="1" t="s">
        <v>43</v>
      </c>
      <c r="X199" s="40" t="s">
        <v>167</v>
      </c>
    </row>
    <row r="200" spans="1:24" x14ac:dyDescent="0.2">
      <c r="A200" s="33" t="s">
        <v>31</v>
      </c>
      <c r="B200" s="33" t="s">
        <v>900</v>
      </c>
      <c r="C200" s="33" t="s">
        <v>901</v>
      </c>
      <c r="D200" s="33">
        <f t="shared" si="2"/>
        <v>-1</v>
      </c>
      <c r="E200" s="33" t="s">
        <v>34</v>
      </c>
      <c r="F200" s="33" t="s">
        <v>838</v>
      </c>
      <c r="G200" s="33" t="s">
        <v>902</v>
      </c>
      <c r="H200" s="33" t="s">
        <v>37</v>
      </c>
      <c r="I200" s="33" t="s">
        <v>38</v>
      </c>
      <c r="J200" s="33" t="s">
        <v>193</v>
      </c>
      <c r="K200" s="33" t="s">
        <v>194</v>
      </c>
      <c r="L200" s="33">
        <v>16568</v>
      </c>
      <c r="M200" s="33">
        <v>0</v>
      </c>
      <c r="N200" s="33">
        <v>0</v>
      </c>
      <c r="O200" s="33">
        <v>103768</v>
      </c>
      <c r="P200" s="33" t="s">
        <v>41</v>
      </c>
      <c r="Q200" s="33" t="s">
        <v>42</v>
      </c>
      <c r="W200" s="1" t="s">
        <v>161</v>
      </c>
      <c r="X200" s="1" t="s">
        <v>195</v>
      </c>
    </row>
    <row r="201" spans="1:24" x14ac:dyDescent="0.2">
      <c r="A201" s="1" t="s">
        <v>31</v>
      </c>
      <c r="B201" s="1" t="s">
        <v>903</v>
      </c>
      <c r="C201" s="1" t="s">
        <v>904</v>
      </c>
      <c r="D201" s="1">
        <f t="shared" si="2"/>
        <v>-1</v>
      </c>
      <c r="E201" s="1" t="s">
        <v>34</v>
      </c>
      <c r="F201" s="1" t="s">
        <v>838</v>
      </c>
      <c r="G201" s="1" t="s">
        <v>905</v>
      </c>
      <c r="H201" s="1" t="s">
        <v>37</v>
      </c>
      <c r="I201" s="1" t="s">
        <v>38</v>
      </c>
      <c r="J201" s="1" t="s">
        <v>906</v>
      </c>
      <c r="K201" s="1" t="s">
        <v>907</v>
      </c>
      <c r="L201" s="1">
        <v>267520</v>
      </c>
      <c r="M201" s="1">
        <v>0</v>
      </c>
      <c r="N201" s="1">
        <v>0</v>
      </c>
      <c r="O201" s="1">
        <v>1675520</v>
      </c>
      <c r="P201" s="1" t="s">
        <v>41</v>
      </c>
      <c r="Q201" s="1" t="s">
        <v>42</v>
      </c>
      <c r="V201" s="1" t="s">
        <v>43</v>
      </c>
    </row>
    <row r="202" spans="1:24" x14ac:dyDescent="0.2">
      <c r="A202" s="28" t="s">
        <v>31</v>
      </c>
      <c r="B202" s="28" t="s">
        <v>908</v>
      </c>
      <c r="C202" s="28" t="s">
        <v>909</v>
      </c>
      <c r="D202" s="28">
        <f t="shared" si="2"/>
        <v>-1</v>
      </c>
      <c r="E202" s="28" t="s">
        <v>34</v>
      </c>
      <c r="F202" s="28" t="s">
        <v>838</v>
      </c>
      <c r="G202" s="28" t="s">
        <v>910</v>
      </c>
      <c r="H202" s="28" t="s">
        <v>37</v>
      </c>
      <c r="I202" s="28" t="s">
        <v>38</v>
      </c>
      <c r="J202" s="28" t="s">
        <v>767</v>
      </c>
      <c r="K202" s="28" t="s">
        <v>768</v>
      </c>
      <c r="L202" s="28">
        <v>430540</v>
      </c>
      <c r="M202" s="28">
        <v>0</v>
      </c>
      <c r="N202" s="28">
        <v>0</v>
      </c>
      <c r="O202" s="28">
        <v>15676540</v>
      </c>
      <c r="P202" s="28" t="s">
        <v>41</v>
      </c>
      <c r="Q202" s="28" t="s">
        <v>42</v>
      </c>
      <c r="R202" s="1" t="s">
        <v>43</v>
      </c>
    </row>
    <row r="203" spans="1:24" x14ac:dyDescent="0.2">
      <c r="A203" s="29" t="s">
        <v>31</v>
      </c>
      <c r="B203" s="29" t="s">
        <v>911</v>
      </c>
      <c r="C203" s="29" t="s">
        <v>912</v>
      </c>
      <c r="D203" s="29">
        <f t="shared" ref="D203:D266" si="3">C203-C204</f>
        <v>-1</v>
      </c>
      <c r="E203" s="29" t="s">
        <v>34</v>
      </c>
      <c r="F203" s="29" t="s">
        <v>838</v>
      </c>
      <c r="G203" s="29" t="s">
        <v>913</v>
      </c>
      <c r="H203" s="29" t="s">
        <v>37</v>
      </c>
      <c r="I203" s="29" t="s">
        <v>38</v>
      </c>
      <c r="J203" s="29" t="s">
        <v>914</v>
      </c>
      <c r="K203" s="29" t="s">
        <v>915</v>
      </c>
      <c r="L203" s="29">
        <v>99419.4</v>
      </c>
      <c r="M203" s="29">
        <v>0</v>
      </c>
      <c r="N203" s="29">
        <v>0</v>
      </c>
      <c r="O203" s="29">
        <v>622679.4</v>
      </c>
      <c r="P203" s="29" t="s">
        <v>41</v>
      </c>
      <c r="Q203" s="29" t="s">
        <v>42</v>
      </c>
      <c r="T203" s="1" t="s">
        <v>43</v>
      </c>
    </row>
    <row r="204" spans="1:24" x14ac:dyDescent="0.2">
      <c r="A204" s="1" t="s">
        <v>31</v>
      </c>
      <c r="B204" s="1" t="s">
        <v>916</v>
      </c>
      <c r="C204" s="1" t="s">
        <v>917</v>
      </c>
      <c r="D204" s="1">
        <f t="shared" si="3"/>
        <v>-1</v>
      </c>
      <c r="E204" s="1" t="s">
        <v>34</v>
      </c>
      <c r="F204" s="1" t="s">
        <v>838</v>
      </c>
      <c r="G204" s="1" t="s">
        <v>918</v>
      </c>
      <c r="H204" s="1" t="s">
        <v>37</v>
      </c>
      <c r="I204" s="1" t="s">
        <v>38</v>
      </c>
      <c r="J204" s="1" t="s">
        <v>919</v>
      </c>
      <c r="K204" s="1" t="s">
        <v>920</v>
      </c>
      <c r="L204" s="1">
        <v>0</v>
      </c>
      <c r="M204" s="1">
        <v>0</v>
      </c>
      <c r="N204" s="1">
        <v>0</v>
      </c>
      <c r="O204" s="1">
        <v>107320</v>
      </c>
      <c r="P204" s="1" t="s">
        <v>41</v>
      </c>
      <c r="Q204" s="1" t="s">
        <v>42</v>
      </c>
      <c r="V204" s="1" t="s">
        <v>43</v>
      </c>
    </row>
    <row r="205" spans="1:24" x14ac:dyDescent="0.2">
      <c r="A205" s="33" t="s">
        <v>31</v>
      </c>
      <c r="B205" s="33" t="s">
        <v>921</v>
      </c>
      <c r="C205" s="33" t="s">
        <v>922</v>
      </c>
      <c r="D205" s="33">
        <f t="shared" si="3"/>
        <v>-1</v>
      </c>
      <c r="E205" s="33" t="s">
        <v>34</v>
      </c>
      <c r="F205" s="33" t="s">
        <v>838</v>
      </c>
      <c r="G205" s="33" t="s">
        <v>923</v>
      </c>
      <c r="H205" s="33" t="s">
        <v>37</v>
      </c>
      <c r="I205" s="33" t="s">
        <v>38</v>
      </c>
      <c r="J205" s="33" t="s">
        <v>924</v>
      </c>
      <c r="K205" s="33" t="s">
        <v>925</v>
      </c>
      <c r="L205" s="33">
        <v>86640</v>
      </c>
      <c r="M205" s="33">
        <v>0</v>
      </c>
      <c r="N205" s="33">
        <v>0</v>
      </c>
      <c r="O205" s="33">
        <v>542640</v>
      </c>
      <c r="P205" s="33" t="s">
        <v>41</v>
      </c>
      <c r="Q205" s="33" t="s">
        <v>42</v>
      </c>
      <c r="W205" s="1" t="s">
        <v>43</v>
      </c>
      <c r="X205" s="1" t="s">
        <v>926</v>
      </c>
    </row>
    <row r="206" spans="1:24" x14ac:dyDescent="0.2">
      <c r="A206" s="28" t="s">
        <v>31</v>
      </c>
      <c r="B206" s="28" t="s">
        <v>927</v>
      </c>
      <c r="C206" s="28" t="s">
        <v>928</v>
      </c>
      <c r="D206" s="28">
        <f t="shared" si="3"/>
        <v>-1</v>
      </c>
      <c r="E206" s="28" t="s">
        <v>34</v>
      </c>
      <c r="F206" s="28" t="s">
        <v>838</v>
      </c>
      <c r="G206" s="28" t="s">
        <v>929</v>
      </c>
      <c r="H206" s="28" t="s">
        <v>37</v>
      </c>
      <c r="I206" s="28" t="s">
        <v>38</v>
      </c>
      <c r="J206" s="28" t="s">
        <v>930</v>
      </c>
      <c r="K206" s="28" t="s">
        <v>931</v>
      </c>
      <c r="L206" s="28">
        <v>288800</v>
      </c>
      <c r="M206" s="28">
        <v>0</v>
      </c>
      <c r="N206" s="28">
        <v>0</v>
      </c>
      <c r="O206" s="28">
        <v>1808800</v>
      </c>
      <c r="P206" s="28" t="s">
        <v>41</v>
      </c>
      <c r="Q206" s="28" t="s">
        <v>42</v>
      </c>
      <c r="R206" s="1" t="s">
        <v>43</v>
      </c>
    </row>
    <row r="207" spans="1:24" x14ac:dyDescent="0.2">
      <c r="A207" s="33" t="s">
        <v>31</v>
      </c>
      <c r="B207" s="33" t="s">
        <v>932</v>
      </c>
      <c r="C207" s="33" t="s">
        <v>933</v>
      </c>
      <c r="D207" s="33">
        <f t="shared" si="3"/>
        <v>-1</v>
      </c>
      <c r="E207" s="33" t="s">
        <v>34</v>
      </c>
      <c r="F207" s="33" t="s">
        <v>838</v>
      </c>
      <c r="G207" s="33" t="s">
        <v>934</v>
      </c>
      <c r="H207" s="33" t="s">
        <v>37</v>
      </c>
      <c r="I207" s="33" t="s">
        <v>38</v>
      </c>
      <c r="J207" s="33" t="s">
        <v>935</v>
      </c>
      <c r="K207" s="33" t="s">
        <v>936</v>
      </c>
      <c r="L207" s="33">
        <v>802370</v>
      </c>
      <c r="M207" s="33">
        <v>0</v>
      </c>
      <c r="N207" s="33">
        <v>0</v>
      </c>
      <c r="O207" s="33">
        <v>5025370</v>
      </c>
      <c r="P207" s="33" t="s">
        <v>41</v>
      </c>
      <c r="Q207" s="33" t="s">
        <v>42</v>
      </c>
      <c r="W207" s="1" t="s">
        <v>161</v>
      </c>
      <c r="X207" s="1" t="s">
        <v>417</v>
      </c>
    </row>
    <row r="208" spans="1:24" x14ac:dyDescent="0.2">
      <c r="A208" s="29" t="s">
        <v>31</v>
      </c>
      <c r="B208" s="29" t="s">
        <v>937</v>
      </c>
      <c r="C208" s="29" t="s">
        <v>938</v>
      </c>
      <c r="D208" s="29">
        <f t="shared" si="3"/>
        <v>-1</v>
      </c>
      <c r="E208" s="29" t="s">
        <v>34</v>
      </c>
      <c r="F208" s="29" t="s">
        <v>838</v>
      </c>
      <c r="G208" s="29" t="s">
        <v>939</v>
      </c>
      <c r="H208" s="29" t="s">
        <v>37</v>
      </c>
      <c r="I208" s="29" t="s">
        <v>38</v>
      </c>
      <c r="J208" s="29" t="s">
        <v>940</v>
      </c>
      <c r="K208" s="29" t="s">
        <v>941</v>
      </c>
      <c r="L208" s="29">
        <v>19950</v>
      </c>
      <c r="M208" s="29">
        <v>0</v>
      </c>
      <c r="N208" s="29">
        <v>0</v>
      </c>
      <c r="O208" s="29">
        <v>124950</v>
      </c>
      <c r="P208" s="29" t="s">
        <v>41</v>
      </c>
      <c r="Q208" s="29" t="s">
        <v>42</v>
      </c>
      <c r="T208" s="1" t="s">
        <v>43</v>
      </c>
    </row>
    <row r="209" spans="1:24" x14ac:dyDescent="0.2">
      <c r="A209" s="29" t="s">
        <v>31</v>
      </c>
      <c r="B209" s="29" t="s">
        <v>942</v>
      </c>
      <c r="C209" s="29" t="s">
        <v>943</v>
      </c>
      <c r="D209" s="29">
        <f t="shared" si="3"/>
        <v>-1</v>
      </c>
      <c r="E209" s="29" t="s">
        <v>34</v>
      </c>
      <c r="F209" s="29" t="s">
        <v>838</v>
      </c>
      <c r="G209" s="29" t="s">
        <v>944</v>
      </c>
      <c r="H209" s="29" t="s">
        <v>37</v>
      </c>
      <c r="I209" s="29" t="s">
        <v>38</v>
      </c>
      <c r="J209" s="29" t="s">
        <v>488</v>
      </c>
      <c r="K209" s="29" t="s">
        <v>489</v>
      </c>
      <c r="L209" s="29">
        <v>58900</v>
      </c>
      <c r="M209" s="29">
        <v>0</v>
      </c>
      <c r="N209" s="29">
        <v>0</v>
      </c>
      <c r="O209" s="29">
        <v>368900</v>
      </c>
      <c r="P209" s="29" t="s">
        <v>41</v>
      </c>
      <c r="Q209" s="29" t="s">
        <v>42</v>
      </c>
      <c r="T209" s="1" t="s">
        <v>43</v>
      </c>
    </row>
    <row r="210" spans="1:24" x14ac:dyDescent="0.2">
      <c r="A210" s="29" t="s">
        <v>31</v>
      </c>
      <c r="B210" s="29" t="s">
        <v>945</v>
      </c>
      <c r="C210" s="29" t="s">
        <v>946</v>
      </c>
      <c r="D210" s="29">
        <f t="shared" si="3"/>
        <v>-1</v>
      </c>
      <c r="E210" s="29" t="s">
        <v>34</v>
      </c>
      <c r="F210" s="29" t="s">
        <v>838</v>
      </c>
      <c r="G210" s="29" t="s">
        <v>947</v>
      </c>
      <c r="H210" s="29" t="s">
        <v>37</v>
      </c>
      <c r="I210" s="29" t="s">
        <v>38</v>
      </c>
      <c r="J210" s="29" t="s">
        <v>488</v>
      </c>
      <c r="K210" s="29" t="s">
        <v>489</v>
      </c>
      <c r="L210" s="29">
        <v>19000</v>
      </c>
      <c r="M210" s="29">
        <v>0</v>
      </c>
      <c r="N210" s="29">
        <v>0</v>
      </c>
      <c r="O210" s="29">
        <v>119000</v>
      </c>
      <c r="P210" s="29" t="s">
        <v>41</v>
      </c>
      <c r="Q210" s="29" t="s">
        <v>42</v>
      </c>
      <c r="T210" s="1" t="s">
        <v>43</v>
      </c>
    </row>
    <row r="211" spans="1:24" x14ac:dyDescent="0.2">
      <c r="A211" s="29" t="s">
        <v>31</v>
      </c>
      <c r="B211" s="29" t="s">
        <v>948</v>
      </c>
      <c r="C211" s="29" t="s">
        <v>949</v>
      </c>
      <c r="D211" s="29">
        <f t="shared" si="3"/>
        <v>-1</v>
      </c>
      <c r="E211" s="29" t="s">
        <v>34</v>
      </c>
      <c r="F211" s="29" t="s">
        <v>838</v>
      </c>
      <c r="G211" s="29" t="s">
        <v>950</v>
      </c>
      <c r="H211" s="29" t="s">
        <v>37</v>
      </c>
      <c r="I211" s="29" t="s">
        <v>38</v>
      </c>
      <c r="J211" s="29" t="s">
        <v>488</v>
      </c>
      <c r="K211" s="29" t="s">
        <v>489</v>
      </c>
      <c r="L211" s="29">
        <v>19000</v>
      </c>
      <c r="M211" s="29">
        <v>0</v>
      </c>
      <c r="N211" s="29">
        <v>0</v>
      </c>
      <c r="O211" s="29">
        <v>119000</v>
      </c>
      <c r="P211" s="29" t="s">
        <v>41</v>
      </c>
      <c r="Q211" s="29" t="s">
        <v>42</v>
      </c>
      <c r="T211" s="1" t="s">
        <v>43</v>
      </c>
    </row>
    <row r="212" spans="1:24" x14ac:dyDescent="0.2">
      <c r="A212" s="29" t="s">
        <v>31</v>
      </c>
      <c r="B212" s="29" t="s">
        <v>951</v>
      </c>
      <c r="C212" s="29" t="s">
        <v>952</v>
      </c>
      <c r="D212" s="29">
        <f t="shared" si="3"/>
        <v>-1</v>
      </c>
      <c r="E212" s="29" t="s">
        <v>34</v>
      </c>
      <c r="F212" s="29" t="s">
        <v>838</v>
      </c>
      <c r="G212" s="29" t="s">
        <v>953</v>
      </c>
      <c r="H212" s="29" t="s">
        <v>37</v>
      </c>
      <c r="I212" s="29" t="s">
        <v>38</v>
      </c>
      <c r="J212" s="29" t="s">
        <v>488</v>
      </c>
      <c r="K212" s="29" t="s">
        <v>489</v>
      </c>
      <c r="L212" s="29">
        <v>38000</v>
      </c>
      <c r="M212" s="29">
        <v>0</v>
      </c>
      <c r="N212" s="29">
        <v>0</v>
      </c>
      <c r="O212" s="29">
        <v>238000</v>
      </c>
      <c r="P212" s="29" t="s">
        <v>41</v>
      </c>
      <c r="Q212" s="29" t="s">
        <v>42</v>
      </c>
      <c r="T212" s="1" t="s">
        <v>43</v>
      </c>
    </row>
    <row r="213" spans="1:24" x14ac:dyDescent="0.2">
      <c r="A213" s="33" t="s">
        <v>31</v>
      </c>
      <c r="B213" s="33" t="s">
        <v>954</v>
      </c>
      <c r="C213" s="33" t="s">
        <v>955</v>
      </c>
      <c r="D213" s="33">
        <f t="shared" si="3"/>
        <v>-1</v>
      </c>
      <c r="E213" s="33" t="s">
        <v>34</v>
      </c>
      <c r="F213" s="33" t="s">
        <v>838</v>
      </c>
      <c r="G213" s="33" t="s">
        <v>956</v>
      </c>
      <c r="H213" s="33" t="s">
        <v>37</v>
      </c>
      <c r="I213" s="33" t="s">
        <v>38</v>
      </c>
      <c r="J213" s="33" t="s">
        <v>957</v>
      </c>
      <c r="K213" s="33" t="s">
        <v>958</v>
      </c>
      <c r="L213" s="33">
        <v>197600</v>
      </c>
      <c r="M213" s="33">
        <v>0</v>
      </c>
      <c r="N213" s="33">
        <v>0</v>
      </c>
      <c r="O213" s="33">
        <v>1237600</v>
      </c>
      <c r="P213" s="33" t="s">
        <v>41</v>
      </c>
      <c r="Q213" s="33" t="s">
        <v>42</v>
      </c>
      <c r="W213" s="1" t="s">
        <v>161</v>
      </c>
      <c r="X213" s="1" t="s">
        <v>959</v>
      </c>
    </row>
    <row r="214" spans="1:24" x14ac:dyDescent="0.2">
      <c r="A214" s="33" t="s">
        <v>31</v>
      </c>
      <c r="B214" s="33" t="s">
        <v>960</v>
      </c>
      <c r="C214" s="33" t="s">
        <v>961</v>
      </c>
      <c r="D214" s="33">
        <f t="shared" si="3"/>
        <v>-1</v>
      </c>
      <c r="E214" s="33" t="s">
        <v>34</v>
      </c>
      <c r="F214" s="33" t="s">
        <v>838</v>
      </c>
      <c r="G214" s="33" t="s">
        <v>962</v>
      </c>
      <c r="H214" s="33" t="s">
        <v>37</v>
      </c>
      <c r="I214" s="33" t="s">
        <v>38</v>
      </c>
      <c r="J214" s="33" t="s">
        <v>610</v>
      </c>
      <c r="K214" s="33" t="s">
        <v>611</v>
      </c>
      <c r="L214" s="33">
        <v>103896.75</v>
      </c>
      <c r="M214" s="33">
        <v>0</v>
      </c>
      <c r="N214" s="33">
        <v>0</v>
      </c>
      <c r="O214" s="33">
        <v>656701.75</v>
      </c>
      <c r="P214" s="33" t="s">
        <v>41</v>
      </c>
      <c r="Q214" s="33" t="s">
        <v>42</v>
      </c>
      <c r="W214" s="1" t="s">
        <v>43</v>
      </c>
      <c r="X214" s="1" t="s">
        <v>959</v>
      </c>
    </row>
    <row r="215" spans="1:24" x14ac:dyDescent="0.2">
      <c r="A215" s="33" t="s">
        <v>31</v>
      </c>
      <c r="B215" s="33" t="s">
        <v>963</v>
      </c>
      <c r="C215" s="33" t="s">
        <v>964</v>
      </c>
      <c r="D215" s="33">
        <f t="shared" si="3"/>
        <v>-1</v>
      </c>
      <c r="E215" s="33" t="s">
        <v>34</v>
      </c>
      <c r="F215" s="33" t="s">
        <v>838</v>
      </c>
      <c r="G215" s="33" t="s">
        <v>965</v>
      </c>
      <c r="H215" s="33" t="s">
        <v>37</v>
      </c>
      <c r="I215" s="33" t="s">
        <v>38</v>
      </c>
      <c r="J215" s="33" t="s">
        <v>499</v>
      </c>
      <c r="K215" s="33" t="s">
        <v>500</v>
      </c>
      <c r="L215" s="33">
        <v>68400</v>
      </c>
      <c r="M215" s="33">
        <v>0</v>
      </c>
      <c r="N215" s="33">
        <v>0</v>
      </c>
      <c r="O215" s="33">
        <v>428400</v>
      </c>
      <c r="P215" s="33" t="s">
        <v>41</v>
      </c>
      <c r="Q215" s="33" t="s">
        <v>42</v>
      </c>
      <c r="W215" s="1" t="s">
        <v>161</v>
      </c>
      <c r="X215" s="1" t="s">
        <v>530</v>
      </c>
    </row>
    <row r="216" spans="1:24" x14ac:dyDescent="0.2">
      <c r="A216" s="33" t="s">
        <v>31</v>
      </c>
      <c r="B216" s="33" t="s">
        <v>966</v>
      </c>
      <c r="C216" s="33" t="s">
        <v>967</v>
      </c>
      <c r="D216" s="33">
        <f t="shared" si="3"/>
        <v>-1</v>
      </c>
      <c r="E216" s="33" t="s">
        <v>34</v>
      </c>
      <c r="F216" s="33" t="s">
        <v>838</v>
      </c>
      <c r="G216" s="33" t="s">
        <v>968</v>
      </c>
      <c r="H216" s="33" t="s">
        <v>37</v>
      </c>
      <c r="I216" s="33" t="s">
        <v>38</v>
      </c>
      <c r="J216" s="33" t="s">
        <v>969</v>
      </c>
      <c r="K216" s="33" t="s">
        <v>970</v>
      </c>
      <c r="L216" s="33">
        <v>20440.96</v>
      </c>
      <c r="M216" s="33">
        <v>0</v>
      </c>
      <c r="N216" s="33">
        <v>0</v>
      </c>
      <c r="O216" s="33">
        <v>128024.96000000001</v>
      </c>
      <c r="P216" s="33" t="s">
        <v>41</v>
      </c>
      <c r="Q216" s="33" t="s">
        <v>42</v>
      </c>
      <c r="W216" s="33" t="s">
        <v>161</v>
      </c>
      <c r="X216" s="1" t="s">
        <v>439</v>
      </c>
    </row>
    <row r="217" spans="1:24" x14ac:dyDescent="0.2">
      <c r="A217" s="1" t="s">
        <v>31</v>
      </c>
      <c r="B217" s="1" t="s">
        <v>971</v>
      </c>
      <c r="C217" s="1" t="s">
        <v>972</v>
      </c>
      <c r="D217" s="1">
        <f t="shared" si="3"/>
        <v>-1</v>
      </c>
      <c r="E217" s="1" t="s">
        <v>34</v>
      </c>
      <c r="F217" s="1" t="s">
        <v>838</v>
      </c>
      <c r="G217" s="1" t="s">
        <v>973</v>
      </c>
      <c r="H217" s="1" t="s">
        <v>37</v>
      </c>
      <c r="I217" s="1" t="s">
        <v>38</v>
      </c>
      <c r="J217" s="1" t="s">
        <v>205</v>
      </c>
      <c r="K217" s="1" t="s">
        <v>206</v>
      </c>
      <c r="L217" s="1">
        <v>860462.5</v>
      </c>
      <c r="M217" s="1">
        <v>0</v>
      </c>
      <c r="N217" s="1">
        <v>0</v>
      </c>
      <c r="O217" s="1">
        <v>5389212.5</v>
      </c>
      <c r="P217" s="1" t="s">
        <v>41</v>
      </c>
      <c r="Q217" s="1" t="s">
        <v>42</v>
      </c>
      <c r="V217" s="1" t="s">
        <v>43</v>
      </c>
    </row>
    <row r="218" spans="1:24" x14ac:dyDescent="0.2">
      <c r="A218" s="33" t="s">
        <v>31</v>
      </c>
      <c r="B218" s="33" t="s">
        <v>974</v>
      </c>
      <c r="C218" s="33" t="s">
        <v>975</v>
      </c>
      <c r="D218" s="33">
        <f t="shared" si="3"/>
        <v>-1</v>
      </c>
      <c r="E218" s="33" t="s">
        <v>34</v>
      </c>
      <c r="F218" s="33" t="s">
        <v>838</v>
      </c>
      <c r="G218" s="33" t="s">
        <v>976</v>
      </c>
      <c r="H218" s="33" t="s">
        <v>37</v>
      </c>
      <c r="I218" s="33" t="s">
        <v>38</v>
      </c>
      <c r="J218" s="33" t="s">
        <v>663</v>
      </c>
      <c r="K218" s="33" t="s">
        <v>664</v>
      </c>
      <c r="L218" s="33">
        <v>82996.75</v>
      </c>
      <c r="M218" s="33">
        <v>0</v>
      </c>
      <c r="N218" s="33">
        <v>0</v>
      </c>
      <c r="O218" s="33">
        <v>519821.75</v>
      </c>
      <c r="P218" s="33" t="s">
        <v>41</v>
      </c>
      <c r="Q218" s="33" t="s">
        <v>42</v>
      </c>
      <c r="W218" s="33" t="s">
        <v>161</v>
      </c>
      <c r="X218" s="1" t="s">
        <v>665</v>
      </c>
    </row>
    <row r="219" spans="1:24" x14ac:dyDescent="0.2">
      <c r="A219" s="33" t="s">
        <v>31</v>
      </c>
      <c r="B219" s="33" t="s">
        <v>977</v>
      </c>
      <c r="C219" s="33" t="s">
        <v>978</v>
      </c>
      <c r="D219" s="33">
        <f t="shared" si="3"/>
        <v>-1</v>
      </c>
      <c r="E219" s="33" t="s">
        <v>34</v>
      </c>
      <c r="F219" s="33" t="s">
        <v>838</v>
      </c>
      <c r="G219" s="33" t="s">
        <v>979</v>
      </c>
      <c r="H219" s="33" t="s">
        <v>37</v>
      </c>
      <c r="I219" s="33" t="s">
        <v>38</v>
      </c>
      <c r="J219" s="33" t="s">
        <v>652</v>
      </c>
      <c r="K219" s="33" t="s">
        <v>653</v>
      </c>
      <c r="L219" s="33">
        <v>155800</v>
      </c>
      <c r="M219" s="33">
        <v>0</v>
      </c>
      <c r="N219" s="33">
        <v>0</v>
      </c>
      <c r="O219" s="33">
        <v>975800</v>
      </c>
      <c r="P219" s="33" t="s">
        <v>41</v>
      </c>
      <c r="Q219" s="33" t="s">
        <v>42</v>
      </c>
      <c r="W219" s="1" t="s">
        <v>43</v>
      </c>
      <c r="X219" s="1" t="s">
        <v>654</v>
      </c>
    </row>
    <row r="220" spans="1:24" x14ac:dyDescent="0.2">
      <c r="A220" s="33" t="s">
        <v>31</v>
      </c>
      <c r="B220" s="33" t="s">
        <v>980</v>
      </c>
      <c r="C220" s="33" t="s">
        <v>981</v>
      </c>
      <c r="D220" s="33">
        <f t="shared" si="3"/>
        <v>-1</v>
      </c>
      <c r="E220" s="33" t="s">
        <v>34</v>
      </c>
      <c r="F220" s="33" t="s">
        <v>838</v>
      </c>
      <c r="G220" s="33" t="s">
        <v>982</v>
      </c>
      <c r="H220" s="33" t="s">
        <v>37</v>
      </c>
      <c r="I220" s="33" t="s">
        <v>38</v>
      </c>
      <c r="J220" s="33" t="s">
        <v>983</v>
      </c>
      <c r="K220" s="33" t="s">
        <v>984</v>
      </c>
      <c r="L220" s="33">
        <v>941514.03</v>
      </c>
      <c r="M220" s="33">
        <v>0</v>
      </c>
      <c r="N220" s="33">
        <v>0</v>
      </c>
      <c r="O220" s="33">
        <v>5896851.0300000003</v>
      </c>
      <c r="P220" s="33" t="s">
        <v>41</v>
      </c>
      <c r="Q220" s="33" t="s">
        <v>42</v>
      </c>
      <c r="W220" s="33" t="s">
        <v>43</v>
      </c>
      <c r="X220" s="1" t="s">
        <v>453</v>
      </c>
    </row>
    <row r="221" spans="1:24" x14ac:dyDescent="0.2">
      <c r="A221" s="33" t="s">
        <v>31</v>
      </c>
      <c r="B221" s="33" t="s">
        <v>985</v>
      </c>
      <c r="C221" s="33" t="s">
        <v>986</v>
      </c>
      <c r="D221" s="33">
        <f t="shared" si="3"/>
        <v>-1</v>
      </c>
      <c r="E221" s="33" t="s">
        <v>34</v>
      </c>
      <c r="F221" s="33" t="s">
        <v>838</v>
      </c>
      <c r="G221" s="33" t="s">
        <v>987</v>
      </c>
      <c r="H221" s="33" t="s">
        <v>37</v>
      </c>
      <c r="I221" s="33" t="s">
        <v>38</v>
      </c>
      <c r="J221" s="33" t="s">
        <v>988</v>
      </c>
      <c r="K221" s="33" t="s">
        <v>989</v>
      </c>
      <c r="L221" s="33">
        <v>433150.6</v>
      </c>
      <c r="M221" s="33">
        <v>0</v>
      </c>
      <c r="N221" s="33">
        <v>0</v>
      </c>
      <c r="O221" s="33">
        <v>2730170.6</v>
      </c>
      <c r="P221" s="33" t="s">
        <v>41</v>
      </c>
      <c r="Q221" s="33" t="s">
        <v>42</v>
      </c>
      <c r="W221" s="33" t="s">
        <v>161</v>
      </c>
      <c r="X221" s="1" t="s">
        <v>990</v>
      </c>
    </row>
    <row r="222" spans="1:24" x14ac:dyDescent="0.2">
      <c r="A222" s="33" t="s">
        <v>31</v>
      </c>
      <c r="B222" s="33" t="s">
        <v>991</v>
      </c>
      <c r="C222" s="33" t="s">
        <v>992</v>
      </c>
      <c r="D222" s="33">
        <f t="shared" si="3"/>
        <v>-1</v>
      </c>
      <c r="E222" s="33" t="s">
        <v>34</v>
      </c>
      <c r="F222" s="33" t="s">
        <v>838</v>
      </c>
      <c r="G222" s="33" t="s">
        <v>993</v>
      </c>
      <c r="H222" s="33" t="s">
        <v>37</v>
      </c>
      <c r="I222" s="33" t="s">
        <v>38</v>
      </c>
      <c r="J222" s="33" t="s">
        <v>994</v>
      </c>
      <c r="K222" s="33" t="s">
        <v>995</v>
      </c>
      <c r="L222" s="33">
        <v>3052371.66</v>
      </c>
      <c r="M222" s="33">
        <v>0</v>
      </c>
      <c r="N222" s="33">
        <v>0</v>
      </c>
      <c r="O222" s="33">
        <v>19117485.66</v>
      </c>
      <c r="P222" s="33" t="s">
        <v>41</v>
      </c>
      <c r="Q222" s="33" t="s">
        <v>42</v>
      </c>
      <c r="W222" s="1" t="s">
        <v>161</v>
      </c>
      <c r="X222" s="1" t="s">
        <v>654</v>
      </c>
    </row>
    <row r="223" spans="1:24" x14ac:dyDescent="0.2">
      <c r="A223" s="1" t="s">
        <v>31</v>
      </c>
      <c r="B223" s="1" t="s">
        <v>996</v>
      </c>
      <c r="C223" s="1" t="s">
        <v>997</v>
      </c>
      <c r="D223" s="1">
        <f t="shared" si="3"/>
        <v>-1</v>
      </c>
      <c r="E223" s="1" t="s">
        <v>34</v>
      </c>
      <c r="F223" s="1" t="s">
        <v>838</v>
      </c>
      <c r="G223" s="1" t="s">
        <v>998</v>
      </c>
      <c r="H223" s="1" t="s">
        <v>37</v>
      </c>
      <c r="I223" s="1" t="s">
        <v>38</v>
      </c>
      <c r="J223" s="1" t="s">
        <v>906</v>
      </c>
      <c r="K223" s="1" t="s">
        <v>907</v>
      </c>
      <c r="L223" s="1">
        <v>135945</v>
      </c>
      <c r="M223" s="1">
        <v>0</v>
      </c>
      <c r="N223" s="1">
        <v>0</v>
      </c>
      <c r="O223" s="1">
        <v>851445</v>
      </c>
      <c r="P223" s="1" t="s">
        <v>41</v>
      </c>
      <c r="Q223" s="1" t="s">
        <v>42</v>
      </c>
      <c r="V223" s="1" t="s">
        <v>43</v>
      </c>
    </row>
    <row r="224" spans="1:24" x14ac:dyDescent="0.2">
      <c r="A224" s="29" t="s">
        <v>31</v>
      </c>
      <c r="B224" s="29" t="s">
        <v>999</v>
      </c>
      <c r="C224" s="29" t="s">
        <v>1000</v>
      </c>
      <c r="D224" s="29">
        <f t="shared" si="3"/>
        <v>-1</v>
      </c>
      <c r="E224" s="29" t="s">
        <v>34</v>
      </c>
      <c r="F224" s="29" t="s">
        <v>1001</v>
      </c>
      <c r="G224" s="29" t="s">
        <v>1002</v>
      </c>
      <c r="H224" s="29" t="s">
        <v>37</v>
      </c>
      <c r="I224" s="29" t="s">
        <v>38</v>
      </c>
      <c r="J224" s="29" t="s">
        <v>1003</v>
      </c>
      <c r="K224" s="29" t="s">
        <v>1004</v>
      </c>
      <c r="L224" s="29">
        <v>45430</v>
      </c>
      <c r="M224" s="29">
        <v>0</v>
      </c>
      <c r="N224" s="29">
        <v>0</v>
      </c>
      <c r="O224" s="29">
        <v>486430</v>
      </c>
      <c r="P224" s="29" t="s">
        <v>41</v>
      </c>
      <c r="Q224" s="29" t="s">
        <v>42</v>
      </c>
      <c r="T224" s="1" t="s">
        <v>161</v>
      </c>
    </row>
    <row r="225" spans="1:24" x14ac:dyDescent="0.2">
      <c r="A225" s="33" t="s">
        <v>31</v>
      </c>
      <c r="B225" s="33" t="s">
        <v>1005</v>
      </c>
      <c r="C225" s="33" t="s">
        <v>1006</v>
      </c>
      <c r="D225" s="33">
        <f t="shared" si="3"/>
        <v>-1</v>
      </c>
      <c r="E225" s="33" t="s">
        <v>34</v>
      </c>
      <c r="F225" s="33" t="s">
        <v>1001</v>
      </c>
      <c r="G225" s="33" t="s">
        <v>1007</v>
      </c>
      <c r="H225" s="33" t="s">
        <v>37</v>
      </c>
      <c r="I225" s="33" t="s">
        <v>38</v>
      </c>
      <c r="J225" s="33" t="s">
        <v>1008</v>
      </c>
      <c r="K225" s="33" t="s">
        <v>1009</v>
      </c>
      <c r="L225" s="33">
        <v>18715</v>
      </c>
      <c r="M225" s="33">
        <v>0</v>
      </c>
      <c r="N225" s="33">
        <v>0</v>
      </c>
      <c r="O225" s="33">
        <v>923215</v>
      </c>
      <c r="P225" s="33" t="s">
        <v>41</v>
      </c>
      <c r="Q225" s="33" t="s">
        <v>42</v>
      </c>
      <c r="W225" s="33" t="s">
        <v>161</v>
      </c>
      <c r="X225" s="1" t="s">
        <v>277</v>
      </c>
    </row>
    <row r="226" spans="1:24" x14ac:dyDescent="0.2">
      <c r="A226" s="1" t="s">
        <v>31</v>
      </c>
      <c r="B226" s="1" t="s">
        <v>1010</v>
      </c>
      <c r="C226" s="1" t="s">
        <v>1011</v>
      </c>
      <c r="D226" s="1">
        <f t="shared" si="3"/>
        <v>-1</v>
      </c>
      <c r="E226" s="1" t="s">
        <v>34</v>
      </c>
      <c r="F226" s="1" t="s">
        <v>1001</v>
      </c>
      <c r="G226" s="1" t="s">
        <v>1012</v>
      </c>
      <c r="H226" s="1" t="s">
        <v>37</v>
      </c>
      <c r="I226" s="1" t="s">
        <v>38</v>
      </c>
      <c r="J226" s="1" t="s">
        <v>814</v>
      </c>
      <c r="K226" s="1" t="s">
        <v>815</v>
      </c>
      <c r="L226" s="1">
        <v>28604.5</v>
      </c>
      <c r="M226" s="1">
        <v>0</v>
      </c>
      <c r="N226" s="1">
        <v>0</v>
      </c>
      <c r="O226" s="1">
        <v>179154.5</v>
      </c>
      <c r="P226" s="1" t="s">
        <v>41</v>
      </c>
      <c r="Q226" s="1" t="s">
        <v>42</v>
      </c>
      <c r="V226" s="1" t="s">
        <v>43</v>
      </c>
    </row>
    <row r="227" spans="1:24" x14ac:dyDescent="0.2">
      <c r="A227" s="33" t="s">
        <v>31</v>
      </c>
      <c r="B227" s="33" t="s">
        <v>1013</v>
      </c>
      <c r="C227" s="33" t="s">
        <v>1014</v>
      </c>
      <c r="D227" s="33">
        <f t="shared" si="3"/>
        <v>-1</v>
      </c>
      <c r="E227" s="33" t="s">
        <v>34</v>
      </c>
      <c r="F227" s="33" t="s">
        <v>1001</v>
      </c>
      <c r="G227" s="33" t="s">
        <v>1015</v>
      </c>
      <c r="H227" s="33" t="s">
        <v>37</v>
      </c>
      <c r="I227" s="33" t="s">
        <v>38</v>
      </c>
      <c r="J227" s="33" t="s">
        <v>1016</v>
      </c>
      <c r="K227" s="33" t="s">
        <v>1017</v>
      </c>
      <c r="L227" s="33">
        <v>0</v>
      </c>
      <c r="M227" s="33">
        <v>0</v>
      </c>
      <c r="N227" s="33">
        <v>0</v>
      </c>
      <c r="O227" s="33">
        <v>5368041.53</v>
      </c>
      <c r="P227" s="33" t="s">
        <v>41</v>
      </c>
      <c r="Q227" s="33" t="s">
        <v>42</v>
      </c>
      <c r="W227" s="33" t="s">
        <v>161</v>
      </c>
      <c r="X227" s="1" t="s">
        <v>439</v>
      </c>
    </row>
    <row r="228" spans="1:24" x14ac:dyDescent="0.2">
      <c r="A228" s="33" t="s">
        <v>31</v>
      </c>
      <c r="B228" s="33" t="s">
        <v>1018</v>
      </c>
      <c r="C228" s="33" t="s">
        <v>1019</v>
      </c>
      <c r="D228" s="33">
        <f t="shared" si="3"/>
        <v>-1</v>
      </c>
      <c r="E228" s="33" t="s">
        <v>34</v>
      </c>
      <c r="F228" s="33" t="s">
        <v>1001</v>
      </c>
      <c r="G228" s="33" t="s">
        <v>1020</v>
      </c>
      <c r="H228" s="33" t="s">
        <v>37</v>
      </c>
      <c r="I228" s="33" t="s">
        <v>38</v>
      </c>
      <c r="J228" s="33" t="s">
        <v>1016</v>
      </c>
      <c r="K228" s="33" t="s">
        <v>1017</v>
      </c>
      <c r="L228" s="33">
        <v>75012</v>
      </c>
      <c r="M228" s="33">
        <v>0</v>
      </c>
      <c r="N228" s="33">
        <v>0</v>
      </c>
      <c r="O228" s="33">
        <v>469812</v>
      </c>
      <c r="P228" s="33" t="s">
        <v>41</v>
      </c>
      <c r="Q228" s="33" t="s">
        <v>42</v>
      </c>
      <c r="W228" s="33" t="s">
        <v>161</v>
      </c>
      <c r="X228" s="1" t="s">
        <v>439</v>
      </c>
    </row>
    <row r="229" spans="1:24" x14ac:dyDescent="0.2">
      <c r="A229" s="33" t="s">
        <v>31</v>
      </c>
      <c r="B229" s="33" t="s">
        <v>1021</v>
      </c>
      <c r="C229" s="33" t="s">
        <v>1022</v>
      </c>
      <c r="D229" s="33">
        <f t="shared" si="3"/>
        <v>-1</v>
      </c>
      <c r="E229" s="33" t="s">
        <v>34</v>
      </c>
      <c r="F229" s="33" t="s">
        <v>1023</v>
      </c>
      <c r="G229" s="33" t="s">
        <v>1024</v>
      </c>
      <c r="H229" s="33" t="s">
        <v>37</v>
      </c>
      <c r="I229" s="33" t="s">
        <v>38</v>
      </c>
      <c r="J229" s="33" t="s">
        <v>924</v>
      </c>
      <c r="K229" s="33" t="s">
        <v>925</v>
      </c>
      <c r="L229" s="33">
        <v>1788142.57</v>
      </c>
      <c r="M229" s="33">
        <v>0</v>
      </c>
      <c r="N229" s="33">
        <v>0</v>
      </c>
      <c r="O229" s="33">
        <v>11531465.57</v>
      </c>
      <c r="P229" s="33" t="s">
        <v>41</v>
      </c>
      <c r="Q229" s="33" t="s">
        <v>42</v>
      </c>
      <c r="W229" s="1" t="s">
        <v>43</v>
      </c>
      <c r="X229" s="1" t="s">
        <v>195</v>
      </c>
    </row>
    <row r="230" spans="1:24" x14ac:dyDescent="0.2">
      <c r="A230" s="29" t="s">
        <v>31</v>
      </c>
      <c r="B230" s="29" t="s">
        <v>1025</v>
      </c>
      <c r="C230" s="29" t="s">
        <v>1026</v>
      </c>
      <c r="D230" s="29">
        <f t="shared" si="3"/>
        <v>-1</v>
      </c>
      <c r="E230" s="29" t="s">
        <v>34</v>
      </c>
      <c r="F230" s="29" t="s">
        <v>1001</v>
      </c>
      <c r="G230" s="29" t="s">
        <v>1027</v>
      </c>
      <c r="H230" s="29" t="s">
        <v>37</v>
      </c>
      <c r="I230" s="29" t="s">
        <v>38</v>
      </c>
      <c r="J230" s="29" t="s">
        <v>1028</v>
      </c>
      <c r="K230" s="29" t="s">
        <v>1029</v>
      </c>
      <c r="L230" s="29">
        <v>0</v>
      </c>
      <c r="M230" s="29">
        <v>0</v>
      </c>
      <c r="N230" s="29">
        <v>0</v>
      </c>
      <c r="O230" s="29">
        <v>487500</v>
      </c>
      <c r="P230" s="29" t="s">
        <v>41</v>
      </c>
      <c r="Q230" s="29" t="s">
        <v>42</v>
      </c>
      <c r="T230" s="1" t="s">
        <v>43</v>
      </c>
    </row>
    <row r="231" spans="1:24" x14ac:dyDescent="0.2">
      <c r="A231" s="33" t="s">
        <v>31</v>
      </c>
      <c r="B231" s="33" t="s">
        <v>1030</v>
      </c>
      <c r="C231" s="33" t="s">
        <v>1031</v>
      </c>
      <c r="D231" s="33">
        <f t="shared" si="3"/>
        <v>-1</v>
      </c>
      <c r="E231" s="33" t="s">
        <v>34</v>
      </c>
      <c r="F231" s="33" t="s">
        <v>1001</v>
      </c>
      <c r="G231" s="33" t="s">
        <v>1032</v>
      </c>
      <c r="H231" s="33" t="s">
        <v>37</v>
      </c>
      <c r="I231" s="33" t="s">
        <v>38</v>
      </c>
      <c r="J231" s="33" t="s">
        <v>1033</v>
      </c>
      <c r="K231" s="33" t="s">
        <v>1034</v>
      </c>
      <c r="L231" s="33">
        <v>50274</v>
      </c>
      <c r="M231" s="33">
        <v>0</v>
      </c>
      <c r="N231" s="33">
        <v>0</v>
      </c>
      <c r="O231" s="33">
        <v>314874</v>
      </c>
      <c r="P231" s="33" t="s">
        <v>41</v>
      </c>
      <c r="Q231" s="33" t="s">
        <v>42</v>
      </c>
      <c r="W231" s="33" t="s">
        <v>161</v>
      </c>
      <c r="X231" s="1" t="s">
        <v>369</v>
      </c>
    </row>
    <row r="232" spans="1:24" x14ac:dyDescent="0.2">
      <c r="A232" s="33" t="s">
        <v>31</v>
      </c>
      <c r="B232" s="33" t="s">
        <v>1035</v>
      </c>
      <c r="C232" s="33" t="s">
        <v>1036</v>
      </c>
      <c r="D232" s="33">
        <f t="shared" si="3"/>
        <v>-1</v>
      </c>
      <c r="E232" s="33" t="s">
        <v>34</v>
      </c>
      <c r="F232" s="33" t="s">
        <v>1001</v>
      </c>
      <c r="G232" s="33" t="s">
        <v>1037</v>
      </c>
      <c r="H232" s="33" t="s">
        <v>37</v>
      </c>
      <c r="I232" s="33" t="s">
        <v>38</v>
      </c>
      <c r="J232" s="33" t="s">
        <v>1038</v>
      </c>
      <c r="K232" s="33" t="s">
        <v>1039</v>
      </c>
      <c r="L232" s="33">
        <v>939711.5</v>
      </c>
      <c r="M232" s="33">
        <v>0</v>
      </c>
      <c r="N232" s="33">
        <v>0</v>
      </c>
      <c r="O232" s="33">
        <v>5885561.5</v>
      </c>
      <c r="P232" s="33" t="s">
        <v>41</v>
      </c>
      <c r="Q232" s="33" t="s">
        <v>42</v>
      </c>
      <c r="W232" s="1" t="s">
        <v>43</v>
      </c>
      <c r="X232" s="1" t="s">
        <v>1040</v>
      </c>
    </row>
    <row r="233" spans="1:24" x14ac:dyDescent="0.2">
      <c r="A233" s="33" t="s">
        <v>31</v>
      </c>
      <c r="B233" s="33" t="s">
        <v>1041</v>
      </c>
      <c r="C233" s="33" t="s">
        <v>1042</v>
      </c>
      <c r="D233" s="33">
        <f t="shared" si="3"/>
        <v>-1</v>
      </c>
      <c r="E233" s="33" t="s">
        <v>34</v>
      </c>
      <c r="F233" s="33" t="s">
        <v>1001</v>
      </c>
      <c r="G233" s="33" t="s">
        <v>1043</v>
      </c>
      <c r="H233" s="33" t="s">
        <v>37</v>
      </c>
      <c r="I233" s="33" t="s">
        <v>38</v>
      </c>
      <c r="J233" s="33" t="s">
        <v>1038</v>
      </c>
      <c r="K233" s="33" t="s">
        <v>1039</v>
      </c>
      <c r="L233" s="33">
        <v>1879423</v>
      </c>
      <c r="M233" s="33">
        <v>0</v>
      </c>
      <c r="N233" s="33">
        <v>0</v>
      </c>
      <c r="O233" s="33">
        <v>11771123</v>
      </c>
      <c r="P233" s="33" t="s">
        <v>41</v>
      </c>
      <c r="Q233" s="33" t="s">
        <v>42</v>
      </c>
      <c r="W233" s="1" t="s">
        <v>43</v>
      </c>
      <c r="X233" s="1" t="s">
        <v>1040</v>
      </c>
    </row>
    <row r="234" spans="1:24" x14ac:dyDescent="0.2">
      <c r="A234" s="33" t="s">
        <v>31</v>
      </c>
      <c r="B234" s="33" t="s">
        <v>1044</v>
      </c>
      <c r="C234" s="33" t="s">
        <v>1045</v>
      </c>
      <c r="D234" s="33">
        <f t="shared" si="3"/>
        <v>-1</v>
      </c>
      <c r="E234" s="33" t="s">
        <v>34</v>
      </c>
      <c r="F234" s="33" t="s">
        <v>1001</v>
      </c>
      <c r="G234" s="33" t="s">
        <v>1046</v>
      </c>
      <c r="H234" s="33" t="s">
        <v>37</v>
      </c>
      <c r="I234" s="33" t="s">
        <v>38</v>
      </c>
      <c r="J234" s="33" t="s">
        <v>1047</v>
      </c>
      <c r="K234" s="33" t="s">
        <v>1048</v>
      </c>
      <c r="L234" s="33">
        <v>25376.3</v>
      </c>
      <c r="M234" s="33">
        <v>0</v>
      </c>
      <c r="N234" s="33">
        <v>0</v>
      </c>
      <c r="O234" s="33">
        <v>291822.3</v>
      </c>
      <c r="P234" s="33" t="s">
        <v>41</v>
      </c>
      <c r="Q234" s="33" t="s">
        <v>42</v>
      </c>
      <c r="W234" s="1" t="s">
        <v>161</v>
      </c>
      <c r="X234" s="1" t="s">
        <v>1049</v>
      </c>
    </row>
    <row r="235" spans="1:24" x14ac:dyDescent="0.2">
      <c r="A235" s="33" t="s">
        <v>31</v>
      </c>
      <c r="B235" s="33" t="s">
        <v>1050</v>
      </c>
      <c r="C235" s="33" t="s">
        <v>1051</v>
      </c>
      <c r="D235" s="33">
        <f t="shared" si="3"/>
        <v>-1</v>
      </c>
      <c r="E235" s="33" t="s">
        <v>34</v>
      </c>
      <c r="F235" s="33" t="s">
        <v>1001</v>
      </c>
      <c r="G235" s="33" t="s">
        <v>1052</v>
      </c>
      <c r="H235" s="33" t="s">
        <v>37</v>
      </c>
      <c r="I235" s="33" t="s">
        <v>38</v>
      </c>
      <c r="J235" s="33" t="s">
        <v>1053</v>
      </c>
      <c r="K235" s="33" t="s">
        <v>1054</v>
      </c>
      <c r="L235" s="33">
        <v>1286843.78</v>
      </c>
      <c r="M235" s="33">
        <v>0</v>
      </c>
      <c r="N235" s="33">
        <v>0</v>
      </c>
      <c r="O235" s="33">
        <v>8059705.7800000003</v>
      </c>
      <c r="P235" s="33" t="s">
        <v>41</v>
      </c>
      <c r="Q235" s="33" t="s">
        <v>42</v>
      </c>
      <c r="W235" s="1" t="s">
        <v>43</v>
      </c>
      <c r="X235" s="1" t="s">
        <v>129</v>
      </c>
    </row>
    <row r="236" spans="1:24" x14ac:dyDescent="0.2">
      <c r="A236" s="33" t="s">
        <v>31</v>
      </c>
      <c r="B236" s="33" t="s">
        <v>1055</v>
      </c>
      <c r="C236" s="33" t="s">
        <v>1056</v>
      </c>
      <c r="D236" s="33">
        <f t="shared" si="3"/>
        <v>-1</v>
      </c>
      <c r="E236" s="33" t="s">
        <v>34</v>
      </c>
      <c r="F236" s="33" t="s">
        <v>1001</v>
      </c>
      <c r="G236" s="33" t="s">
        <v>1057</v>
      </c>
      <c r="H236" s="33" t="s">
        <v>37</v>
      </c>
      <c r="I236" s="33" t="s">
        <v>38</v>
      </c>
      <c r="J236" s="33" t="s">
        <v>1058</v>
      </c>
      <c r="K236" s="33" t="s">
        <v>1059</v>
      </c>
      <c r="L236" s="33">
        <v>110120.39</v>
      </c>
      <c r="M236" s="33">
        <v>0</v>
      </c>
      <c r="N236" s="33">
        <v>0</v>
      </c>
      <c r="O236" s="33">
        <v>689701.39</v>
      </c>
      <c r="P236" s="33" t="s">
        <v>41</v>
      </c>
      <c r="Q236" s="33" t="s">
        <v>42</v>
      </c>
      <c r="W236" s="33" t="s">
        <v>161</v>
      </c>
      <c r="X236" s="1" t="s">
        <v>1060</v>
      </c>
    </row>
    <row r="237" spans="1:24" x14ac:dyDescent="0.2">
      <c r="A237" s="33" t="s">
        <v>31</v>
      </c>
      <c r="B237" s="33" t="s">
        <v>1061</v>
      </c>
      <c r="C237" s="33" t="s">
        <v>1062</v>
      </c>
      <c r="D237" s="33">
        <f t="shared" si="3"/>
        <v>-1</v>
      </c>
      <c r="E237" s="33" t="s">
        <v>34</v>
      </c>
      <c r="F237" s="33" t="s">
        <v>1001</v>
      </c>
      <c r="G237" s="33" t="s">
        <v>1063</v>
      </c>
      <c r="H237" s="33" t="s">
        <v>37</v>
      </c>
      <c r="I237" s="33" t="s">
        <v>38</v>
      </c>
      <c r="J237" s="33" t="s">
        <v>1064</v>
      </c>
      <c r="K237" s="33" t="s">
        <v>1065</v>
      </c>
      <c r="L237" s="33">
        <v>689479.6</v>
      </c>
      <c r="M237" s="33">
        <v>0</v>
      </c>
      <c r="N237" s="33">
        <v>0</v>
      </c>
      <c r="O237" s="33">
        <v>4318319.5999999996</v>
      </c>
      <c r="P237" s="33" t="s">
        <v>41</v>
      </c>
      <c r="Q237" s="33" t="s">
        <v>42</v>
      </c>
      <c r="W237" s="1" t="s">
        <v>43</v>
      </c>
      <c r="X237" s="1" t="s">
        <v>344</v>
      </c>
    </row>
    <row r="238" spans="1:24" x14ac:dyDescent="0.2">
      <c r="A238" s="33" t="s">
        <v>31</v>
      </c>
      <c r="B238" s="33" t="s">
        <v>1066</v>
      </c>
      <c r="C238" s="33" t="s">
        <v>1067</v>
      </c>
      <c r="D238" s="33">
        <f t="shared" si="3"/>
        <v>-1</v>
      </c>
      <c r="E238" s="33" t="s">
        <v>34</v>
      </c>
      <c r="F238" s="33" t="s">
        <v>1001</v>
      </c>
      <c r="G238" s="33" t="s">
        <v>1068</v>
      </c>
      <c r="H238" s="33" t="s">
        <v>37</v>
      </c>
      <c r="I238" s="33" t="s">
        <v>38</v>
      </c>
      <c r="J238" s="33" t="s">
        <v>1069</v>
      </c>
      <c r="K238" s="33" t="s">
        <v>1070</v>
      </c>
      <c r="L238" s="33">
        <v>79376.3</v>
      </c>
      <c r="M238" s="33">
        <v>0</v>
      </c>
      <c r="N238" s="33">
        <v>0</v>
      </c>
      <c r="O238" s="33">
        <v>497146.3</v>
      </c>
      <c r="P238" s="33" t="s">
        <v>41</v>
      </c>
      <c r="Q238" s="33" t="s">
        <v>42</v>
      </c>
      <c r="W238" s="1" t="s">
        <v>161</v>
      </c>
      <c r="X238" s="1" t="s">
        <v>501</v>
      </c>
    </row>
    <row r="239" spans="1:24" x14ac:dyDescent="0.2">
      <c r="A239" s="33" t="s">
        <v>31</v>
      </c>
      <c r="B239" s="33" t="s">
        <v>1071</v>
      </c>
      <c r="C239" s="33" t="s">
        <v>1072</v>
      </c>
      <c r="D239" s="33">
        <f t="shared" si="3"/>
        <v>-1</v>
      </c>
      <c r="E239" s="33" t="s">
        <v>34</v>
      </c>
      <c r="F239" s="33" t="s">
        <v>1001</v>
      </c>
      <c r="G239" s="33" t="s">
        <v>1073</v>
      </c>
      <c r="H239" s="33" t="s">
        <v>37</v>
      </c>
      <c r="I239" s="33" t="s">
        <v>38</v>
      </c>
      <c r="J239" s="33" t="s">
        <v>1074</v>
      </c>
      <c r="K239" s="33" t="s">
        <v>1075</v>
      </c>
      <c r="L239" s="33">
        <v>35625</v>
      </c>
      <c r="M239" s="33">
        <v>0</v>
      </c>
      <c r="N239" s="33">
        <v>0</v>
      </c>
      <c r="O239" s="33">
        <v>1943545</v>
      </c>
      <c r="P239" s="33" t="s">
        <v>41</v>
      </c>
      <c r="Q239" s="33" t="s">
        <v>42</v>
      </c>
      <c r="W239" s="1" t="s">
        <v>43</v>
      </c>
      <c r="X239" s="1" t="s">
        <v>108</v>
      </c>
    </row>
    <row r="240" spans="1:24" x14ac:dyDescent="0.2">
      <c r="A240" s="33" t="s">
        <v>31</v>
      </c>
      <c r="B240" s="33" t="s">
        <v>1076</v>
      </c>
      <c r="C240" s="33" t="s">
        <v>1077</v>
      </c>
      <c r="D240" s="33">
        <f t="shared" si="3"/>
        <v>-1</v>
      </c>
      <c r="E240" s="33" t="s">
        <v>34</v>
      </c>
      <c r="F240" s="33" t="s">
        <v>1001</v>
      </c>
      <c r="G240" s="33" t="s">
        <v>1078</v>
      </c>
      <c r="H240" s="33" t="s">
        <v>37</v>
      </c>
      <c r="I240" s="33" t="s">
        <v>38</v>
      </c>
      <c r="J240" s="33" t="s">
        <v>573</v>
      </c>
      <c r="K240" s="33" t="s">
        <v>574</v>
      </c>
      <c r="L240" s="33">
        <v>90288</v>
      </c>
      <c r="M240" s="33">
        <v>0</v>
      </c>
      <c r="N240" s="33">
        <v>0</v>
      </c>
      <c r="O240" s="33">
        <v>565488</v>
      </c>
      <c r="P240" s="33" t="s">
        <v>41</v>
      </c>
      <c r="Q240" s="33" t="s">
        <v>42</v>
      </c>
      <c r="W240" s="1" t="s">
        <v>43</v>
      </c>
      <c r="X240" s="1" t="s">
        <v>575</v>
      </c>
    </row>
    <row r="241" spans="1:24" x14ac:dyDescent="0.2">
      <c r="A241" s="33" t="s">
        <v>31</v>
      </c>
      <c r="B241" s="33" t="s">
        <v>1079</v>
      </c>
      <c r="C241" s="33" t="s">
        <v>1080</v>
      </c>
      <c r="D241" s="33">
        <f t="shared" si="3"/>
        <v>-1</v>
      </c>
      <c r="E241" s="33" t="s">
        <v>34</v>
      </c>
      <c r="F241" s="33" t="s">
        <v>1001</v>
      </c>
      <c r="G241" s="33" t="s">
        <v>1081</v>
      </c>
      <c r="H241" s="33" t="s">
        <v>37</v>
      </c>
      <c r="I241" s="33" t="s">
        <v>38</v>
      </c>
      <c r="J241" s="33" t="s">
        <v>1053</v>
      </c>
      <c r="K241" s="33" t="s">
        <v>1054</v>
      </c>
      <c r="L241" s="33">
        <v>489612.9</v>
      </c>
      <c r="M241" s="33">
        <v>0</v>
      </c>
      <c r="N241" s="33">
        <v>0</v>
      </c>
      <c r="O241" s="33">
        <v>3066522.9</v>
      </c>
      <c r="P241" s="33" t="s">
        <v>41</v>
      </c>
      <c r="Q241" s="33" t="s">
        <v>42</v>
      </c>
      <c r="W241" s="1" t="s">
        <v>43</v>
      </c>
      <c r="X241" s="1" t="s">
        <v>129</v>
      </c>
    </row>
    <row r="242" spans="1:24" x14ac:dyDescent="0.2">
      <c r="A242" s="33" t="s">
        <v>31</v>
      </c>
      <c r="B242" s="33" t="s">
        <v>1082</v>
      </c>
      <c r="C242" s="33" t="s">
        <v>1083</v>
      </c>
      <c r="D242" s="33">
        <f t="shared" si="3"/>
        <v>-1</v>
      </c>
      <c r="E242" s="33" t="s">
        <v>34</v>
      </c>
      <c r="F242" s="33" t="s">
        <v>1001</v>
      </c>
      <c r="G242" s="33" t="s">
        <v>1084</v>
      </c>
      <c r="H242" s="33" t="s">
        <v>37</v>
      </c>
      <c r="I242" s="33" t="s">
        <v>38</v>
      </c>
      <c r="J242" s="33" t="s">
        <v>1085</v>
      </c>
      <c r="K242" s="33" t="s">
        <v>1086</v>
      </c>
      <c r="L242" s="33">
        <v>474240</v>
      </c>
      <c r="M242" s="33">
        <v>0</v>
      </c>
      <c r="N242" s="33">
        <v>0</v>
      </c>
      <c r="O242" s="33">
        <v>2970240</v>
      </c>
      <c r="P242" s="33" t="s">
        <v>41</v>
      </c>
      <c r="Q242" s="33" t="s">
        <v>42</v>
      </c>
      <c r="W242" s="33" t="s">
        <v>43</v>
      </c>
      <c r="X242" s="1" t="s">
        <v>69</v>
      </c>
    </row>
    <row r="243" spans="1:24" x14ac:dyDescent="0.2">
      <c r="A243" s="33" t="s">
        <v>31</v>
      </c>
      <c r="B243" s="33" t="s">
        <v>1087</v>
      </c>
      <c r="C243" s="33" t="s">
        <v>1088</v>
      </c>
      <c r="D243" s="33">
        <f t="shared" si="3"/>
        <v>-1</v>
      </c>
      <c r="E243" s="33" t="s">
        <v>34</v>
      </c>
      <c r="F243" s="33" t="s">
        <v>1001</v>
      </c>
      <c r="G243" s="33" t="s">
        <v>1089</v>
      </c>
      <c r="H243" s="33" t="s">
        <v>37</v>
      </c>
      <c r="I243" s="33" t="s">
        <v>38</v>
      </c>
      <c r="J243" s="33" t="s">
        <v>1090</v>
      </c>
      <c r="K243" s="33" t="s">
        <v>1091</v>
      </c>
      <c r="L243" s="33">
        <v>30590</v>
      </c>
      <c r="M243" s="33">
        <v>0</v>
      </c>
      <c r="N243" s="33">
        <v>0</v>
      </c>
      <c r="O243" s="33">
        <v>191590</v>
      </c>
      <c r="P243" s="33" t="s">
        <v>41</v>
      </c>
      <c r="Q243" s="33" t="s">
        <v>42</v>
      </c>
      <c r="W243" s="1" t="s">
        <v>43</v>
      </c>
      <c r="X243" s="1" t="s">
        <v>108</v>
      </c>
    </row>
    <row r="244" spans="1:24" x14ac:dyDescent="0.2">
      <c r="A244" s="33" t="s">
        <v>31</v>
      </c>
      <c r="B244" s="33" t="s">
        <v>1092</v>
      </c>
      <c r="C244" s="33" t="s">
        <v>1093</v>
      </c>
      <c r="D244" s="33">
        <f t="shared" si="3"/>
        <v>-1</v>
      </c>
      <c r="E244" s="33" t="s">
        <v>34</v>
      </c>
      <c r="F244" s="33" t="s">
        <v>1001</v>
      </c>
      <c r="G244" s="33" t="s">
        <v>1094</v>
      </c>
      <c r="H244" s="33" t="s">
        <v>37</v>
      </c>
      <c r="I244" s="33" t="s">
        <v>38</v>
      </c>
      <c r="J244" s="33" t="s">
        <v>1095</v>
      </c>
      <c r="K244" s="33" t="s">
        <v>1096</v>
      </c>
      <c r="L244" s="33">
        <v>1326200</v>
      </c>
      <c r="M244" s="33">
        <v>0</v>
      </c>
      <c r="N244" s="33">
        <v>0</v>
      </c>
      <c r="O244" s="33">
        <v>8306200</v>
      </c>
      <c r="P244" s="33" t="s">
        <v>41</v>
      </c>
      <c r="Q244" s="33" t="s">
        <v>42</v>
      </c>
      <c r="W244" s="1" t="s">
        <v>43</v>
      </c>
      <c r="X244" s="1" t="s">
        <v>1097</v>
      </c>
    </row>
    <row r="245" spans="1:24" x14ac:dyDescent="0.2">
      <c r="A245" s="1" t="s">
        <v>31</v>
      </c>
      <c r="B245" s="1" t="s">
        <v>1098</v>
      </c>
      <c r="C245" s="1" t="s">
        <v>1099</v>
      </c>
      <c r="D245" s="1">
        <f t="shared" si="3"/>
        <v>-1</v>
      </c>
      <c r="E245" s="1" t="s">
        <v>34</v>
      </c>
      <c r="F245" s="1" t="s">
        <v>1001</v>
      </c>
      <c r="G245" s="1" t="s">
        <v>1100</v>
      </c>
      <c r="H245" s="1" t="s">
        <v>37</v>
      </c>
      <c r="I245" s="1" t="s">
        <v>38</v>
      </c>
      <c r="J245" s="1" t="s">
        <v>1101</v>
      </c>
      <c r="K245" s="1" t="s">
        <v>1102</v>
      </c>
      <c r="L245" s="1">
        <v>17708</v>
      </c>
      <c r="M245" s="1">
        <v>0</v>
      </c>
      <c r="N245" s="1">
        <v>0</v>
      </c>
      <c r="O245" s="1">
        <v>110908</v>
      </c>
      <c r="P245" s="1" t="s">
        <v>41</v>
      </c>
      <c r="Q245" s="1" t="s">
        <v>42</v>
      </c>
      <c r="V245" s="1" t="s">
        <v>43</v>
      </c>
    </row>
    <row r="246" spans="1:24" x14ac:dyDescent="0.2">
      <c r="A246" s="33" t="s">
        <v>31</v>
      </c>
      <c r="B246" s="33" t="s">
        <v>1103</v>
      </c>
      <c r="C246" s="33" t="s">
        <v>1104</v>
      </c>
      <c r="D246" s="33">
        <f t="shared" si="3"/>
        <v>-1</v>
      </c>
      <c r="E246" s="33" t="s">
        <v>34</v>
      </c>
      <c r="F246" s="33" t="s">
        <v>1001</v>
      </c>
      <c r="G246" s="33" t="s">
        <v>1105</v>
      </c>
      <c r="H246" s="33" t="s">
        <v>37</v>
      </c>
      <c r="I246" s="33" t="s">
        <v>38</v>
      </c>
      <c r="J246" s="33" t="s">
        <v>1106</v>
      </c>
      <c r="K246" s="33" t="s">
        <v>1107</v>
      </c>
      <c r="L246" s="33">
        <v>91200</v>
      </c>
      <c r="M246" s="33">
        <v>0</v>
      </c>
      <c r="N246" s="33">
        <v>0</v>
      </c>
      <c r="O246" s="33">
        <v>571200</v>
      </c>
      <c r="P246" s="33" t="s">
        <v>41</v>
      </c>
      <c r="Q246" s="33" t="s">
        <v>42</v>
      </c>
      <c r="W246" s="1" t="s">
        <v>43</v>
      </c>
      <c r="X246" s="1" t="s">
        <v>530</v>
      </c>
    </row>
    <row r="247" spans="1:24" x14ac:dyDescent="0.2">
      <c r="A247" s="33" t="s">
        <v>31</v>
      </c>
      <c r="B247" s="33" t="s">
        <v>1108</v>
      </c>
      <c r="C247" s="33" t="s">
        <v>1109</v>
      </c>
      <c r="D247" s="33">
        <f t="shared" si="3"/>
        <v>-1</v>
      </c>
      <c r="E247" s="33" t="s">
        <v>34</v>
      </c>
      <c r="F247" s="33" t="s">
        <v>1001</v>
      </c>
      <c r="G247" s="33" t="s">
        <v>1110</v>
      </c>
      <c r="H247" s="33" t="s">
        <v>37</v>
      </c>
      <c r="I247" s="33" t="s">
        <v>38</v>
      </c>
      <c r="J247" s="33" t="s">
        <v>1111</v>
      </c>
      <c r="K247" s="33" t="s">
        <v>1112</v>
      </c>
      <c r="L247" s="33">
        <v>17100</v>
      </c>
      <c r="M247" s="33">
        <v>0</v>
      </c>
      <c r="N247" s="33">
        <v>0</v>
      </c>
      <c r="O247" s="33">
        <v>107100</v>
      </c>
      <c r="P247" s="33" t="s">
        <v>41</v>
      </c>
      <c r="Q247" s="33" t="s">
        <v>42</v>
      </c>
      <c r="W247" s="1" t="s">
        <v>43</v>
      </c>
      <c r="X247" s="1" t="s">
        <v>1097</v>
      </c>
    </row>
    <row r="248" spans="1:24" x14ac:dyDescent="0.2">
      <c r="A248" s="29" t="s">
        <v>31</v>
      </c>
      <c r="B248" s="29" t="s">
        <v>1113</v>
      </c>
      <c r="C248" s="29" t="s">
        <v>1114</v>
      </c>
      <c r="D248" s="29">
        <f t="shared" si="3"/>
        <v>-1</v>
      </c>
      <c r="E248" s="29" t="s">
        <v>34</v>
      </c>
      <c r="F248" s="29" t="s">
        <v>1001</v>
      </c>
      <c r="G248" s="29" t="s">
        <v>1115</v>
      </c>
      <c r="H248" s="29" t="s">
        <v>37</v>
      </c>
      <c r="I248" s="29" t="s">
        <v>38</v>
      </c>
      <c r="J248" s="29" t="s">
        <v>1116</v>
      </c>
      <c r="K248" s="29" t="s">
        <v>1117</v>
      </c>
      <c r="L248" s="29">
        <v>75821.399999999994</v>
      </c>
      <c r="M248" s="29">
        <v>0</v>
      </c>
      <c r="N248" s="29">
        <v>0</v>
      </c>
      <c r="O248" s="29">
        <v>474881.4</v>
      </c>
      <c r="P248" s="29" t="s">
        <v>41</v>
      </c>
      <c r="Q248" s="29" t="s">
        <v>42</v>
      </c>
      <c r="T248" s="1" t="s">
        <v>161</v>
      </c>
    </row>
    <row r="249" spans="1:24" x14ac:dyDescent="0.2">
      <c r="A249" s="29" t="s">
        <v>31</v>
      </c>
      <c r="B249" s="29" t="s">
        <v>1118</v>
      </c>
      <c r="C249" s="29" t="s">
        <v>1119</v>
      </c>
      <c r="D249" s="29">
        <f t="shared" si="3"/>
        <v>-1</v>
      </c>
      <c r="E249" s="29" t="s">
        <v>34</v>
      </c>
      <c r="F249" s="29" t="s">
        <v>1001</v>
      </c>
      <c r="G249" s="29" t="s">
        <v>1120</v>
      </c>
      <c r="H249" s="29" t="s">
        <v>37</v>
      </c>
      <c r="I249" s="29" t="s">
        <v>38</v>
      </c>
      <c r="J249" s="29" t="s">
        <v>1116</v>
      </c>
      <c r="K249" s="29" t="s">
        <v>1117</v>
      </c>
      <c r="L249" s="29">
        <v>10792</v>
      </c>
      <c r="M249" s="29">
        <v>0</v>
      </c>
      <c r="N249" s="29">
        <v>0</v>
      </c>
      <c r="O249" s="29">
        <v>67592</v>
      </c>
      <c r="P249" s="29" t="s">
        <v>41</v>
      </c>
      <c r="Q249" s="29" t="s">
        <v>42</v>
      </c>
      <c r="T249" s="1" t="s">
        <v>161</v>
      </c>
    </row>
    <row r="250" spans="1:24" x14ac:dyDescent="0.2">
      <c r="A250" s="29" t="s">
        <v>31</v>
      </c>
      <c r="B250" s="29" t="s">
        <v>1121</v>
      </c>
      <c r="C250" s="29" t="s">
        <v>1122</v>
      </c>
      <c r="D250" s="29">
        <f t="shared" si="3"/>
        <v>-1</v>
      </c>
      <c r="E250" s="29" t="s">
        <v>34</v>
      </c>
      <c r="F250" s="29" t="s">
        <v>1001</v>
      </c>
      <c r="G250" s="29" t="s">
        <v>1123</v>
      </c>
      <c r="H250" s="29" t="s">
        <v>37</v>
      </c>
      <c r="I250" s="29" t="s">
        <v>38</v>
      </c>
      <c r="J250" s="29" t="s">
        <v>1124</v>
      </c>
      <c r="K250" s="29" t="s">
        <v>1125</v>
      </c>
      <c r="L250" s="29">
        <v>1505837.78</v>
      </c>
      <c r="M250" s="29">
        <v>0</v>
      </c>
      <c r="N250" s="29">
        <v>0</v>
      </c>
      <c r="O250" s="29">
        <v>9431299.7799999993</v>
      </c>
      <c r="P250" s="29" t="s">
        <v>41</v>
      </c>
      <c r="Q250" s="29" t="s">
        <v>42</v>
      </c>
      <c r="T250" s="1" t="s">
        <v>43</v>
      </c>
    </row>
    <row r="251" spans="1:24" x14ac:dyDescent="0.2">
      <c r="A251" s="29" t="s">
        <v>31</v>
      </c>
      <c r="B251" s="29" t="s">
        <v>1126</v>
      </c>
      <c r="C251" s="29" t="s">
        <v>1127</v>
      </c>
      <c r="D251" s="29">
        <f t="shared" si="3"/>
        <v>-1</v>
      </c>
      <c r="E251" s="29" t="s">
        <v>34</v>
      </c>
      <c r="F251" s="29" t="s">
        <v>1001</v>
      </c>
      <c r="G251" s="29" t="s">
        <v>1128</v>
      </c>
      <c r="H251" s="29" t="s">
        <v>37</v>
      </c>
      <c r="I251" s="29" t="s">
        <v>38</v>
      </c>
      <c r="J251" s="29" t="s">
        <v>1124</v>
      </c>
      <c r="K251" s="29" t="s">
        <v>1125</v>
      </c>
      <c r="L251" s="29">
        <v>1505837.78</v>
      </c>
      <c r="M251" s="29">
        <v>0</v>
      </c>
      <c r="N251" s="29">
        <v>0</v>
      </c>
      <c r="O251" s="29">
        <v>9431299.7799999993</v>
      </c>
      <c r="P251" s="29" t="s">
        <v>41</v>
      </c>
      <c r="Q251" s="29" t="s">
        <v>42</v>
      </c>
      <c r="T251" s="1" t="s">
        <v>43</v>
      </c>
    </row>
    <row r="252" spans="1:24" x14ac:dyDescent="0.2">
      <c r="A252" s="29" t="s">
        <v>31</v>
      </c>
      <c r="B252" s="29" t="s">
        <v>1129</v>
      </c>
      <c r="C252" s="29" t="s">
        <v>1130</v>
      </c>
      <c r="D252" s="29">
        <f t="shared" si="3"/>
        <v>-1</v>
      </c>
      <c r="E252" s="29" t="s">
        <v>34</v>
      </c>
      <c r="F252" s="29" t="s">
        <v>1001</v>
      </c>
      <c r="G252" s="29" t="s">
        <v>1131</v>
      </c>
      <c r="H252" s="29" t="s">
        <v>37</v>
      </c>
      <c r="I252" s="29" t="s">
        <v>38</v>
      </c>
      <c r="J252" s="29" t="s">
        <v>1124</v>
      </c>
      <c r="K252" s="29" t="s">
        <v>1125</v>
      </c>
      <c r="L252" s="29">
        <v>1505837.78</v>
      </c>
      <c r="M252" s="29">
        <v>0</v>
      </c>
      <c r="N252" s="29">
        <v>0</v>
      </c>
      <c r="O252" s="29">
        <v>9431299.7799999993</v>
      </c>
      <c r="P252" s="29" t="s">
        <v>41</v>
      </c>
      <c r="Q252" s="29" t="s">
        <v>42</v>
      </c>
      <c r="T252" s="1" t="s">
        <v>43</v>
      </c>
    </row>
    <row r="253" spans="1:24" x14ac:dyDescent="0.2">
      <c r="A253" s="29" t="s">
        <v>31</v>
      </c>
      <c r="B253" s="29" t="s">
        <v>1132</v>
      </c>
      <c r="C253" s="29" t="s">
        <v>1133</v>
      </c>
      <c r="D253" s="29">
        <f t="shared" si="3"/>
        <v>-1</v>
      </c>
      <c r="E253" s="29" t="s">
        <v>34</v>
      </c>
      <c r="F253" s="29" t="s">
        <v>1001</v>
      </c>
      <c r="G253" s="29" t="s">
        <v>1134</v>
      </c>
      <c r="H253" s="29" t="s">
        <v>37</v>
      </c>
      <c r="I253" s="29" t="s">
        <v>38</v>
      </c>
      <c r="J253" s="29" t="s">
        <v>1124</v>
      </c>
      <c r="K253" s="29" t="s">
        <v>1125</v>
      </c>
      <c r="L253" s="29">
        <v>1505837.78</v>
      </c>
      <c r="M253" s="29">
        <v>0</v>
      </c>
      <c r="N253" s="29">
        <v>0</v>
      </c>
      <c r="O253" s="29">
        <v>9431299.7799999993</v>
      </c>
      <c r="P253" s="29" t="s">
        <v>41</v>
      </c>
      <c r="Q253" s="29" t="s">
        <v>42</v>
      </c>
      <c r="T253" s="1" t="s">
        <v>43</v>
      </c>
    </row>
    <row r="254" spans="1:24" x14ac:dyDescent="0.2">
      <c r="A254" s="29" t="s">
        <v>31</v>
      </c>
      <c r="B254" s="29" t="s">
        <v>1135</v>
      </c>
      <c r="C254" s="29" t="s">
        <v>1136</v>
      </c>
      <c r="D254" s="29">
        <f t="shared" si="3"/>
        <v>-1</v>
      </c>
      <c r="E254" s="29" t="s">
        <v>34</v>
      </c>
      <c r="F254" s="29" t="s">
        <v>1001</v>
      </c>
      <c r="G254" s="29" t="s">
        <v>1137</v>
      </c>
      <c r="H254" s="29" t="s">
        <v>37</v>
      </c>
      <c r="I254" s="29" t="s">
        <v>38</v>
      </c>
      <c r="J254" s="29" t="s">
        <v>1138</v>
      </c>
      <c r="K254" s="29" t="s">
        <v>1139</v>
      </c>
      <c r="L254" s="29">
        <v>172330</v>
      </c>
      <c r="M254" s="29">
        <v>0</v>
      </c>
      <c r="N254" s="29">
        <v>0</v>
      </c>
      <c r="O254" s="29">
        <v>1079330</v>
      </c>
      <c r="P254" s="29" t="s">
        <v>41</v>
      </c>
      <c r="Q254" s="29" t="s">
        <v>42</v>
      </c>
      <c r="T254" s="1" t="s">
        <v>43</v>
      </c>
    </row>
    <row r="255" spans="1:24" x14ac:dyDescent="0.2">
      <c r="A255" s="30" t="s">
        <v>31</v>
      </c>
      <c r="B255" s="30" t="s">
        <v>1140</v>
      </c>
      <c r="C255" s="30" t="s">
        <v>1141</v>
      </c>
      <c r="D255" s="30">
        <f t="shared" si="3"/>
        <v>-1</v>
      </c>
      <c r="E255" s="30" t="s">
        <v>34</v>
      </c>
      <c r="F255" s="30" t="s">
        <v>1001</v>
      </c>
      <c r="G255" s="30" t="s">
        <v>1142</v>
      </c>
      <c r="H255" s="30" t="s">
        <v>37</v>
      </c>
      <c r="I255" s="30" t="s">
        <v>38</v>
      </c>
      <c r="J255" s="30" t="s">
        <v>1143</v>
      </c>
      <c r="K255" s="30" t="s">
        <v>1144</v>
      </c>
      <c r="L255" s="30">
        <v>140128.04</v>
      </c>
      <c r="M255" s="30">
        <v>0</v>
      </c>
      <c r="N255" s="30">
        <v>0</v>
      </c>
      <c r="O255" s="30">
        <v>877644.04</v>
      </c>
      <c r="P255" s="30" t="s">
        <v>41</v>
      </c>
      <c r="Q255" s="30" t="s">
        <v>42</v>
      </c>
      <c r="S255" s="1" t="s">
        <v>43</v>
      </c>
    </row>
    <row r="256" spans="1:24" x14ac:dyDescent="0.2">
      <c r="A256" s="33" t="s">
        <v>31</v>
      </c>
      <c r="B256" s="33" t="s">
        <v>1145</v>
      </c>
      <c r="C256" s="33" t="s">
        <v>1146</v>
      </c>
      <c r="D256" s="33">
        <f t="shared" si="3"/>
        <v>-1</v>
      </c>
      <c r="E256" s="33" t="s">
        <v>34</v>
      </c>
      <c r="F256" s="33" t="s">
        <v>1001</v>
      </c>
      <c r="G256" s="33" t="s">
        <v>1147</v>
      </c>
      <c r="H256" s="33" t="s">
        <v>37</v>
      </c>
      <c r="I256" s="33" t="s">
        <v>38</v>
      </c>
      <c r="J256" s="33" t="s">
        <v>567</v>
      </c>
      <c r="K256" s="33" t="s">
        <v>568</v>
      </c>
      <c r="L256" s="33">
        <v>37528.800000000003</v>
      </c>
      <c r="M256" s="33">
        <v>0</v>
      </c>
      <c r="N256" s="33">
        <v>0</v>
      </c>
      <c r="O256" s="33">
        <v>254979.8</v>
      </c>
      <c r="P256" s="33" t="s">
        <v>41</v>
      </c>
      <c r="Q256" s="33" t="s">
        <v>42</v>
      </c>
      <c r="W256" s="1" t="s">
        <v>43</v>
      </c>
      <c r="X256" s="1" t="s">
        <v>569</v>
      </c>
    </row>
    <row r="257" spans="1:24" x14ac:dyDescent="0.2">
      <c r="A257" s="33" t="s">
        <v>31</v>
      </c>
      <c r="B257" s="33" t="s">
        <v>1148</v>
      </c>
      <c r="C257" s="33" t="s">
        <v>1149</v>
      </c>
      <c r="D257" s="33">
        <f t="shared" si="3"/>
        <v>-1</v>
      </c>
      <c r="E257" s="33" t="s">
        <v>34</v>
      </c>
      <c r="F257" s="33" t="s">
        <v>1001</v>
      </c>
      <c r="G257" s="33" t="s">
        <v>1150</v>
      </c>
      <c r="H257" s="33" t="s">
        <v>37</v>
      </c>
      <c r="I257" s="33" t="s">
        <v>38</v>
      </c>
      <c r="J257" s="33" t="s">
        <v>567</v>
      </c>
      <c r="K257" s="33" t="s">
        <v>568</v>
      </c>
      <c r="L257" s="33">
        <v>177971.86</v>
      </c>
      <c r="M257" s="33">
        <v>0</v>
      </c>
      <c r="N257" s="33">
        <v>0</v>
      </c>
      <c r="O257" s="33">
        <v>1142229.8600000001</v>
      </c>
      <c r="P257" s="33" t="s">
        <v>41</v>
      </c>
      <c r="Q257" s="33" t="s">
        <v>42</v>
      </c>
      <c r="W257" s="1" t="s">
        <v>43</v>
      </c>
      <c r="X257" s="1" t="s">
        <v>569</v>
      </c>
    </row>
    <row r="258" spans="1:24" x14ac:dyDescent="0.2">
      <c r="A258" s="33" t="s">
        <v>31</v>
      </c>
      <c r="B258" s="33" t="s">
        <v>1151</v>
      </c>
      <c r="C258" s="33" t="s">
        <v>1152</v>
      </c>
      <c r="D258" s="33">
        <f t="shared" si="3"/>
        <v>-1</v>
      </c>
      <c r="E258" s="33" t="s">
        <v>34</v>
      </c>
      <c r="F258" s="33" t="s">
        <v>1001</v>
      </c>
      <c r="G258" s="33" t="s">
        <v>1153</v>
      </c>
      <c r="H258" s="33" t="s">
        <v>37</v>
      </c>
      <c r="I258" s="33" t="s">
        <v>38</v>
      </c>
      <c r="J258" s="33" t="s">
        <v>567</v>
      </c>
      <c r="K258" s="33" t="s">
        <v>568</v>
      </c>
      <c r="L258" s="33">
        <v>26710.2</v>
      </c>
      <c r="M258" s="33">
        <v>0</v>
      </c>
      <c r="N258" s="33">
        <v>0</v>
      </c>
      <c r="O258" s="33">
        <v>167290.20000000001</v>
      </c>
      <c r="P258" s="33" t="s">
        <v>41</v>
      </c>
      <c r="Q258" s="33" t="s">
        <v>42</v>
      </c>
      <c r="W258" s="1" t="s">
        <v>43</v>
      </c>
      <c r="X258" s="1" t="s">
        <v>569</v>
      </c>
    </row>
    <row r="259" spans="1:24" x14ac:dyDescent="0.2">
      <c r="A259" s="33" t="s">
        <v>31</v>
      </c>
      <c r="B259" s="33" t="s">
        <v>1154</v>
      </c>
      <c r="C259" s="33" t="s">
        <v>1155</v>
      </c>
      <c r="D259" s="33">
        <f t="shared" si="3"/>
        <v>-1</v>
      </c>
      <c r="E259" s="33" t="s">
        <v>34</v>
      </c>
      <c r="F259" s="33" t="s">
        <v>1001</v>
      </c>
      <c r="G259" s="33" t="s">
        <v>1156</v>
      </c>
      <c r="H259" s="33" t="s">
        <v>37</v>
      </c>
      <c r="I259" s="33" t="s">
        <v>38</v>
      </c>
      <c r="J259" s="33" t="s">
        <v>567</v>
      </c>
      <c r="K259" s="33" t="s">
        <v>568</v>
      </c>
      <c r="L259" s="33">
        <v>36955.370000000003</v>
      </c>
      <c r="M259" s="33">
        <v>0</v>
      </c>
      <c r="N259" s="33">
        <v>0</v>
      </c>
      <c r="O259" s="33">
        <v>236970.37</v>
      </c>
      <c r="P259" s="33" t="s">
        <v>41</v>
      </c>
      <c r="Q259" s="33" t="s">
        <v>42</v>
      </c>
      <c r="W259" s="1" t="s">
        <v>43</v>
      </c>
      <c r="X259" s="1" t="s">
        <v>569</v>
      </c>
    </row>
    <row r="260" spans="1:24" x14ac:dyDescent="0.2">
      <c r="A260" s="33" t="s">
        <v>31</v>
      </c>
      <c r="B260" s="33" t="s">
        <v>1157</v>
      </c>
      <c r="C260" s="33" t="s">
        <v>1158</v>
      </c>
      <c r="D260" s="33">
        <f t="shared" si="3"/>
        <v>-1</v>
      </c>
      <c r="E260" s="33" t="s">
        <v>34</v>
      </c>
      <c r="F260" s="33" t="s">
        <v>1001</v>
      </c>
      <c r="G260" s="33" t="s">
        <v>1159</v>
      </c>
      <c r="H260" s="33" t="s">
        <v>37</v>
      </c>
      <c r="I260" s="33" t="s">
        <v>38</v>
      </c>
      <c r="J260" s="33" t="s">
        <v>1160</v>
      </c>
      <c r="K260" s="33" t="s">
        <v>1161</v>
      </c>
      <c r="L260" s="33">
        <v>909139.74</v>
      </c>
      <c r="M260" s="33">
        <v>0</v>
      </c>
      <c r="N260" s="33">
        <v>0</v>
      </c>
      <c r="O260" s="33">
        <v>5694085.7400000002</v>
      </c>
      <c r="P260" s="33" t="s">
        <v>41</v>
      </c>
      <c r="Q260" s="33" t="s">
        <v>42</v>
      </c>
      <c r="W260" s="1" t="s">
        <v>43</v>
      </c>
      <c r="X260" s="1" t="s">
        <v>417</v>
      </c>
    </row>
    <row r="261" spans="1:24" x14ac:dyDescent="0.2">
      <c r="A261" s="30" t="s">
        <v>31</v>
      </c>
      <c r="B261" s="30" t="s">
        <v>1162</v>
      </c>
      <c r="C261" s="30" t="s">
        <v>1163</v>
      </c>
      <c r="D261" s="30">
        <f t="shared" si="3"/>
        <v>-1</v>
      </c>
      <c r="E261" s="30" t="s">
        <v>34</v>
      </c>
      <c r="F261" s="30" t="s">
        <v>1001</v>
      </c>
      <c r="G261" s="30" t="s">
        <v>1164</v>
      </c>
      <c r="H261" s="30" t="s">
        <v>37</v>
      </c>
      <c r="I261" s="30" t="s">
        <v>38</v>
      </c>
      <c r="J261" s="30" t="s">
        <v>1165</v>
      </c>
      <c r="K261" s="30" t="s">
        <v>1166</v>
      </c>
      <c r="L261" s="30">
        <v>321461</v>
      </c>
      <c r="M261" s="30">
        <v>0</v>
      </c>
      <c r="N261" s="30">
        <v>0</v>
      </c>
      <c r="O261" s="30">
        <v>2013361</v>
      </c>
      <c r="P261" s="30" t="s">
        <v>41</v>
      </c>
      <c r="Q261" s="30" t="s">
        <v>42</v>
      </c>
      <c r="S261" s="1" t="s">
        <v>43</v>
      </c>
    </row>
    <row r="262" spans="1:24" x14ac:dyDescent="0.2">
      <c r="A262" s="30" t="s">
        <v>31</v>
      </c>
      <c r="B262" s="30" t="s">
        <v>1167</v>
      </c>
      <c r="C262" s="30" t="s">
        <v>1168</v>
      </c>
      <c r="D262" s="30">
        <f t="shared" si="3"/>
        <v>-1</v>
      </c>
      <c r="E262" s="30" t="s">
        <v>34</v>
      </c>
      <c r="F262" s="30" t="s">
        <v>1001</v>
      </c>
      <c r="G262" s="30" t="s">
        <v>1169</v>
      </c>
      <c r="H262" s="30" t="s">
        <v>37</v>
      </c>
      <c r="I262" s="30" t="s">
        <v>38</v>
      </c>
      <c r="J262" s="30" t="s">
        <v>1170</v>
      </c>
      <c r="K262" s="30" t="s">
        <v>1171</v>
      </c>
      <c r="L262" s="30">
        <v>54080</v>
      </c>
      <c r="M262" s="30">
        <v>0</v>
      </c>
      <c r="N262" s="30">
        <v>0</v>
      </c>
      <c r="O262" s="30">
        <v>418180</v>
      </c>
      <c r="P262" s="30" t="s">
        <v>41</v>
      </c>
      <c r="Q262" s="30" t="s">
        <v>42</v>
      </c>
      <c r="S262" s="1" t="s">
        <v>161</v>
      </c>
    </row>
    <row r="263" spans="1:24" x14ac:dyDescent="0.2">
      <c r="A263" s="33" t="s">
        <v>31</v>
      </c>
      <c r="B263" s="33" t="s">
        <v>1172</v>
      </c>
      <c r="C263" s="33" t="s">
        <v>1173</v>
      </c>
      <c r="D263" s="33">
        <f t="shared" si="3"/>
        <v>-1</v>
      </c>
      <c r="E263" s="33" t="s">
        <v>34</v>
      </c>
      <c r="F263" s="33" t="s">
        <v>1001</v>
      </c>
      <c r="G263" s="33" t="s">
        <v>1174</v>
      </c>
      <c r="H263" s="33" t="s">
        <v>37</v>
      </c>
      <c r="I263" s="33" t="s">
        <v>38</v>
      </c>
      <c r="J263" s="33" t="s">
        <v>1175</v>
      </c>
      <c r="K263" s="33" t="s">
        <v>1176</v>
      </c>
      <c r="L263" s="33">
        <v>114302.48</v>
      </c>
      <c r="M263" s="33">
        <v>0</v>
      </c>
      <c r="N263" s="33">
        <v>0</v>
      </c>
      <c r="O263" s="33">
        <v>715894.48</v>
      </c>
      <c r="P263" s="33" t="s">
        <v>41</v>
      </c>
      <c r="Q263" s="33" t="s">
        <v>42</v>
      </c>
      <c r="W263" s="33" t="s">
        <v>161</v>
      </c>
      <c r="X263" s="1" t="s">
        <v>694</v>
      </c>
    </row>
    <row r="264" spans="1:24" x14ac:dyDescent="0.2">
      <c r="A264" s="33" t="s">
        <v>31</v>
      </c>
      <c r="B264" s="33" t="s">
        <v>1177</v>
      </c>
      <c r="C264" s="33" t="s">
        <v>1178</v>
      </c>
      <c r="D264" s="33">
        <f t="shared" si="3"/>
        <v>-1</v>
      </c>
      <c r="E264" s="33" t="s">
        <v>34</v>
      </c>
      <c r="F264" s="33" t="s">
        <v>1001</v>
      </c>
      <c r="G264" s="33" t="s">
        <v>1179</v>
      </c>
      <c r="H264" s="33" t="s">
        <v>37</v>
      </c>
      <c r="I264" s="33" t="s">
        <v>38</v>
      </c>
      <c r="J264" s="33" t="s">
        <v>1180</v>
      </c>
      <c r="K264" s="33" t="s">
        <v>1181</v>
      </c>
      <c r="L264" s="33">
        <v>117876</v>
      </c>
      <c r="M264" s="33">
        <v>0</v>
      </c>
      <c r="N264" s="33">
        <v>0</v>
      </c>
      <c r="O264" s="33">
        <v>738276</v>
      </c>
      <c r="P264" s="33" t="s">
        <v>41</v>
      </c>
      <c r="Q264" s="33" t="s">
        <v>42</v>
      </c>
      <c r="W264" s="1" t="s">
        <v>43</v>
      </c>
      <c r="X264" s="1" t="s">
        <v>108</v>
      </c>
    </row>
    <row r="265" spans="1:24" x14ac:dyDescent="0.2">
      <c r="A265" s="28" t="s">
        <v>31</v>
      </c>
      <c r="B265" s="28" t="s">
        <v>1182</v>
      </c>
      <c r="C265" s="28" t="s">
        <v>1183</v>
      </c>
      <c r="D265" s="28">
        <f t="shared" si="3"/>
        <v>-1</v>
      </c>
      <c r="E265" s="28" t="s">
        <v>34</v>
      </c>
      <c r="F265" s="28" t="s">
        <v>1001</v>
      </c>
      <c r="G265" s="28" t="s">
        <v>1184</v>
      </c>
      <c r="H265" s="28" t="s">
        <v>37</v>
      </c>
      <c r="I265" s="28" t="s">
        <v>38</v>
      </c>
      <c r="J265" s="28" t="s">
        <v>1165</v>
      </c>
      <c r="K265" s="28" t="s">
        <v>1166</v>
      </c>
      <c r="L265" s="28">
        <v>63742.559999999998</v>
      </c>
      <c r="M265" s="28">
        <v>0</v>
      </c>
      <c r="N265" s="28">
        <v>0</v>
      </c>
      <c r="O265" s="28">
        <v>2543726.61</v>
      </c>
      <c r="P265" s="28" t="s">
        <v>41</v>
      </c>
      <c r="Q265" s="28" t="s">
        <v>42</v>
      </c>
      <c r="R265" s="1" t="s">
        <v>43</v>
      </c>
    </row>
    <row r="266" spans="1:24" x14ac:dyDescent="0.2">
      <c r="A266" s="33" t="s">
        <v>31</v>
      </c>
      <c r="B266" s="33" t="s">
        <v>1185</v>
      </c>
      <c r="C266" s="33" t="s">
        <v>1186</v>
      </c>
      <c r="D266" s="33">
        <f t="shared" si="3"/>
        <v>-1</v>
      </c>
      <c r="E266" s="33" t="s">
        <v>34</v>
      </c>
      <c r="F266" s="33" t="s">
        <v>1001</v>
      </c>
      <c r="G266" s="33" t="s">
        <v>1187</v>
      </c>
      <c r="H266" s="33" t="s">
        <v>37</v>
      </c>
      <c r="I266" s="33" t="s">
        <v>38</v>
      </c>
      <c r="J266" s="33" t="s">
        <v>1188</v>
      </c>
      <c r="K266" s="33" t="s">
        <v>1189</v>
      </c>
      <c r="L266" s="33">
        <v>15181</v>
      </c>
      <c r="M266" s="33">
        <v>0</v>
      </c>
      <c r="N266" s="33">
        <v>0</v>
      </c>
      <c r="O266" s="33">
        <v>95081</v>
      </c>
      <c r="P266" s="33" t="s">
        <v>41</v>
      </c>
      <c r="Q266" s="33" t="s">
        <v>42</v>
      </c>
      <c r="W266" s="33" t="s">
        <v>43</v>
      </c>
      <c r="X266" s="1" t="s">
        <v>1190</v>
      </c>
    </row>
    <row r="267" spans="1:24" x14ac:dyDescent="0.2">
      <c r="A267" s="33" t="s">
        <v>31</v>
      </c>
      <c r="B267" s="33" t="s">
        <v>1191</v>
      </c>
      <c r="C267" s="33" t="s">
        <v>1192</v>
      </c>
      <c r="D267" s="33">
        <f t="shared" ref="D267:D330" si="4">C267-C268</f>
        <v>-1</v>
      </c>
      <c r="E267" s="33" t="s">
        <v>34</v>
      </c>
      <c r="F267" s="33" t="s">
        <v>1001</v>
      </c>
      <c r="G267" s="33" t="s">
        <v>1193</v>
      </c>
      <c r="H267" s="33" t="s">
        <v>37</v>
      </c>
      <c r="I267" s="33" t="s">
        <v>38</v>
      </c>
      <c r="J267" s="33" t="s">
        <v>1194</v>
      </c>
      <c r="K267" s="33" t="s">
        <v>1195</v>
      </c>
      <c r="L267" s="33">
        <v>6329.28</v>
      </c>
      <c r="M267" s="33">
        <v>0</v>
      </c>
      <c r="N267" s="33">
        <v>0</v>
      </c>
      <c r="O267" s="33">
        <v>39641.279999999999</v>
      </c>
      <c r="P267" s="33" t="s">
        <v>41</v>
      </c>
      <c r="Q267" s="33" t="s">
        <v>42</v>
      </c>
      <c r="W267" s="33" t="s">
        <v>161</v>
      </c>
      <c r="X267" s="1" t="s">
        <v>439</v>
      </c>
    </row>
    <row r="268" spans="1:24" x14ac:dyDescent="0.2">
      <c r="A268" s="33" t="s">
        <v>31</v>
      </c>
      <c r="B268" s="33" t="s">
        <v>1196</v>
      </c>
      <c r="C268" s="33" t="s">
        <v>1197</v>
      </c>
      <c r="D268" s="33">
        <f t="shared" si="4"/>
        <v>-1</v>
      </c>
      <c r="E268" s="33" t="s">
        <v>34</v>
      </c>
      <c r="F268" s="33" t="s">
        <v>1001</v>
      </c>
      <c r="G268" s="33" t="s">
        <v>1198</v>
      </c>
      <c r="H268" s="33" t="s">
        <v>37</v>
      </c>
      <c r="I268" s="33" t="s">
        <v>38</v>
      </c>
      <c r="J268" s="33" t="s">
        <v>1199</v>
      </c>
      <c r="K268" s="33" t="s">
        <v>1200</v>
      </c>
      <c r="L268" s="33">
        <v>10487.48</v>
      </c>
      <c r="M268" s="33">
        <v>0</v>
      </c>
      <c r="N268" s="33">
        <v>0</v>
      </c>
      <c r="O268" s="33">
        <v>111283.48</v>
      </c>
      <c r="P268" s="33" t="s">
        <v>41</v>
      </c>
      <c r="Q268" s="33" t="s">
        <v>42</v>
      </c>
      <c r="W268" s="33" t="s">
        <v>161</v>
      </c>
      <c r="X268" s="1" t="s">
        <v>439</v>
      </c>
    </row>
    <row r="269" spans="1:24" x14ac:dyDescent="0.2">
      <c r="A269" s="1" t="s">
        <v>31</v>
      </c>
      <c r="B269" s="1" t="s">
        <v>1201</v>
      </c>
      <c r="C269" s="1" t="s">
        <v>1202</v>
      </c>
      <c r="D269" s="1">
        <f t="shared" si="4"/>
        <v>-1</v>
      </c>
      <c r="E269" s="1" t="s">
        <v>34</v>
      </c>
      <c r="F269" s="1" t="s">
        <v>1001</v>
      </c>
      <c r="G269" s="1" t="s">
        <v>1203</v>
      </c>
      <c r="H269" s="1" t="s">
        <v>37</v>
      </c>
      <c r="I269" s="1" t="s">
        <v>38</v>
      </c>
      <c r="J269" s="1" t="s">
        <v>1204</v>
      </c>
      <c r="K269" s="1" t="s">
        <v>1205</v>
      </c>
      <c r="L269" s="1">
        <v>18506</v>
      </c>
      <c r="M269" s="1">
        <v>0</v>
      </c>
      <c r="N269" s="1">
        <v>0</v>
      </c>
      <c r="O269" s="1">
        <v>115906</v>
      </c>
      <c r="P269" s="1" t="s">
        <v>41</v>
      </c>
      <c r="Q269" s="1" t="s">
        <v>42</v>
      </c>
      <c r="V269" s="1" t="s">
        <v>43</v>
      </c>
    </row>
    <row r="270" spans="1:24" x14ac:dyDescent="0.2">
      <c r="A270" s="33" t="s">
        <v>31</v>
      </c>
      <c r="B270" s="33" t="s">
        <v>1206</v>
      </c>
      <c r="C270" s="33" t="s">
        <v>1207</v>
      </c>
      <c r="D270" s="33">
        <f t="shared" si="4"/>
        <v>-1</v>
      </c>
      <c r="E270" s="33" t="s">
        <v>34</v>
      </c>
      <c r="F270" s="33" t="s">
        <v>1001</v>
      </c>
      <c r="G270" s="33" t="s">
        <v>1208</v>
      </c>
      <c r="H270" s="33" t="s">
        <v>37</v>
      </c>
      <c r="I270" s="33" t="s">
        <v>38</v>
      </c>
      <c r="J270" s="33" t="s">
        <v>1209</v>
      </c>
      <c r="K270" s="33" t="s">
        <v>1210</v>
      </c>
      <c r="L270" s="33">
        <v>0</v>
      </c>
      <c r="M270" s="33">
        <v>0</v>
      </c>
      <c r="N270" s="33">
        <v>0</v>
      </c>
      <c r="O270" s="33">
        <v>3258971</v>
      </c>
      <c r="P270" s="33" t="s">
        <v>41</v>
      </c>
      <c r="Q270" s="33" t="s">
        <v>42</v>
      </c>
      <c r="W270" s="1" t="s">
        <v>43</v>
      </c>
      <c r="X270" s="1" t="s">
        <v>195</v>
      </c>
    </row>
    <row r="271" spans="1:24" x14ac:dyDescent="0.2">
      <c r="A271" s="33" t="s">
        <v>31</v>
      </c>
      <c r="B271" s="33" t="s">
        <v>1211</v>
      </c>
      <c r="C271" s="33" t="s">
        <v>1212</v>
      </c>
      <c r="D271" s="33">
        <f t="shared" si="4"/>
        <v>-1</v>
      </c>
      <c r="E271" s="33" t="s">
        <v>34</v>
      </c>
      <c r="F271" s="33" t="s">
        <v>1001</v>
      </c>
      <c r="G271" s="33" t="s">
        <v>1213</v>
      </c>
      <c r="H271" s="33" t="s">
        <v>37</v>
      </c>
      <c r="I271" s="33" t="s">
        <v>38</v>
      </c>
      <c r="J271" s="33" t="s">
        <v>642</v>
      </c>
      <c r="K271" s="33" t="s">
        <v>643</v>
      </c>
      <c r="L271" s="33">
        <v>583300</v>
      </c>
      <c r="M271" s="33">
        <v>0</v>
      </c>
      <c r="N271" s="33">
        <v>0</v>
      </c>
      <c r="O271" s="33">
        <v>3653300</v>
      </c>
      <c r="P271" s="33" t="s">
        <v>41</v>
      </c>
      <c r="Q271" s="33" t="s">
        <v>42</v>
      </c>
      <c r="W271" s="33" t="s">
        <v>161</v>
      </c>
      <c r="X271" s="1" t="s">
        <v>1214</v>
      </c>
    </row>
    <row r="272" spans="1:24" x14ac:dyDescent="0.2">
      <c r="A272" s="33" t="s">
        <v>31</v>
      </c>
      <c r="B272" s="33" t="s">
        <v>1215</v>
      </c>
      <c r="C272" s="33" t="s">
        <v>1216</v>
      </c>
      <c r="D272" s="33">
        <f t="shared" si="4"/>
        <v>-1</v>
      </c>
      <c r="E272" s="33" t="s">
        <v>34</v>
      </c>
      <c r="F272" s="33" t="s">
        <v>1001</v>
      </c>
      <c r="G272" s="33" t="s">
        <v>1217</v>
      </c>
      <c r="H272" s="33" t="s">
        <v>37</v>
      </c>
      <c r="I272" s="33" t="s">
        <v>38</v>
      </c>
      <c r="J272" s="33" t="s">
        <v>1218</v>
      </c>
      <c r="K272" s="33" t="s">
        <v>1219</v>
      </c>
      <c r="L272" s="33">
        <v>229729.95</v>
      </c>
      <c r="M272" s="33">
        <v>0</v>
      </c>
      <c r="N272" s="33">
        <v>0</v>
      </c>
      <c r="O272" s="33">
        <v>1438834.95</v>
      </c>
      <c r="P272" s="33" t="s">
        <v>41</v>
      </c>
      <c r="Q272" s="33" t="s">
        <v>42</v>
      </c>
      <c r="W272" s="1" t="s">
        <v>161</v>
      </c>
      <c r="X272" s="1" t="s">
        <v>1097</v>
      </c>
    </row>
    <row r="273" spans="1:24" x14ac:dyDescent="0.2">
      <c r="A273" s="33" t="s">
        <v>31</v>
      </c>
      <c r="B273" s="33" t="s">
        <v>1220</v>
      </c>
      <c r="C273" s="33" t="s">
        <v>1221</v>
      </c>
      <c r="D273" s="33">
        <f t="shared" si="4"/>
        <v>-1</v>
      </c>
      <c r="E273" s="33" t="s">
        <v>34</v>
      </c>
      <c r="F273" s="33" t="s">
        <v>1222</v>
      </c>
      <c r="G273" s="33" t="s">
        <v>1223</v>
      </c>
      <c r="H273" s="33" t="s">
        <v>37</v>
      </c>
      <c r="I273" s="33" t="s">
        <v>38</v>
      </c>
      <c r="J273" s="33" t="s">
        <v>1224</v>
      </c>
      <c r="K273" s="33" t="s">
        <v>1225</v>
      </c>
      <c r="L273" s="33">
        <v>54831.15</v>
      </c>
      <c r="M273" s="33">
        <v>0</v>
      </c>
      <c r="N273" s="33">
        <v>0</v>
      </c>
      <c r="O273" s="33">
        <v>343416.15</v>
      </c>
      <c r="P273" s="33" t="s">
        <v>41</v>
      </c>
      <c r="Q273" s="33" t="s">
        <v>42</v>
      </c>
      <c r="W273" s="1" t="s">
        <v>161</v>
      </c>
      <c r="X273" s="1" t="s">
        <v>791</v>
      </c>
    </row>
    <row r="274" spans="1:24" x14ac:dyDescent="0.2">
      <c r="A274" s="33" t="s">
        <v>31</v>
      </c>
      <c r="B274" s="33" t="s">
        <v>1226</v>
      </c>
      <c r="C274" s="33" t="s">
        <v>1227</v>
      </c>
      <c r="D274" s="33">
        <f t="shared" si="4"/>
        <v>-1</v>
      </c>
      <c r="E274" s="33" t="s">
        <v>34</v>
      </c>
      <c r="F274" s="33" t="s">
        <v>1222</v>
      </c>
      <c r="G274" s="33" t="s">
        <v>1228</v>
      </c>
      <c r="H274" s="33" t="s">
        <v>37</v>
      </c>
      <c r="I274" s="33" t="s">
        <v>38</v>
      </c>
      <c r="J274" s="33" t="s">
        <v>1224</v>
      </c>
      <c r="K274" s="33" t="s">
        <v>1225</v>
      </c>
      <c r="L274" s="33">
        <v>31973.200000000001</v>
      </c>
      <c r="M274" s="33">
        <v>0</v>
      </c>
      <c r="N274" s="33">
        <v>0</v>
      </c>
      <c r="O274" s="33">
        <v>209853.2</v>
      </c>
      <c r="P274" s="33" t="s">
        <v>41</v>
      </c>
      <c r="Q274" s="33" t="s">
        <v>42</v>
      </c>
      <c r="W274" s="1" t="s">
        <v>161</v>
      </c>
      <c r="X274" s="1" t="s">
        <v>791</v>
      </c>
    </row>
    <row r="275" spans="1:24" x14ac:dyDescent="0.2">
      <c r="A275" s="33" t="s">
        <v>31</v>
      </c>
      <c r="B275" s="33" t="s">
        <v>1229</v>
      </c>
      <c r="C275" s="33" t="s">
        <v>1230</v>
      </c>
      <c r="D275" s="33">
        <f t="shared" si="4"/>
        <v>-1</v>
      </c>
      <c r="E275" s="33" t="s">
        <v>34</v>
      </c>
      <c r="F275" s="33" t="s">
        <v>1222</v>
      </c>
      <c r="G275" s="33" t="s">
        <v>1231</v>
      </c>
      <c r="H275" s="33" t="s">
        <v>37</v>
      </c>
      <c r="I275" s="33" t="s">
        <v>38</v>
      </c>
      <c r="J275" s="33" t="s">
        <v>1232</v>
      </c>
      <c r="K275" s="33" t="s">
        <v>1233</v>
      </c>
      <c r="L275" s="33">
        <v>1188735</v>
      </c>
      <c r="M275" s="33">
        <v>0</v>
      </c>
      <c r="N275" s="33">
        <v>0</v>
      </c>
      <c r="O275" s="33">
        <v>7445235</v>
      </c>
      <c r="P275" s="33" t="s">
        <v>41</v>
      </c>
      <c r="Q275" s="33" t="s">
        <v>42</v>
      </c>
      <c r="W275" s="33" t="s">
        <v>161</v>
      </c>
      <c r="X275" s="1" t="s">
        <v>369</v>
      </c>
    </row>
    <row r="276" spans="1:24" x14ac:dyDescent="0.2">
      <c r="A276" s="1" t="s">
        <v>31</v>
      </c>
      <c r="B276" s="1" t="s">
        <v>1234</v>
      </c>
      <c r="C276" s="1" t="s">
        <v>1235</v>
      </c>
      <c r="D276" s="1">
        <f t="shared" si="4"/>
        <v>-1</v>
      </c>
      <c r="E276" s="1" t="s">
        <v>34</v>
      </c>
      <c r="F276" s="1" t="s">
        <v>1222</v>
      </c>
      <c r="G276" s="1" t="s">
        <v>1236</v>
      </c>
      <c r="H276" s="1" t="s">
        <v>37</v>
      </c>
      <c r="I276" s="1" t="s">
        <v>38</v>
      </c>
      <c r="J276" s="1" t="s">
        <v>1237</v>
      </c>
      <c r="K276" s="1" t="s">
        <v>1238</v>
      </c>
      <c r="L276" s="1">
        <v>259255</v>
      </c>
      <c r="M276" s="1">
        <v>0</v>
      </c>
      <c r="N276" s="1">
        <v>0</v>
      </c>
      <c r="O276" s="1">
        <v>1623755</v>
      </c>
      <c r="P276" s="1" t="s">
        <v>41</v>
      </c>
      <c r="Q276" s="1" t="s">
        <v>42</v>
      </c>
      <c r="V276" s="1" t="s">
        <v>43</v>
      </c>
    </row>
    <row r="277" spans="1:24" x14ac:dyDescent="0.2">
      <c r="A277" s="33" t="s">
        <v>31</v>
      </c>
      <c r="B277" s="33" t="s">
        <v>1239</v>
      </c>
      <c r="C277" s="33" t="s">
        <v>1240</v>
      </c>
      <c r="D277" s="33">
        <f t="shared" si="4"/>
        <v>-1</v>
      </c>
      <c r="E277" s="33" t="s">
        <v>34</v>
      </c>
      <c r="F277" s="33" t="s">
        <v>1222</v>
      </c>
      <c r="G277" s="33" t="s">
        <v>1241</v>
      </c>
      <c r="H277" s="33" t="s">
        <v>37</v>
      </c>
      <c r="I277" s="33" t="s">
        <v>38</v>
      </c>
      <c r="J277" s="33" t="s">
        <v>1242</v>
      </c>
      <c r="K277" s="33" t="s">
        <v>1243</v>
      </c>
      <c r="L277" s="33">
        <v>988950</v>
      </c>
      <c r="M277" s="33">
        <v>0</v>
      </c>
      <c r="N277" s="33">
        <v>0</v>
      </c>
      <c r="O277" s="33">
        <v>6764450</v>
      </c>
      <c r="P277" s="33" t="s">
        <v>41</v>
      </c>
      <c r="Q277" s="33" t="s">
        <v>42</v>
      </c>
      <c r="W277" s="1" t="s">
        <v>161</v>
      </c>
      <c r="X277" s="1" t="s">
        <v>484</v>
      </c>
    </row>
    <row r="278" spans="1:24" x14ac:dyDescent="0.2">
      <c r="A278" s="33" t="s">
        <v>31</v>
      </c>
      <c r="B278" s="33" t="s">
        <v>1244</v>
      </c>
      <c r="C278" s="33" t="s">
        <v>1245</v>
      </c>
      <c r="D278" s="33">
        <f t="shared" si="4"/>
        <v>-1</v>
      </c>
      <c r="E278" s="33" t="s">
        <v>34</v>
      </c>
      <c r="F278" s="33" t="s">
        <v>1222</v>
      </c>
      <c r="G278" s="33" t="s">
        <v>1246</v>
      </c>
      <c r="H278" s="33" t="s">
        <v>37</v>
      </c>
      <c r="I278" s="33" t="s">
        <v>38</v>
      </c>
      <c r="J278" s="33" t="s">
        <v>1242</v>
      </c>
      <c r="K278" s="33" t="s">
        <v>1243</v>
      </c>
      <c r="L278" s="33">
        <v>180500</v>
      </c>
      <c r="M278" s="33">
        <v>0</v>
      </c>
      <c r="N278" s="33">
        <v>0</v>
      </c>
      <c r="O278" s="33">
        <v>1130500</v>
      </c>
      <c r="P278" s="33" t="s">
        <v>41</v>
      </c>
      <c r="Q278" s="33" t="s">
        <v>42</v>
      </c>
      <c r="W278" s="1" t="s">
        <v>161</v>
      </c>
      <c r="X278" s="1" t="s">
        <v>484</v>
      </c>
    </row>
    <row r="279" spans="1:24" x14ac:dyDescent="0.2">
      <c r="A279" s="29" t="s">
        <v>31</v>
      </c>
      <c r="B279" s="29" t="s">
        <v>1247</v>
      </c>
      <c r="C279" s="29" t="s">
        <v>1248</v>
      </c>
      <c r="D279" s="29">
        <f t="shared" si="4"/>
        <v>-1</v>
      </c>
      <c r="E279" s="29" t="s">
        <v>34</v>
      </c>
      <c r="F279" s="29" t="s">
        <v>1222</v>
      </c>
      <c r="G279" s="29" t="s">
        <v>1249</v>
      </c>
      <c r="H279" s="29" t="s">
        <v>37</v>
      </c>
      <c r="I279" s="29" t="s">
        <v>38</v>
      </c>
      <c r="J279" s="29" t="s">
        <v>1250</v>
      </c>
      <c r="K279" s="29" t="s">
        <v>1251</v>
      </c>
      <c r="L279" s="29">
        <v>848093.88</v>
      </c>
      <c r="M279" s="29">
        <v>0</v>
      </c>
      <c r="N279" s="29">
        <v>0</v>
      </c>
      <c r="O279" s="29">
        <v>5311745.88</v>
      </c>
      <c r="P279" s="29" t="s">
        <v>41</v>
      </c>
      <c r="Q279" s="29" t="s">
        <v>42</v>
      </c>
      <c r="T279" s="1" t="s">
        <v>161</v>
      </c>
    </row>
    <row r="280" spans="1:24" x14ac:dyDescent="0.2">
      <c r="A280" s="33" t="s">
        <v>31</v>
      </c>
      <c r="B280" s="33" t="s">
        <v>1252</v>
      </c>
      <c r="C280" s="33" t="s">
        <v>1253</v>
      </c>
      <c r="D280" s="33">
        <f t="shared" si="4"/>
        <v>-1</v>
      </c>
      <c r="E280" s="33" t="s">
        <v>34</v>
      </c>
      <c r="F280" s="33" t="s">
        <v>1222</v>
      </c>
      <c r="G280" s="33" t="s">
        <v>1254</v>
      </c>
      <c r="H280" s="33" t="s">
        <v>37</v>
      </c>
      <c r="I280" s="33" t="s">
        <v>38</v>
      </c>
      <c r="J280" s="33" t="s">
        <v>1255</v>
      </c>
      <c r="K280" s="33" t="s">
        <v>1256</v>
      </c>
      <c r="L280" s="33">
        <v>7600</v>
      </c>
      <c r="M280" s="33">
        <v>0</v>
      </c>
      <c r="N280" s="33">
        <v>0</v>
      </c>
      <c r="O280" s="33">
        <v>47600</v>
      </c>
      <c r="P280" s="33" t="s">
        <v>41</v>
      </c>
      <c r="Q280" s="33" t="s">
        <v>42</v>
      </c>
      <c r="W280" s="1" t="s">
        <v>161</v>
      </c>
      <c r="X280" s="1" t="s">
        <v>195</v>
      </c>
    </row>
    <row r="281" spans="1:24" x14ac:dyDescent="0.2">
      <c r="A281" s="29" t="s">
        <v>31</v>
      </c>
      <c r="B281" s="29" t="s">
        <v>1257</v>
      </c>
      <c r="C281" s="29" t="s">
        <v>1258</v>
      </c>
      <c r="D281" s="29">
        <f t="shared" si="4"/>
        <v>-1</v>
      </c>
      <c r="E281" s="29" t="s">
        <v>34</v>
      </c>
      <c r="F281" s="29" t="s">
        <v>1222</v>
      </c>
      <c r="G281" s="29" t="s">
        <v>1259</v>
      </c>
      <c r="H281" s="29" t="s">
        <v>37</v>
      </c>
      <c r="I281" s="29" t="s">
        <v>38</v>
      </c>
      <c r="J281" s="29" t="s">
        <v>112</v>
      </c>
      <c r="K281" s="29" t="s">
        <v>113</v>
      </c>
      <c r="L281" s="29">
        <v>117674.79</v>
      </c>
      <c r="M281" s="29">
        <v>0</v>
      </c>
      <c r="N281" s="29">
        <v>0</v>
      </c>
      <c r="O281" s="29">
        <v>737015.79</v>
      </c>
      <c r="P281" s="29" t="s">
        <v>41</v>
      </c>
      <c r="Q281" s="29" t="s">
        <v>42</v>
      </c>
      <c r="T281" s="1" t="s">
        <v>43</v>
      </c>
    </row>
    <row r="282" spans="1:24" x14ac:dyDescent="0.2">
      <c r="A282" s="29" t="s">
        <v>31</v>
      </c>
      <c r="B282" s="29" t="s">
        <v>1260</v>
      </c>
      <c r="C282" s="29" t="s">
        <v>1261</v>
      </c>
      <c r="D282" s="29">
        <f t="shared" si="4"/>
        <v>-1</v>
      </c>
      <c r="E282" s="29" t="s">
        <v>34</v>
      </c>
      <c r="F282" s="29" t="s">
        <v>1222</v>
      </c>
      <c r="G282" s="29" t="s">
        <v>1262</v>
      </c>
      <c r="H282" s="29" t="s">
        <v>37</v>
      </c>
      <c r="I282" s="29" t="s">
        <v>38</v>
      </c>
      <c r="J282" s="29" t="s">
        <v>112</v>
      </c>
      <c r="K282" s="29" t="s">
        <v>113</v>
      </c>
      <c r="L282" s="29">
        <v>16266.47</v>
      </c>
      <c r="M282" s="29">
        <v>0</v>
      </c>
      <c r="N282" s="29">
        <v>0</v>
      </c>
      <c r="O282" s="29">
        <v>101879.47</v>
      </c>
      <c r="P282" s="29" t="s">
        <v>41</v>
      </c>
      <c r="Q282" s="29" t="s">
        <v>42</v>
      </c>
      <c r="T282" s="1" t="s">
        <v>43</v>
      </c>
    </row>
    <row r="283" spans="1:24" x14ac:dyDescent="0.2">
      <c r="A283" s="29" t="s">
        <v>31</v>
      </c>
      <c r="B283" s="29" t="s">
        <v>1263</v>
      </c>
      <c r="C283" s="29" t="s">
        <v>1264</v>
      </c>
      <c r="D283" s="29">
        <f t="shared" si="4"/>
        <v>-1</v>
      </c>
      <c r="E283" s="29" t="s">
        <v>34</v>
      </c>
      <c r="F283" s="29" t="s">
        <v>1222</v>
      </c>
      <c r="G283" s="29" t="s">
        <v>1265</v>
      </c>
      <c r="H283" s="29" t="s">
        <v>37</v>
      </c>
      <c r="I283" s="29" t="s">
        <v>38</v>
      </c>
      <c r="J283" s="29" t="s">
        <v>112</v>
      </c>
      <c r="K283" s="29" t="s">
        <v>113</v>
      </c>
      <c r="L283" s="29">
        <v>7123.67</v>
      </c>
      <c r="M283" s="29">
        <v>0</v>
      </c>
      <c r="N283" s="29">
        <v>0</v>
      </c>
      <c r="O283" s="29">
        <v>44616.67</v>
      </c>
      <c r="P283" s="29" t="s">
        <v>41</v>
      </c>
      <c r="Q283" s="29" t="s">
        <v>42</v>
      </c>
      <c r="T283" s="1" t="s">
        <v>43</v>
      </c>
    </row>
    <row r="284" spans="1:24" x14ac:dyDescent="0.2">
      <c r="A284" s="29" t="s">
        <v>31</v>
      </c>
      <c r="B284" s="29" t="s">
        <v>1266</v>
      </c>
      <c r="C284" s="29" t="s">
        <v>1267</v>
      </c>
      <c r="D284" s="29">
        <f t="shared" si="4"/>
        <v>-1</v>
      </c>
      <c r="E284" s="29" t="s">
        <v>34</v>
      </c>
      <c r="F284" s="29" t="s">
        <v>1222</v>
      </c>
      <c r="G284" s="29" t="s">
        <v>1268</v>
      </c>
      <c r="H284" s="29" t="s">
        <v>37</v>
      </c>
      <c r="I284" s="29" t="s">
        <v>38</v>
      </c>
      <c r="J284" s="29" t="s">
        <v>112</v>
      </c>
      <c r="K284" s="29" t="s">
        <v>113</v>
      </c>
      <c r="L284" s="29">
        <v>1626776.01</v>
      </c>
      <c r="M284" s="29">
        <v>0</v>
      </c>
      <c r="N284" s="29">
        <v>0</v>
      </c>
      <c r="O284" s="29">
        <v>10188755.01</v>
      </c>
      <c r="P284" s="29" t="s">
        <v>41</v>
      </c>
      <c r="Q284" s="29" t="s">
        <v>42</v>
      </c>
      <c r="T284" s="1" t="s">
        <v>43</v>
      </c>
    </row>
    <row r="285" spans="1:24" x14ac:dyDescent="0.2">
      <c r="A285" s="29" t="s">
        <v>31</v>
      </c>
      <c r="B285" s="29" t="s">
        <v>1269</v>
      </c>
      <c r="C285" s="29" t="s">
        <v>1270</v>
      </c>
      <c r="D285" s="29">
        <f t="shared" si="4"/>
        <v>-1</v>
      </c>
      <c r="E285" s="29" t="s">
        <v>34</v>
      </c>
      <c r="F285" s="29" t="s">
        <v>1222</v>
      </c>
      <c r="G285" s="29" t="s">
        <v>1271</v>
      </c>
      <c r="H285" s="29" t="s">
        <v>37</v>
      </c>
      <c r="I285" s="29" t="s">
        <v>38</v>
      </c>
      <c r="J285" s="29" t="s">
        <v>79</v>
      </c>
      <c r="K285" s="29" t="s">
        <v>80</v>
      </c>
      <c r="L285" s="29">
        <v>224437.5</v>
      </c>
      <c r="M285" s="29">
        <v>0</v>
      </c>
      <c r="N285" s="29">
        <v>0</v>
      </c>
      <c r="O285" s="29">
        <v>1405687.5</v>
      </c>
      <c r="P285" s="29" t="s">
        <v>41</v>
      </c>
      <c r="Q285" s="29" t="s">
        <v>42</v>
      </c>
      <c r="T285" s="1" t="s">
        <v>43</v>
      </c>
    </row>
    <row r="286" spans="1:24" x14ac:dyDescent="0.2">
      <c r="A286" s="29" t="s">
        <v>31</v>
      </c>
      <c r="B286" s="29" t="s">
        <v>1272</v>
      </c>
      <c r="C286" s="29" t="s">
        <v>1273</v>
      </c>
      <c r="D286" s="29">
        <f t="shared" si="4"/>
        <v>-1</v>
      </c>
      <c r="E286" s="29" t="s">
        <v>34</v>
      </c>
      <c r="F286" s="29" t="s">
        <v>1222</v>
      </c>
      <c r="G286" s="29" t="s">
        <v>1274</v>
      </c>
      <c r="H286" s="29" t="s">
        <v>37</v>
      </c>
      <c r="I286" s="29" t="s">
        <v>38</v>
      </c>
      <c r="J286" s="29" t="s">
        <v>79</v>
      </c>
      <c r="K286" s="29" t="s">
        <v>80</v>
      </c>
      <c r="L286" s="29">
        <v>9120</v>
      </c>
      <c r="M286" s="29">
        <v>0</v>
      </c>
      <c r="N286" s="29">
        <v>0</v>
      </c>
      <c r="O286" s="29">
        <v>57120</v>
      </c>
      <c r="P286" s="29" t="s">
        <v>41</v>
      </c>
      <c r="Q286" s="29" t="s">
        <v>42</v>
      </c>
      <c r="T286" s="1" t="s">
        <v>43</v>
      </c>
    </row>
    <row r="287" spans="1:24" x14ac:dyDescent="0.2">
      <c r="A287" s="29" t="s">
        <v>31</v>
      </c>
      <c r="B287" s="29" t="s">
        <v>1275</v>
      </c>
      <c r="C287" s="29" t="s">
        <v>1276</v>
      </c>
      <c r="D287" s="29">
        <f t="shared" si="4"/>
        <v>-1</v>
      </c>
      <c r="E287" s="29" t="s">
        <v>34</v>
      </c>
      <c r="F287" s="29" t="s">
        <v>1222</v>
      </c>
      <c r="G287" s="29" t="s">
        <v>1277</v>
      </c>
      <c r="H287" s="29" t="s">
        <v>37</v>
      </c>
      <c r="I287" s="29" t="s">
        <v>38</v>
      </c>
      <c r="J287" s="29" t="s">
        <v>79</v>
      </c>
      <c r="K287" s="29" t="s">
        <v>80</v>
      </c>
      <c r="L287" s="29">
        <v>117674.79</v>
      </c>
      <c r="M287" s="29">
        <v>0</v>
      </c>
      <c r="N287" s="29">
        <v>0</v>
      </c>
      <c r="O287" s="29">
        <v>737015.79</v>
      </c>
      <c r="P287" s="29" t="s">
        <v>41</v>
      </c>
      <c r="Q287" s="29" t="s">
        <v>42</v>
      </c>
      <c r="T287" s="1" t="s">
        <v>43</v>
      </c>
    </row>
    <row r="288" spans="1:24" x14ac:dyDescent="0.2">
      <c r="A288" s="29" t="s">
        <v>31</v>
      </c>
      <c r="B288" s="29" t="s">
        <v>1278</v>
      </c>
      <c r="C288" s="29" t="s">
        <v>1279</v>
      </c>
      <c r="D288" s="29">
        <f t="shared" si="4"/>
        <v>-1</v>
      </c>
      <c r="E288" s="29" t="s">
        <v>34</v>
      </c>
      <c r="F288" s="29" t="s">
        <v>1222</v>
      </c>
      <c r="G288" s="29" t="s">
        <v>1280</v>
      </c>
      <c r="H288" s="29" t="s">
        <v>37</v>
      </c>
      <c r="I288" s="29" t="s">
        <v>38</v>
      </c>
      <c r="J288" s="29" t="s">
        <v>79</v>
      </c>
      <c r="K288" s="29" t="s">
        <v>80</v>
      </c>
      <c r="L288" s="29">
        <v>213710.1</v>
      </c>
      <c r="M288" s="29">
        <v>0</v>
      </c>
      <c r="N288" s="29">
        <v>0</v>
      </c>
      <c r="O288" s="29">
        <v>1338500.1000000001</v>
      </c>
      <c r="P288" s="29" t="s">
        <v>41</v>
      </c>
      <c r="Q288" s="29" t="s">
        <v>42</v>
      </c>
      <c r="T288" s="1" t="s">
        <v>43</v>
      </c>
    </row>
    <row r="289" spans="1:24" x14ac:dyDescent="0.2">
      <c r="A289" s="29" t="s">
        <v>31</v>
      </c>
      <c r="B289" s="29" t="s">
        <v>1281</v>
      </c>
      <c r="C289" s="29" t="s">
        <v>1282</v>
      </c>
      <c r="D289" s="29">
        <f t="shared" si="4"/>
        <v>-1</v>
      </c>
      <c r="E289" s="29" t="s">
        <v>34</v>
      </c>
      <c r="F289" s="29" t="s">
        <v>1222</v>
      </c>
      <c r="G289" s="29" t="s">
        <v>1283</v>
      </c>
      <c r="H289" s="29" t="s">
        <v>37</v>
      </c>
      <c r="I289" s="29" t="s">
        <v>38</v>
      </c>
      <c r="J289" s="29" t="s">
        <v>1284</v>
      </c>
      <c r="K289" s="29" t="s">
        <v>1285</v>
      </c>
      <c r="L289" s="29">
        <v>1133582.18</v>
      </c>
      <c r="M289" s="29">
        <v>0</v>
      </c>
      <c r="N289" s="29">
        <v>0</v>
      </c>
      <c r="O289" s="29">
        <v>7099804.1799999997</v>
      </c>
      <c r="P289" s="29" t="s">
        <v>41</v>
      </c>
      <c r="Q289" s="29" t="s">
        <v>42</v>
      </c>
      <c r="T289" s="1" t="s">
        <v>43</v>
      </c>
    </row>
    <row r="290" spans="1:24" x14ac:dyDescent="0.2">
      <c r="A290" s="29" t="s">
        <v>31</v>
      </c>
      <c r="B290" s="29" t="s">
        <v>1286</v>
      </c>
      <c r="C290" s="29" t="s">
        <v>1287</v>
      </c>
      <c r="D290" s="29">
        <f t="shared" si="4"/>
        <v>-1</v>
      </c>
      <c r="E290" s="29" t="s">
        <v>34</v>
      </c>
      <c r="F290" s="29" t="s">
        <v>1222</v>
      </c>
      <c r="G290" s="29" t="s">
        <v>1288</v>
      </c>
      <c r="H290" s="29" t="s">
        <v>37</v>
      </c>
      <c r="I290" s="29" t="s">
        <v>38</v>
      </c>
      <c r="J290" s="29" t="s">
        <v>106</v>
      </c>
      <c r="K290" s="29" t="s">
        <v>107</v>
      </c>
      <c r="L290" s="29">
        <v>7936.3</v>
      </c>
      <c r="M290" s="29">
        <v>0</v>
      </c>
      <c r="N290" s="29">
        <v>0</v>
      </c>
      <c r="O290" s="29">
        <v>49706.3</v>
      </c>
      <c r="P290" s="29" t="s">
        <v>41</v>
      </c>
      <c r="Q290" s="29" t="s">
        <v>42</v>
      </c>
      <c r="T290" s="1" t="s">
        <v>43</v>
      </c>
    </row>
    <row r="291" spans="1:24" x14ac:dyDescent="0.2">
      <c r="A291" s="33" t="s">
        <v>31</v>
      </c>
      <c r="B291" s="33" t="s">
        <v>1289</v>
      </c>
      <c r="C291" s="33" t="s">
        <v>1290</v>
      </c>
      <c r="D291" s="33">
        <f t="shared" si="4"/>
        <v>-1</v>
      </c>
      <c r="E291" s="33" t="s">
        <v>34</v>
      </c>
      <c r="F291" s="33" t="s">
        <v>1222</v>
      </c>
      <c r="G291" s="33" t="s">
        <v>1291</v>
      </c>
      <c r="H291" s="33" t="s">
        <v>37</v>
      </c>
      <c r="I291" s="33" t="s">
        <v>38</v>
      </c>
      <c r="J291" s="33" t="s">
        <v>57</v>
      </c>
      <c r="K291" s="33" t="s">
        <v>58</v>
      </c>
      <c r="L291" s="33">
        <v>247000</v>
      </c>
      <c r="M291" s="33">
        <v>0</v>
      </c>
      <c r="N291" s="33">
        <v>0</v>
      </c>
      <c r="O291" s="33">
        <v>1547000</v>
      </c>
      <c r="P291" s="33" t="s">
        <v>41</v>
      </c>
      <c r="Q291" s="33" t="s">
        <v>42</v>
      </c>
      <c r="W291" s="1" t="s">
        <v>161</v>
      </c>
      <c r="X291" s="1" t="s">
        <v>722</v>
      </c>
    </row>
    <row r="292" spans="1:24" x14ac:dyDescent="0.2">
      <c r="A292" s="33" t="s">
        <v>31</v>
      </c>
      <c r="B292" s="33" t="s">
        <v>1292</v>
      </c>
      <c r="C292" s="33" t="s">
        <v>1293</v>
      </c>
      <c r="D292" s="33">
        <f t="shared" si="4"/>
        <v>-1</v>
      </c>
      <c r="E292" s="33" t="s">
        <v>34</v>
      </c>
      <c r="F292" s="33" t="s">
        <v>1222</v>
      </c>
      <c r="G292" s="33" t="s">
        <v>1294</v>
      </c>
      <c r="H292" s="33" t="s">
        <v>37</v>
      </c>
      <c r="I292" s="33" t="s">
        <v>38</v>
      </c>
      <c r="J292" s="33" t="s">
        <v>1295</v>
      </c>
      <c r="K292" s="33" t="s">
        <v>1296</v>
      </c>
      <c r="L292" s="33">
        <v>11576320</v>
      </c>
      <c r="M292" s="33">
        <v>0</v>
      </c>
      <c r="N292" s="33">
        <v>0</v>
      </c>
      <c r="O292" s="33">
        <v>72504320</v>
      </c>
      <c r="P292" s="33" t="s">
        <v>41</v>
      </c>
      <c r="Q292" s="33" t="s">
        <v>42</v>
      </c>
      <c r="W292" s="33" t="s">
        <v>161</v>
      </c>
      <c r="X292" s="1" t="s">
        <v>447</v>
      </c>
    </row>
    <row r="293" spans="1:24" x14ac:dyDescent="0.2">
      <c r="A293" s="1" t="s">
        <v>31</v>
      </c>
      <c r="B293" s="1" t="s">
        <v>1297</v>
      </c>
      <c r="C293" s="1" t="s">
        <v>1298</v>
      </c>
      <c r="D293" s="1">
        <f t="shared" si="4"/>
        <v>-1</v>
      </c>
      <c r="E293" s="1" t="s">
        <v>34</v>
      </c>
      <c r="F293" s="1" t="s">
        <v>1222</v>
      </c>
      <c r="G293" s="1" t="s">
        <v>1299</v>
      </c>
      <c r="H293" s="1" t="s">
        <v>37</v>
      </c>
      <c r="I293" s="1" t="s">
        <v>38</v>
      </c>
      <c r="J293" s="1" t="s">
        <v>1300</v>
      </c>
      <c r="K293" s="1" t="s">
        <v>1301</v>
      </c>
      <c r="L293" s="1">
        <v>269883.21999999997</v>
      </c>
      <c r="M293" s="1">
        <v>0</v>
      </c>
      <c r="N293" s="1">
        <v>0</v>
      </c>
      <c r="O293" s="1">
        <v>1690321.22</v>
      </c>
      <c r="P293" s="1" t="s">
        <v>41</v>
      </c>
      <c r="Q293" s="1" t="s">
        <v>42</v>
      </c>
      <c r="V293" s="1" t="s">
        <v>43</v>
      </c>
    </row>
    <row r="294" spans="1:24" x14ac:dyDescent="0.2">
      <c r="A294" s="33" t="s">
        <v>31</v>
      </c>
      <c r="B294" s="33" t="s">
        <v>1302</v>
      </c>
      <c r="C294" s="33" t="s">
        <v>1303</v>
      </c>
      <c r="D294" s="33">
        <f t="shared" si="4"/>
        <v>-1</v>
      </c>
      <c r="E294" s="33" t="s">
        <v>34</v>
      </c>
      <c r="F294" s="33" t="s">
        <v>1222</v>
      </c>
      <c r="G294" s="33" t="s">
        <v>1304</v>
      </c>
      <c r="H294" s="33" t="s">
        <v>37</v>
      </c>
      <c r="I294" s="33" t="s">
        <v>38</v>
      </c>
      <c r="J294" s="33" t="s">
        <v>1305</v>
      </c>
      <c r="K294" s="33" t="s">
        <v>1306</v>
      </c>
      <c r="L294" s="33">
        <v>43022840</v>
      </c>
      <c r="M294" s="33">
        <v>0</v>
      </c>
      <c r="N294" s="33">
        <v>0</v>
      </c>
      <c r="O294" s="33">
        <v>269458840</v>
      </c>
      <c r="P294" s="33" t="s">
        <v>41</v>
      </c>
      <c r="Q294" s="33" t="s">
        <v>42</v>
      </c>
      <c r="W294" s="1" t="s">
        <v>43</v>
      </c>
      <c r="X294" s="1" t="s">
        <v>1097</v>
      </c>
    </row>
    <row r="295" spans="1:24" x14ac:dyDescent="0.2">
      <c r="A295" s="33" t="s">
        <v>31</v>
      </c>
      <c r="B295" s="33" t="s">
        <v>1307</v>
      </c>
      <c r="C295" s="33" t="s">
        <v>1308</v>
      </c>
      <c r="D295" s="33">
        <f t="shared" si="4"/>
        <v>-1</v>
      </c>
      <c r="E295" s="33" t="s">
        <v>34</v>
      </c>
      <c r="F295" s="33" t="s">
        <v>1222</v>
      </c>
      <c r="G295" s="33" t="s">
        <v>1309</v>
      </c>
      <c r="H295" s="33" t="s">
        <v>37</v>
      </c>
      <c r="I295" s="33" t="s">
        <v>38</v>
      </c>
      <c r="J295" s="33" t="s">
        <v>1310</v>
      </c>
      <c r="K295" s="33" t="s">
        <v>1311</v>
      </c>
      <c r="L295" s="33">
        <v>242615.94</v>
      </c>
      <c r="M295" s="33">
        <v>0</v>
      </c>
      <c r="N295" s="33">
        <v>0</v>
      </c>
      <c r="O295" s="33">
        <v>1519541.94</v>
      </c>
      <c r="P295" s="33" t="s">
        <v>41</v>
      </c>
      <c r="Q295" s="33" t="s">
        <v>42</v>
      </c>
      <c r="W295" s="33" t="s">
        <v>43</v>
      </c>
      <c r="X295" s="1" t="s">
        <v>69</v>
      </c>
    </row>
    <row r="296" spans="1:24" x14ac:dyDescent="0.2">
      <c r="A296" s="33" t="s">
        <v>31</v>
      </c>
      <c r="B296" s="33" t="s">
        <v>1312</v>
      </c>
      <c r="C296" s="33" t="s">
        <v>1313</v>
      </c>
      <c r="D296" s="33">
        <f t="shared" si="4"/>
        <v>-1</v>
      </c>
      <c r="E296" s="33" t="s">
        <v>34</v>
      </c>
      <c r="F296" s="33" t="s">
        <v>1222</v>
      </c>
      <c r="G296" s="33" t="s">
        <v>1314</v>
      </c>
      <c r="H296" s="33" t="s">
        <v>37</v>
      </c>
      <c r="I296" s="33" t="s">
        <v>38</v>
      </c>
      <c r="J296" s="33" t="s">
        <v>1315</v>
      </c>
      <c r="K296" s="33" t="s">
        <v>1316</v>
      </c>
      <c r="L296" s="33">
        <v>3321732</v>
      </c>
      <c r="M296" s="33">
        <v>0</v>
      </c>
      <c r="N296" s="33">
        <v>0</v>
      </c>
      <c r="O296" s="33">
        <v>20804532</v>
      </c>
      <c r="P296" s="33" t="s">
        <v>41</v>
      </c>
      <c r="Q296" s="33" t="s">
        <v>42</v>
      </c>
      <c r="W296" s="33" t="s">
        <v>161</v>
      </c>
      <c r="X296" s="1" t="s">
        <v>405</v>
      </c>
    </row>
    <row r="297" spans="1:24" x14ac:dyDescent="0.2">
      <c r="A297" s="33" t="s">
        <v>31</v>
      </c>
      <c r="B297" s="33" t="s">
        <v>1317</v>
      </c>
      <c r="C297" s="33" t="s">
        <v>1318</v>
      </c>
      <c r="D297" s="33">
        <f t="shared" si="4"/>
        <v>-1</v>
      </c>
      <c r="E297" s="33" t="s">
        <v>34</v>
      </c>
      <c r="F297" s="33" t="s">
        <v>1222</v>
      </c>
      <c r="G297" s="33" t="s">
        <v>1319</v>
      </c>
      <c r="H297" s="33" t="s">
        <v>37</v>
      </c>
      <c r="I297" s="33" t="s">
        <v>38</v>
      </c>
      <c r="J297" s="33" t="s">
        <v>1320</v>
      </c>
      <c r="K297" s="33" t="s">
        <v>1321</v>
      </c>
      <c r="L297" s="33">
        <v>18753.189999999999</v>
      </c>
      <c r="M297" s="33">
        <v>0</v>
      </c>
      <c r="N297" s="33">
        <v>0</v>
      </c>
      <c r="O297" s="33">
        <v>117454.19</v>
      </c>
      <c r="P297" s="33" t="s">
        <v>41</v>
      </c>
      <c r="Q297" s="33" t="s">
        <v>42</v>
      </c>
      <c r="W297" s="1" t="s">
        <v>43</v>
      </c>
      <c r="X297" s="1" t="s">
        <v>575</v>
      </c>
    </row>
    <row r="298" spans="1:24" x14ac:dyDescent="0.2">
      <c r="A298" s="33" t="s">
        <v>31</v>
      </c>
      <c r="B298" s="33" t="s">
        <v>1322</v>
      </c>
      <c r="C298" s="33" t="s">
        <v>1323</v>
      </c>
      <c r="D298" s="33">
        <f t="shared" si="4"/>
        <v>-1</v>
      </c>
      <c r="E298" s="33" t="s">
        <v>34</v>
      </c>
      <c r="F298" s="33" t="s">
        <v>1222</v>
      </c>
      <c r="G298" s="33" t="s">
        <v>1324</v>
      </c>
      <c r="H298" s="33" t="s">
        <v>37</v>
      </c>
      <c r="I298" s="33" t="s">
        <v>38</v>
      </c>
      <c r="J298" s="33" t="s">
        <v>1320</v>
      </c>
      <c r="K298" s="33" t="s">
        <v>1321</v>
      </c>
      <c r="L298" s="33">
        <v>46963.25</v>
      </c>
      <c r="M298" s="33">
        <v>0</v>
      </c>
      <c r="N298" s="33">
        <v>0</v>
      </c>
      <c r="O298" s="33">
        <v>294138.25</v>
      </c>
      <c r="P298" s="33" t="s">
        <v>41</v>
      </c>
      <c r="Q298" s="33" t="s">
        <v>42</v>
      </c>
      <c r="W298" s="1" t="s">
        <v>43</v>
      </c>
      <c r="X298" s="1" t="s">
        <v>575</v>
      </c>
    </row>
    <row r="299" spans="1:24" x14ac:dyDescent="0.2">
      <c r="A299" s="33" t="s">
        <v>31</v>
      </c>
      <c r="B299" s="33" t="s">
        <v>1325</v>
      </c>
      <c r="C299" s="33" t="s">
        <v>1326</v>
      </c>
      <c r="D299" s="33">
        <f t="shared" si="4"/>
        <v>-1</v>
      </c>
      <c r="E299" s="33" t="s">
        <v>34</v>
      </c>
      <c r="F299" s="33" t="s">
        <v>1222</v>
      </c>
      <c r="G299" s="33" t="s">
        <v>1327</v>
      </c>
      <c r="H299" s="33" t="s">
        <v>37</v>
      </c>
      <c r="I299" s="33" t="s">
        <v>38</v>
      </c>
      <c r="J299" s="33" t="s">
        <v>1320</v>
      </c>
      <c r="K299" s="33" t="s">
        <v>1321</v>
      </c>
      <c r="L299" s="33">
        <v>75618.48</v>
      </c>
      <c r="M299" s="33">
        <v>0</v>
      </c>
      <c r="N299" s="33">
        <v>0</v>
      </c>
      <c r="O299" s="33">
        <v>473610.48</v>
      </c>
      <c r="P299" s="33" t="s">
        <v>41</v>
      </c>
      <c r="Q299" s="33" t="s">
        <v>42</v>
      </c>
      <c r="W299" s="1" t="s">
        <v>43</v>
      </c>
      <c r="X299" s="1" t="s">
        <v>575</v>
      </c>
    </row>
    <row r="300" spans="1:24" x14ac:dyDescent="0.2">
      <c r="A300" s="33" t="s">
        <v>31</v>
      </c>
      <c r="B300" s="33" t="s">
        <v>1328</v>
      </c>
      <c r="C300" s="33" t="s">
        <v>1329</v>
      </c>
      <c r="D300" s="33">
        <f t="shared" si="4"/>
        <v>-1</v>
      </c>
      <c r="E300" s="33" t="s">
        <v>34</v>
      </c>
      <c r="F300" s="33" t="s">
        <v>1222</v>
      </c>
      <c r="G300" s="33" t="s">
        <v>1330</v>
      </c>
      <c r="H300" s="33" t="s">
        <v>37</v>
      </c>
      <c r="I300" s="33" t="s">
        <v>38</v>
      </c>
      <c r="J300" s="33" t="s">
        <v>1331</v>
      </c>
      <c r="K300" s="33" t="s">
        <v>1332</v>
      </c>
      <c r="L300" s="33">
        <v>408403.48</v>
      </c>
      <c r="M300" s="33">
        <v>0</v>
      </c>
      <c r="N300" s="33">
        <v>0</v>
      </c>
      <c r="O300" s="33">
        <v>2557895.48</v>
      </c>
      <c r="P300" s="33" t="s">
        <v>41</v>
      </c>
      <c r="Q300" s="33" t="s">
        <v>42</v>
      </c>
      <c r="W300" s="1" t="s">
        <v>43</v>
      </c>
      <c r="X300" s="1" t="s">
        <v>167</v>
      </c>
    </row>
    <row r="301" spans="1:24" x14ac:dyDescent="0.2">
      <c r="A301" s="29" t="s">
        <v>31</v>
      </c>
      <c r="B301" s="29" t="s">
        <v>1333</v>
      </c>
      <c r="C301" s="29" t="s">
        <v>1334</v>
      </c>
      <c r="D301" s="29">
        <f t="shared" si="4"/>
        <v>-1</v>
      </c>
      <c r="E301" s="29" t="s">
        <v>34</v>
      </c>
      <c r="F301" s="29" t="s">
        <v>1222</v>
      </c>
      <c r="G301" s="29" t="s">
        <v>1335</v>
      </c>
      <c r="H301" s="29" t="s">
        <v>37</v>
      </c>
      <c r="I301" s="29" t="s">
        <v>38</v>
      </c>
      <c r="J301" s="29" t="s">
        <v>1336</v>
      </c>
      <c r="K301" s="29" t="s">
        <v>1337</v>
      </c>
      <c r="L301" s="29">
        <v>714637.5</v>
      </c>
      <c r="M301" s="29">
        <v>0</v>
      </c>
      <c r="N301" s="29">
        <v>0</v>
      </c>
      <c r="O301" s="29">
        <v>4475887.5</v>
      </c>
      <c r="P301" s="29" t="s">
        <v>41</v>
      </c>
      <c r="Q301" s="29" t="s">
        <v>42</v>
      </c>
      <c r="T301" s="1" t="s">
        <v>43</v>
      </c>
    </row>
    <row r="302" spans="1:24" x14ac:dyDescent="0.2">
      <c r="A302" s="29" t="s">
        <v>31</v>
      </c>
      <c r="B302" s="29" t="s">
        <v>1338</v>
      </c>
      <c r="C302" s="29" t="s">
        <v>1339</v>
      </c>
      <c r="D302" s="29">
        <f t="shared" si="4"/>
        <v>-1</v>
      </c>
      <c r="E302" s="29" t="s">
        <v>34</v>
      </c>
      <c r="F302" s="29" t="s">
        <v>1222</v>
      </c>
      <c r="G302" s="29" t="s">
        <v>1340</v>
      </c>
      <c r="H302" s="29" t="s">
        <v>37</v>
      </c>
      <c r="I302" s="29" t="s">
        <v>38</v>
      </c>
      <c r="J302" s="29" t="s">
        <v>1341</v>
      </c>
      <c r="K302" s="29" t="s">
        <v>1342</v>
      </c>
      <c r="L302" s="29">
        <v>620284.64</v>
      </c>
      <c r="M302" s="29">
        <v>0</v>
      </c>
      <c r="N302" s="29">
        <v>0</v>
      </c>
      <c r="O302" s="29">
        <v>3884940.64</v>
      </c>
      <c r="P302" s="29" t="s">
        <v>41</v>
      </c>
      <c r="Q302" s="29" t="s">
        <v>42</v>
      </c>
      <c r="T302" s="1" t="s">
        <v>161</v>
      </c>
    </row>
    <row r="303" spans="1:24" x14ac:dyDescent="0.2">
      <c r="A303" s="29" t="s">
        <v>31</v>
      </c>
      <c r="B303" s="29" t="s">
        <v>1343</v>
      </c>
      <c r="C303" s="29" t="s">
        <v>1344</v>
      </c>
      <c r="D303" s="29">
        <f t="shared" si="4"/>
        <v>-1</v>
      </c>
      <c r="E303" s="29" t="s">
        <v>34</v>
      </c>
      <c r="F303" s="29" t="s">
        <v>1222</v>
      </c>
      <c r="G303" s="29" t="s">
        <v>1345</v>
      </c>
      <c r="H303" s="29" t="s">
        <v>37</v>
      </c>
      <c r="I303" s="29" t="s">
        <v>38</v>
      </c>
      <c r="J303" s="29" t="s">
        <v>1341</v>
      </c>
      <c r="K303" s="29" t="s">
        <v>1342</v>
      </c>
      <c r="L303" s="29">
        <v>149213.26999999999</v>
      </c>
      <c r="M303" s="29">
        <v>0</v>
      </c>
      <c r="N303" s="29">
        <v>0</v>
      </c>
      <c r="O303" s="29">
        <v>934546.27</v>
      </c>
      <c r="P303" s="29" t="s">
        <v>41</v>
      </c>
      <c r="Q303" s="29" t="s">
        <v>42</v>
      </c>
      <c r="T303" s="1" t="s">
        <v>43</v>
      </c>
    </row>
    <row r="304" spans="1:24" x14ac:dyDescent="0.2">
      <c r="A304" s="29" t="s">
        <v>31</v>
      </c>
      <c r="B304" s="29" t="s">
        <v>1346</v>
      </c>
      <c r="C304" s="29" t="s">
        <v>1347</v>
      </c>
      <c r="D304" s="29">
        <f t="shared" si="4"/>
        <v>-1</v>
      </c>
      <c r="E304" s="29" t="s">
        <v>34</v>
      </c>
      <c r="F304" s="29" t="s">
        <v>1222</v>
      </c>
      <c r="G304" s="29" t="s">
        <v>1348</v>
      </c>
      <c r="H304" s="29" t="s">
        <v>37</v>
      </c>
      <c r="I304" s="29" t="s">
        <v>38</v>
      </c>
      <c r="J304" s="29" t="s">
        <v>1341</v>
      </c>
      <c r="K304" s="29" t="s">
        <v>1342</v>
      </c>
      <c r="L304" s="29">
        <v>47120</v>
      </c>
      <c r="M304" s="29">
        <v>0</v>
      </c>
      <c r="N304" s="29">
        <v>0</v>
      </c>
      <c r="O304" s="29">
        <v>295120</v>
      </c>
      <c r="P304" s="29" t="s">
        <v>41</v>
      </c>
      <c r="Q304" s="29" t="s">
        <v>42</v>
      </c>
      <c r="T304" s="1" t="s">
        <v>161</v>
      </c>
    </row>
    <row r="305" spans="1:24" x14ac:dyDescent="0.2">
      <c r="A305" s="29" t="s">
        <v>31</v>
      </c>
      <c r="B305" s="29" t="s">
        <v>1349</v>
      </c>
      <c r="C305" s="29" t="s">
        <v>1350</v>
      </c>
      <c r="D305" s="29">
        <f t="shared" si="4"/>
        <v>-1</v>
      </c>
      <c r="E305" s="29" t="s">
        <v>34</v>
      </c>
      <c r="F305" s="29" t="s">
        <v>1222</v>
      </c>
      <c r="G305" s="29" t="s">
        <v>1351</v>
      </c>
      <c r="H305" s="29" t="s">
        <v>37</v>
      </c>
      <c r="I305" s="29" t="s">
        <v>38</v>
      </c>
      <c r="J305" s="29" t="s">
        <v>1341</v>
      </c>
      <c r="K305" s="29" t="s">
        <v>1342</v>
      </c>
      <c r="L305" s="29">
        <v>21330.92</v>
      </c>
      <c r="M305" s="29">
        <v>0</v>
      </c>
      <c r="N305" s="29">
        <v>0</v>
      </c>
      <c r="O305" s="29">
        <v>133598.92000000001</v>
      </c>
      <c r="P305" s="29" t="s">
        <v>41</v>
      </c>
      <c r="Q305" s="29" t="s">
        <v>42</v>
      </c>
      <c r="T305" s="1" t="s">
        <v>43</v>
      </c>
    </row>
    <row r="306" spans="1:24" x14ac:dyDescent="0.2">
      <c r="A306" s="28" t="s">
        <v>31</v>
      </c>
      <c r="B306" s="28" t="s">
        <v>1352</v>
      </c>
      <c r="C306" s="28" t="s">
        <v>1353</v>
      </c>
      <c r="D306" s="28">
        <f t="shared" si="4"/>
        <v>-1</v>
      </c>
      <c r="E306" s="28" t="s">
        <v>34</v>
      </c>
      <c r="F306" s="28" t="s">
        <v>1222</v>
      </c>
      <c r="G306" s="28" t="s">
        <v>1354</v>
      </c>
      <c r="H306" s="28" t="s">
        <v>37</v>
      </c>
      <c r="I306" s="28" t="s">
        <v>38</v>
      </c>
      <c r="J306" s="28" t="s">
        <v>1341</v>
      </c>
      <c r="K306" s="28" t="s">
        <v>1342</v>
      </c>
      <c r="L306" s="28">
        <v>651244.38</v>
      </c>
      <c r="M306" s="28">
        <v>0</v>
      </c>
      <c r="N306" s="28">
        <v>0</v>
      </c>
      <c r="O306" s="28">
        <v>4078846.38</v>
      </c>
      <c r="P306" s="28" t="s">
        <v>41</v>
      </c>
      <c r="Q306" s="28" t="s">
        <v>42</v>
      </c>
      <c r="R306" s="1" t="s">
        <v>43</v>
      </c>
    </row>
    <row r="307" spans="1:24" x14ac:dyDescent="0.2">
      <c r="A307" s="29" t="s">
        <v>31</v>
      </c>
      <c r="B307" s="29" t="s">
        <v>1355</v>
      </c>
      <c r="C307" s="29" t="s">
        <v>1356</v>
      </c>
      <c r="D307" s="29">
        <f t="shared" si="4"/>
        <v>-1</v>
      </c>
      <c r="E307" s="29" t="s">
        <v>34</v>
      </c>
      <c r="F307" s="29" t="s">
        <v>1222</v>
      </c>
      <c r="G307" s="29" t="s">
        <v>1357</v>
      </c>
      <c r="H307" s="29" t="s">
        <v>37</v>
      </c>
      <c r="I307" s="29" t="s">
        <v>38</v>
      </c>
      <c r="J307" s="29" t="s">
        <v>1358</v>
      </c>
      <c r="K307" s="29" t="s">
        <v>1359</v>
      </c>
      <c r="L307" s="29">
        <v>101129.4</v>
      </c>
      <c r="M307" s="29">
        <v>0</v>
      </c>
      <c r="N307" s="29">
        <v>0</v>
      </c>
      <c r="O307" s="29">
        <v>633389.4</v>
      </c>
      <c r="P307" s="29" t="s">
        <v>41</v>
      </c>
      <c r="Q307" s="29" t="s">
        <v>42</v>
      </c>
      <c r="T307" s="1" t="s">
        <v>43</v>
      </c>
    </row>
    <row r="308" spans="1:24" x14ac:dyDescent="0.2">
      <c r="A308" s="29" t="s">
        <v>31</v>
      </c>
      <c r="B308" s="29" t="s">
        <v>1360</v>
      </c>
      <c r="C308" s="29" t="s">
        <v>1361</v>
      </c>
      <c r="D308" s="29">
        <f t="shared" si="4"/>
        <v>-1</v>
      </c>
      <c r="E308" s="29" t="s">
        <v>34</v>
      </c>
      <c r="F308" s="29" t="s">
        <v>1222</v>
      </c>
      <c r="G308" s="29" t="s">
        <v>1362</v>
      </c>
      <c r="H308" s="29" t="s">
        <v>37</v>
      </c>
      <c r="I308" s="29" t="s">
        <v>38</v>
      </c>
      <c r="J308" s="29" t="s">
        <v>1363</v>
      </c>
      <c r="K308" s="29" t="s">
        <v>1364</v>
      </c>
      <c r="L308" s="29">
        <v>53155.54</v>
      </c>
      <c r="M308" s="29">
        <v>0</v>
      </c>
      <c r="N308" s="29">
        <v>0</v>
      </c>
      <c r="O308" s="29">
        <v>343433.54</v>
      </c>
      <c r="P308" s="29" t="s">
        <v>41</v>
      </c>
      <c r="Q308" s="29" t="s">
        <v>42</v>
      </c>
      <c r="T308" s="1" t="s">
        <v>43</v>
      </c>
    </row>
    <row r="309" spans="1:24" x14ac:dyDescent="0.2">
      <c r="A309" s="33" t="s">
        <v>31</v>
      </c>
      <c r="B309" s="33" t="s">
        <v>1365</v>
      </c>
      <c r="C309" s="33" t="s">
        <v>1366</v>
      </c>
      <c r="D309" s="33">
        <f t="shared" si="4"/>
        <v>-1</v>
      </c>
      <c r="E309" s="33" t="s">
        <v>34</v>
      </c>
      <c r="F309" s="33" t="s">
        <v>1222</v>
      </c>
      <c r="G309" s="33" t="s">
        <v>1367</v>
      </c>
      <c r="H309" s="33" t="s">
        <v>37</v>
      </c>
      <c r="I309" s="33" t="s">
        <v>38</v>
      </c>
      <c r="J309" s="33" t="s">
        <v>1368</v>
      </c>
      <c r="K309" s="33" t="s">
        <v>1369</v>
      </c>
      <c r="L309" s="33">
        <v>7774.8</v>
      </c>
      <c r="M309" s="33">
        <v>0</v>
      </c>
      <c r="N309" s="33">
        <v>0</v>
      </c>
      <c r="O309" s="33">
        <v>48694.8</v>
      </c>
      <c r="P309" s="33" t="s">
        <v>41</v>
      </c>
      <c r="Q309" s="33" t="s">
        <v>42</v>
      </c>
      <c r="W309" s="1" t="s">
        <v>43</v>
      </c>
      <c r="X309" s="1" t="s">
        <v>722</v>
      </c>
    </row>
    <row r="310" spans="1:24" x14ac:dyDescent="0.2">
      <c r="A310" s="33" t="s">
        <v>31</v>
      </c>
      <c r="B310" s="33" t="s">
        <v>1370</v>
      </c>
      <c r="C310" s="33" t="s">
        <v>1371</v>
      </c>
      <c r="D310" s="33">
        <f t="shared" si="4"/>
        <v>-1</v>
      </c>
      <c r="E310" s="33" t="s">
        <v>34</v>
      </c>
      <c r="F310" s="33" t="s">
        <v>1222</v>
      </c>
      <c r="G310" s="33" t="s">
        <v>1372</v>
      </c>
      <c r="H310" s="33" t="s">
        <v>37</v>
      </c>
      <c r="I310" s="33" t="s">
        <v>38</v>
      </c>
      <c r="J310" s="33" t="s">
        <v>1373</v>
      </c>
      <c r="K310" s="33" t="s">
        <v>1374</v>
      </c>
      <c r="L310" s="33">
        <v>569005.92000000004</v>
      </c>
      <c r="M310" s="33">
        <v>0</v>
      </c>
      <c r="N310" s="33">
        <v>0</v>
      </c>
      <c r="O310" s="33">
        <v>3563773.92</v>
      </c>
      <c r="P310" s="33" t="s">
        <v>41</v>
      </c>
      <c r="Q310" s="33" t="s">
        <v>42</v>
      </c>
      <c r="W310" s="33" t="s">
        <v>161</v>
      </c>
      <c r="X310" s="1" t="s">
        <v>277</v>
      </c>
    </row>
    <row r="311" spans="1:24" x14ac:dyDescent="0.2">
      <c r="A311" s="29" t="s">
        <v>31</v>
      </c>
      <c r="B311" s="29" t="s">
        <v>1375</v>
      </c>
      <c r="C311" s="29" t="s">
        <v>1376</v>
      </c>
      <c r="D311" s="29">
        <f t="shared" si="4"/>
        <v>-1</v>
      </c>
      <c r="E311" s="29" t="s">
        <v>34</v>
      </c>
      <c r="F311" s="29" t="s">
        <v>1222</v>
      </c>
      <c r="G311" s="29" t="s">
        <v>1377</v>
      </c>
      <c r="H311" s="29" t="s">
        <v>37</v>
      </c>
      <c r="I311" s="29" t="s">
        <v>38</v>
      </c>
      <c r="J311" s="29" t="s">
        <v>1378</v>
      </c>
      <c r="K311" s="29" t="s">
        <v>1379</v>
      </c>
      <c r="L311" s="29">
        <v>34200</v>
      </c>
      <c r="M311" s="29">
        <v>0</v>
      </c>
      <c r="N311" s="29">
        <v>0</v>
      </c>
      <c r="O311" s="29">
        <v>214200</v>
      </c>
      <c r="P311" s="29" t="s">
        <v>41</v>
      </c>
      <c r="Q311" s="29" t="s">
        <v>42</v>
      </c>
      <c r="T311" s="1" t="s">
        <v>161</v>
      </c>
    </row>
    <row r="312" spans="1:24" x14ac:dyDescent="0.2">
      <c r="A312" s="29" t="s">
        <v>31</v>
      </c>
      <c r="B312" s="29" t="s">
        <v>1380</v>
      </c>
      <c r="C312" s="29" t="s">
        <v>1381</v>
      </c>
      <c r="D312" s="29">
        <f t="shared" si="4"/>
        <v>-1</v>
      </c>
      <c r="E312" s="29" t="s">
        <v>34</v>
      </c>
      <c r="F312" s="29" t="s">
        <v>1222</v>
      </c>
      <c r="G312" s="29" t="s">
        <v>1382</v>
      </c>
      <c r="H312" s="29" t="s">
        <v>37</v>
      </c>
      <c r="I312" s="29" t="s">
        <v>38</v>
      </c>
      <c r="J312" s="29" t="s">
        <v>1383</v>
      </c>
      <c r="K312" s="29" t="s">
        <v>1384</v>
      </c>
      <c r="L312" s="29">
        <v>121600</v>
      </c>
      <c r="M312" s="29">
        <v>0</v>
      </c>
      <c r="N312" s="29">
        <v>0</v>
      </c>
      <c r="O312" s="29">
        <v>761600</v>
      </c>
      <c r="P312" s="29" t="s">
        <v>41</v>
      </c>
      <c r="Q312" s="29" t="s">
        <v>42</v>
      </c>
      <c r="T312" s="1" t="s">
        <v>161</v>
      </c>
    </row>
    <row r="313" spans="1:24" x14ac:dyDescent="0.2">
      <c r="A313" s="33" t="s">
        <v>31</v>
      </c>
      <c r="B313" s="33" t="s">
        <v>1385</v>
      </c>
      <c r="C313" s="33" t="s">
        <v>1386</v>
      </c>
      <c r="D313" s="33">
        <f t="shared" si="4"/>
        <v>-1</v>
      </c>
      <c r="E313" s="33" t="s">
        <v>34</v>
      </c>
      <c r="F313" s="33" t="s">
        <v>1222</v>
      </c>
      <c r="G313" s="33" t="s">
        <v>1387</v>
      </c>
      <c r="H313" s="33" t="s">
        <v>37</v>
      </c>
      <c r="I313" s="33" t="s">
        <v>38</v>
      </c>
      <c r="J313" s="33" t="s">
        <v>1388</v>
      </c>
      <c r="K313" s="33" t="s">
        <v>1389</v>
      </c>
      <c r="L313" s="33">
        <v>110048</v>
      </c>
      <c r="M313" s="33">
        <v>0</v>
      </c>
      <c r="N313" s="33">
        <v>0</v>
      </c>
      <c r="O313" s="33">
        <v>689248</v>
      </c>
      <c r="P313" s="33" t="s">
        <v>41</v>
      </c>
      <c r="Q313" s="33" t="s">
        <v>42</v>
      </c>
      <c r="W313" s="33" t="s">
        <v>161</v>
      </c>
      <c r="X313" s="1" t="s">
        <v>722</v>
      </c>
    </row>
    <row r="314" spans="1:24" x14ac:dyDescent="0.2">
      <c r="A314" s="33" t="s">
        <v>31</v>
      </c>
      <c r="B314" s="33" t="s">
        <v>1390</v>
      </c>
      <c r="C314" s="33" t="s">
        <v>1391</v>
      </c>
      <c r="D314" s="33">
        <f t="shared" si="4"/>
        <v>-1</v>
      </c>
      <c r="E314" s="33" t="s">
        <v>34</v>
      </c>
      <c r="F314" s="33" t="s">
        <v>1222</v>
      </c>
      <c r="G314" s="33" t="s">
        <v>1392</v>
      </c>
      <c r="H314" s="33" t="s">
        <v>37</v>
      </c>
      <c r="I314" s="33" t="s">
        <v>38</v>
      </c>
      <c r="J314" s="33" t="s">
        <v>1393</v>
      </c>
      <c r="K314" s="33" t="s">
        <v>1394</v>
      </c>
      <c r="L314" s="33">
        <v>2474940</v>
      </c>
      <c r="M314" s="33">
        <v>0</v>
      </c>
      <c r="N314" s="33">
        <v>0</v>
      </c>
      <c r="O314" s="33">
        <v>15500940</v>
      </c>
      <c r="P314" s="33" t="s">
        <v>41</v>
      </c>
      <c r="Q314" s="33" t="s">
        <v>42</v>
      </c>
      <c r="W314" s="1" t="s">
        <v>43</v>
      </c>
      <c r="X314" s="1" t="s">
        <v>226</v>
      </c>
    </row>
    <row r="315" spans="1:24" x14ac:dyDescent="0.2">
      <c r="A315" s="33" t="s">
        <v>31</v>
      </c>
      <c r="B315" s="33" t="s">
        <v>1395</v>
      </c>
      <c r="C315" s="33" t="s">
        <v>1396</v>
      </c>
      <c r="D315" s="33">
        <f t="shared" si="4"/>
        <v>-1</v>
      </c>
      <c r="E315" s="33" t="s">
        <v>34</v>
      </c>
      <c r="F315" s="33" t="s">
        <v>1222</v>
      </c>
      <c r="G315" s="33" t="s">
        <v>1397</v>
      </c>
      <c r="H315" s="33" t="s">
        <v>37</v>
      </c>
      <c r="I315" s="33" t="s">
        <v>38</v>
      </c>
      <c r="J315" s="33" t="s">
        <v>1393</v>
      </c>
      <c r="K315" s="33" t="s">
        <v>1394</v>
      </c>
      <c r="L315" s="33">
        <v>61940</v>
      </c>
      <c r="M315" s="33">
        <v>0</v>
      </c>
      <c r="N315" s="33">
        <v>0</v>
      </c>
      <c r="O315" s="33">
        <v>387940</v>
      </c>
      <c r="P315" s="33" t="s">
        <v>41</v>
      </c>
      <c r="Q315" s="33" t="s">
        <v>42</v>
      </c>
      <c r="W315" s="1" t="s">
        <v>43</v>
      </c>
      <c r="X315" s="1" t="s">
        <v>226</v>
      </c>
    </row>
    <row r="316" spans="1:24" x14ac:dyDescent="0.2">
      <c r="A316" s="33" t="s">
        <v>31</v>
      </c>
      <c r="B316" s="33" t="s">
        <v>1398</v>
      </c>
      <c r="C316" s="33" t="s">
        <v>1399</v>
      </c>
      <c r="D316" s="33">
        <f t="shared" si="4"/>
        <v>-1</v>
      </c>
      <c r="E316" s="33" t="s">
        <v>34</v>
      </c>
      <c r="F316" s="33" t="s">
        <v>1222</v>
      </c>
      <c r="G316" s="33" t="s">
        <v>1400</v>
      </c>
      <c r="H316" s="33" t="s">
        <v>37</v>
      </c>
      <c r="I316" s="33" t="s">
        <v>38</v>
      </c>
      <c r="J316" s="33" t="s">
        <v>1393</v>
      </c>
      <c r="K316" s="33" t="s">
        <v>1394</v>
      </c>
      <c r="L316" s="33">
        <v>931000</v>
      </c>
      <c r="M316" s="33">
        <v>0</v>
      </c>
      <c r="N316" s="33">
        <v>0</v>
      </c>
      <c r="O316" s="33">
        <v>5831000</v>
      </c>
      <c r="P316" s="33" t="s">
        <v>41</v>
      </c>
      <c r="Q316" s="33" t="s">
        <v>42</v>
      </c>
      <c r="W316" s="1" t="s">
        <v>43</v>
      </c>
      <c r="X316" s="1" t="s">
        <v>226</v>
      </c>
    </row>
    <row r="317" spans="1:24" x14ac:dyDescent="0.2">
      <c r="A317" s="33" t="s">
        <v>31</v>
      </c>
      <c r="B317" s="33" t="s">
        <v>1401</v>
      </c>
      <c r="C317" s="33" t="s">
        <v>1402</v>
      </c>
      <c r="D317" s="33">
        <f t="shared" si="4"/>
        <v>-1</v>
      </c>
      <c r="E317" s="33" t="s">
        <v>34</v>
      </c>
      <c r="F317" s="33" t="s">
        <v>1222</v>
      </c>
      <c r="G317" s="33" t="s">
        <v>1403</v>
      </c>
      <c r="H317" s="33" t="s">
        <v>37</v>
      </c>
      <c r="I317" s="33" t="s">
        <v>38</v>
      </c>
      <c r="J317" s="33" t="s">
        <v>1393</v>
      </c>
      <c r="K317" s="33" t="s">
        <v>1394</v>
      </c>
      <c r="L317" s="33">
        <v>17670</v>
      </c>
      <c r="M317" s="33">
        <v>0</v>
      </c>
      <c r="N317" s="33">
        <v>0</v>
      </c>
      <c r="O317" s="33">
        <v>110670</v>
      </c>
      <c r="P317" s="33" t="s">
        <v>41</v>
      </c>
      <c r="Q317" s="33" t="s">
        <v>42</v>
      </c>
      <c r="W317" s="1" t="s">
        <v>43</v>
      </c>
      <c r="X317" s="1" t="s">
        <v>226</v>
      </c>
    </row>
    <row r="318" spans="1:24" x14ac:dyDescent="0.2">
      <c r="A318" s="33" t="s">
        <v>31</v>
      </c>
      <c r="B318" s="33" t="s">
        <v>1404</v>
      </c>
      <c r="C318" s="33" t="s">
        <v>1405</v>
      </c>
      <c r="D318" s="33">
        <f t="shared" si="4"/>
        <v>-1</v>
      </c>
      <c r="E318" s="33" t="s">
        <v>34</v>
      </c>
      <c r="F318" s="33" t="s">
        <v>1222</v>
      </c>
      <c r="G318" s="33" t="s">
        <v>1406</v>
      </c>
      <c r="H318" s="33" t="s">
        <v>37</v>
      </c>
      <c r="I318" s="33" t="s">
        <v>38</v>
      </c>
      <c r="J318" s="33" t="s">
        <v>1393</v>
      </c>
      <c r="K318" s="33" t="s">
        <v>1394</v>
      </c>
      <c r="L318" s="33">
        <v>7943520</v>
      </c>
      <c r="M318" s="33">
        <v>0</v>
      </c>
      <c r="N318" s="33">
        <v>0</v>
      </c>
      <c r="O318" s="33">
        <v>49751520</v>
      </c>
      <c r="P318" s="33" t="s">
        <v>41</v>
      </c>
      <c r="Q318" s="33" t="s">
        <v>42</v>
      </c>
      <c r="W318" s="1" t="s">
        <v>43</v>
      </c>
      <c r="X318" s="1" t="s">
        <v>226</v>
      </c>
    </row>
    <row r="319" spans="1:24" x14ac:dyDescent="0.2">
      <c r="A319" s="33" t="s">
        <v>31</v>
      </c>
      <c r="B319" s="33" t="s">
        <v>1407</v>
      </c>
      <c r="C319" s="33" t="s">
        <v>1408</v>
      </c>
      <c r="D319" s="33">
        <f t="shared" si="4"/>
        <v>-1</v>
      </c>
      <c r="E319" s="33" t="s">
        <v>34</v>
      </c>
      <c r="F319" s="33" t="s">
        <v>1222</v>
      </c>
      <c r="G319" s="33" t="s">
        <v>1409</v>
      </c>
      <c r="H319" s="33" t="s">
        <v>37</v>
      </c>
      <c r="I319" s="33" t="s">
        <v>38</v>
      </c>
      <c r="J319" s="33" t="s">
        <v>1410</v>
      </c>
      <c r="K319" s="33" t="s">
        <v>1411</v>
      </c>
      <c r="L319" s="33">
        <v>17670</v>
      </c>
      <c r="M319" s="33">
        <v>0</v>
      </c>
      <c r="N319" s="33">
        <v>0</v>
      </c>
      <c r="O319" s="33">
        <v>110670</v>
      </c>
      <c r="P319" s="33" t="s">
        <v>41</v>
      </c>
      <c r="Q319" s="33" t="s">
        <v>42</v>
      </c>
      <c r="W319" s="1" t="s">
        <v>43</v>
      </c>
      <c r="X319" s="1" t="s">
        <v>226</v>
      </c>
    </row>
    <row r="320" spans="1:24" x14ac:dyDescent="0.2">
      <c r="A320" s="33" t="s">
        <v>31</v>
      </c>
      <c r="B320" s="33" t="s">
        <v>1412</v>
      </c>
      <c r="C320" s="33" t="s">
        <v>1413</v>
      </c>
      <c r="D320" s="33">
        <f t="shared" si="4"/>
        <v>-1</v>
      </c>
      <c r="E320" s="33" t="s">
        <v>34</v>
      </c>
      <c r="F320" s="33" t="s">
        <v>1222</v>
      </c>
      <c r="G320" s="33" t="s">
        <v>1414</v>
      </c>
      <c r="H320" s="33" t="s">
        <v>37</v>
      </c>
      <c r="I320" s="33" t="s">
        <v>38</v>
      </c>
      <c r="J320" s="33" t="s">
        <v>1410</v>
      </c>
      <c r="K320" s="33" t="s">
        <v>1411</v>
      </c>
      <c r="L320" s="33">
        <v>27360</v>
      </c>
      <c r="M320" s="33">
        <v>0</v>
      </c>
      <c r="N320" s="33">
        <v>0</v>
      </c>
      <c r="O320" s="33">
        <v>171360</v>
      </c>
      <c r="P320" s="33" t="s">
        <v>41</v>
      </c>
      <c r="Q320" s="33" t="s">
        <v>42</v>
      </c>
      <c r="W320" s="1" t="s">
        <v>43</v>
      </c>
      <c r="X320" s="1" t="s">
        <v>226</v>
      </c>
    </row>
    <row r="321" spans="1:24" x14ac:dyDescent="0.2">
      <c r="A321" s="29" t="s">
        <v>31</v>
      </c>
      <c r="B321" s="29" t="s">
        <v>1415</v>
      </c>
      <c r="C321" s="29" t="s">
        <v>1416</v>
      </c>
      <c r="D321" s="29">
        <f t="shared" si="4"/>
        <v>-1</v>
      </c>
      <c r="E321" s="29" t="s">
        <v>34</v>
      </c>
      <c r="F321" s="29" t="s">
        <v>1222</v>
      </c>
      <c r="G321" s="29" t="s">
        <v>1417</v>
      </c>
      <c r="H321" s="29" t="s">
        <v>37</v>
      </c>
      <c r="I321" s="29" t="s">
        <v>38</v>
      </c>
      <c r="J321" s="29" t="s">
        <v>1410</v>
      </c>
      <c r="K321" s="29" t="s">
        <v>1411</v>
      </c>
      <c r="L321" s="29">
        <v>375820</v>
      </c>
      <c r="M321" s="29">
        <v>0</v>
      </c>
      <c r="N321" s="29">
        <v>0</v>
      </c>
      <c r="O321" s="29">
        <v>2353820</v>
      </c>
      <c r="P321" s="29" t="s">
        <v>41</v>
      </c>
      <c r="Q321" s="29" t="s">
        <v>42</v>
      </c>
      <c r="T321" s="1" t="s">
        <v>161</v>
      </c>
    </row>
    <row r="322" spans="1:24" x14ac:dyDescent="0.2">
      <c r="A322" s="33" t="s">
        <v>31</v>
      </c>
      <c r="B322" s="33" t="s">
        <v>1418</v>
      </c>
      <c r="C322" s="33" t="s">
        <v>1419</v>
      </c>
      <c r="D322" s="33">
        <f t="shared" si="4"/>
        <v>-1</v>
      </c>
      <c r="E322" s="33" t="s">
        <v>34</v>
      </c>
      <c r="F322" s="33" t="s">
        <v>1222</v>
      </c>
      <c r="G322" s="33" t="s">
        <v>1420</v>
      </c>
      <c r="H322" s="33" t="s">
        <v>37</v>
      </c>
      <c r="I322" s="33" t="s">
        <v>38</v>
      </c>
      <c r="J322" s="33" t="s">
        <v>1421</v>
      </c>
      <c r="K322" s="33" t="s">
        <v>1422</v>
      </c>
      <c r="L322" s="33">
        <v>829920</v>
      </c>
      <c r="M322" s="33">
        <v>0</v>
      </c>
      <c r="N322" s="33">
        <v>0</v>
      </c>
      <c r="O322" s="33">
        <v>5197920</v>
      </c>
      <c r="P322" s="33" t="s">
        <v>41</v>
      </c>
      <c r="Q322" s="33" t="s">
        <v>42</v>
      </c>
      <c r="W322" s="33" t="s">
        <v>161</v>
      </c>
      <c r="X322" s="1" t="s">
        <v>784</v>
      </c>
    </row>
    <row r="323" spans="1:24" x14ac:dyDescent="0.2">
      <c r="A323" s="33" t="s">
        <v>31</v>
      </c>
      <c r="B323" s="33" t="s">
        <v>1423</v>
      </c>
      <c r="C323" s="33" t="s">
        <v>1424</v>
      </c>
      <c r="D323" s="33">
        <f t="shared" si="4"/>
        <v>-1</v>
      </c>
      <c r="E323" s="33" t="s">
        <v>34</v>
      </c>
      <c r="F323" s="33" t="s">
        <v>1222</v>
      </c>
      <c r="G323" s="33" t="s">
        <v>1425</v>
      </c>
      <c r="H323" s="33" t="s">
        <v>37</v>
      </c>
      <c r="I323" s="33" t="s">
        <v>38</v>
      </c>
      <c r="J323" s="33" t="s">
        <v>1421</v>
      </c>
      <c r="K323" s="33" t="s">
        <v>1422</v>
      </c>
      <c r="L323" s="33">
        <v>54150</v>
      </c>
      <c r="M323" s="33">
        <v>0</v>
      </c>
      <c r="N323" s="33">
        <v>0</v>
      </c>
      <c r="O323" s="33">
        <v>339150</v>
      </c>
      <c r="P323" s="33" t="s">
        <v>41</v>
      </c>
      <c r="Q323" s="33" t="s">
        <v>42</v>
      </c>
      <c r="W323" s="33" t="s">
        <v>161</v>
      </c>
      <c r="X323" s="1" t="s">
        <v>784</v>
      </c>
    </row>
    <row r="324" spans="1:24" x14ac:dyDescent="0.2">
      <c r="A324" s="29" t="s">
        <v>31</v>
      </c>
      <c r="B324" s="29" t="s">
        <v>1426</v>
      </c>
      <c r="C324" s="29" t="s">
        <v>1427</v>
      </c>
      <c r="D324" s="29">
        <f t="shared" si="4"/>
        <v>-1</v>
      </c>
      <c r="E324" s="29" t="s">
        <v>34</v>
      </c>
      <c r="F324" s="29" t="s">
        <v>1222</v>
      </c>
      <c r="G324" s="29" t="s">
        <v>1428</v>
      </c>
      <c r="H324" s="29" t="s">
        <v>37</v>
      </c>
      <c r="I324" s="29" t="s">
        <v>38</v>
      </c>
      <c r="J324" s="29" t="s">
        <v>1429</v>
      </c>
      <c r="K324" s="29" t="s">
        <v>1430</v>
      </c>
      <c r="L324" s="29">
        <v>79800</v>
      </c>
      <c r="M324" s="29">
        <v>0</v>
      </c>
      <c r="N324" s="29">
        <v>0</v>
      </c>
      <c r="O324" s="29">
        <v>499800</v>
      </c>
      <c r="P324" s="29" t="s">
        <v>41</v>
      </c>
      <c r="Q324" s="29" t="s">
        <v>42</v>
      </c>
      <c r="T324" s="1" t="s">
        <v>161</v>
      </c>
    </row>
    <row r="325" spans="1:24" x14ac:dyDescent="0.2">
      <c r="A325" s="33" t="s">
        <v>31</v>
      </c>
      <c r="B325" s="33" t="s">
        <v>1431</v>
      </c>
      <c r="C325" s="33" t="s">
        <v>1432</v>
      </c>
      <c r="D325" s="33">
        <f t="shared" si="4"/>
        <v>-1</v>
      </c>
      <c r="E325" s="33" t="s">
        <v>34</v>
      </c>
      <c r="F325" s="33" t="s">
        <v>1222</v>
      </c>
      <c r="G325" s="33" t="s">
        <v>1433</v>
      </c>
      <c r="H325" s="33" t="s">
        <v>37</v>
      </c>
      <c r="I325" s="33" t="s">
        <v>38</v>
      </c>
      <c r="J325" s="33" t="s">
        <v>1434</v>
      </c>
      <c r="K325" s="33" t="s">
        <v>1435</v>
      </c>
      <c r="L325" s="33">
        <v>147060</v>
      </c>
      <c r="M325" s="33">
        <v>0</v>
      </c>
      <c r="N325" s="33">
        <v>0</v>
      </c>
      <c r="O325" s="33">
        <v>921060</v>
      </c>
      <c r="P325" s="33" t="s">
        <v>41</v>
      </c>
      <c r="Q325" s="33" t="s">
        <v>42</v>
      </c>
      <c r="W325" s="1" t="s">
        <v>43</v>
      </c>
      <c r="X325" s="1" t="s">
        <v>1436</v>
      </c>
    </row>
    <row r="326" spans="1:24" x14ac:dyDescent="0.2">
      <c r="A326" s="33" t="s">
        <v>31</v>
      </c>
      <c r="B326" s="33" t="s">
        <v>1437</v>
      </c>
      <c r="C326" s="33" t="s">
        <v>1438</v>
      </c>
      <c r="D326" s="33">
        <f t="shared" si="4"/>
        <v>-1</v>
      </c>
      <c r="E326" s="33" t="s">
        <v>34</v>
      </c>
      <c r="F326" s="33" t="s">
        <v>1222</v>
      </c>
      <c r="G326" s="33" t="s">
        <v>1439</v>
      </c>
      <c r="H326" s="33" t="s">
        <v>37</v>
      </c>
      <c r="I326" s="33" t="s">
        <v>38</v>
      </c>
      <c r="J326" s="33" t="s">
        <v>1440</v>
      </c>
      <c r="K326" s="33" t="s">
        <v>1441</v>
      </c>
      <c r="L326" s="33">
        <v>141607</v>
      </c>
      <c r="M326" s="33">
        <v>0</v>
      </c>
      <c r="N326" s="33">
        <v>0</v>
      </c>
      <c r="O326" s="33">
        <v>909407</v>
      </c>
      <c r="P326" s="33" t="s">
        <v>41</v>
      </c>
      <c r="Q326" s="33" t="s">
        <v>42</v>
      </c>
      <c r="W326" s="33" t="s">
        <v>43</v>
      </c>
      <c r="X326" s="1" t="s">
        <v>742</v>
      </c>
    </row>
    <row r="327" spans="1:24" x14ac:dyDescent="0.2">
      <c r="A327" s="33" t="s">
        <v>31</v>
      </c>
      <c r="B327" s="33" t="s">
        <v>1442</v>
      </c>
      <c r="C327" s="33" t="s">
        <v>1443</v>
      </c>
      <c r="D327" s="33">
        <f t="shared" si="4"/>
        <v>-1</v>
      </c>
      <c r="E327" s="33" t="s">
        <v>34</v>
      </c>
      <c r="F327" s="33" t="s">
        <v>1222</v>
      </c>
      <c r="G327" s="33" t="s">
        <v>1444</v>
      </c>
      <c r="H327" s="33" t="s">
        <v>37</v>
      </c>
      <c r="I327" s="33" t="s">
        <v>38</v>
      </c>
      <c r="J327" s="33" t="s">
        <v>1368</v>
      </c>
      <c r="K327" s="33" t="s">
        <v>1369</v>
      </c>
      <c r="L327" s="33">
        <v>740357.99</v>
      </c>
      <c r="M327" s="33">
        <v>0</v>
      </c>
      <c r="N327" s="33">
        <v>0</v>
      </c>
      <c r="O327" s="33">
        <v>4636978.99</v>
      </c>
      <c r="P327" s="33" t="s">
        <v>41</v>
      </c>
      <c r="Q327" s="33" t="s">
        <v>42</v>
      </c>
      <c r="W327" s="1" t="s">
        <v>43</v>
      </c>
      <c r="X327" s="1" t="s">
        <v>722</v>
      </c>
    </row>
    <row r="328" spans="1:24" x14ac:dyDescent="0.2">
      <c r="A328" s="29" t="s">
        <v>31</v>
      </c>
      <c r="B328" s="29" t="s">
        <v>1445</v>
      </c>
      <c r="C328" s="29" t="s">
        <v>1446</v>
      </c>
      <c r="D328" s="29">
        <f t="shared" si="4"/>
        <v>-1</v>
      </c>
      <c r="E328" s="29" t="s">
        <v>34</v>
      </c>
      <c r="F328" s="29" t="s">
        <v>1222</v>
      </c>
      <c r="G328" s="29" t="s">
        <v>1447</v>
      </c>
      <c r="H328" s="29" t="s">
        <v>37</v>
      </c>
      <c r="I328" s="29" t="s">
        <v>38</v>
      </c>
      <c r="J328" s="29" t="s">
        <v>1341</v>
      </c>
      <c r="K328" s="29" t="s">
        <v>1342</v>
      </c>
      <c r="L328" s="29">
        <v>389435.97</v>
      </c>
      <c r="M328" s="29">
        <v>0</v>
      </c>
      <c r="N328" s="29">
        <v>0</v>
      </c>
      <c r="O328" s="29">
        <v>2439098.9700000002</v>
      </c>
      <c r="P328" s="29" t="s">
        <v>41</v>
      </c>
      <c r="Q328" s="29" t="s">
        <v>42</v>
      </c>
      <c r="T328" s="1" t="s">
        <v>43</v>
      </c>
    </row>
    <row r="329" spans="1:24" x14ac:dyDescent="0.2">
      <c r="A329" s="33" t="s">
        <v>31</v>
      </c>
      <c r="B329" s="33" t="s">
        <v>1448</v>
      </c>
      <c r="C329" s="33" t="s">
        <v>1449</v>
      </c>
      <c r="D329" s="33">
        <f t="shared" si="4"/>
        <v>-1</v>
      </c>
      <c r="E329" s="33" t="s">
        <v>34</v>
      </c>
      <c r="F329" s="33" t="s">
        <v>1222</v>
      </c>
      <c r="G329" s="33" t="s">
        <v>1450</v>
      </c>
      <c r="H329" s="33" t="s">
        <v>37</v>
      </c>
      <c r="I329" s="33" t="s">
        <v>38</v>
      </c>
      <c r="J329" s="33" t="s">
        <v>1451</v>
      </c>
      <c r="K329" s="33" t="s">
        <v>1452</v>
      </c>
      <c r="L329" s="33">
        <v>2443031.4</v>
      </c>
      <c r="M329" s="33">
        <v>0</v>
      </c>
      <c r="N329" s="33">
        <v>0</v>
      </c>
      <c r="O329" s="33">
        <v>15301091.4</v>
      </c>
      <c r="P329" s="33" t="s">
        <v>41</v>
      </c>
      <c r="Q329" s="33" t="s">
        <v>42</v>
      </c>
      <c r="W329" s="33" t="s">
        <v>161</v>
      </c>
      <c r="X329" s="1" t="s">
        <v>742</v>
      </c>
    </row>
    <row r="330" spans="1:24" x14ac:dyDescent="0.2">
      <c r="A330" s="29" t="s">
        <v>31</v>
      </c>
      <c r="B330" s="29" t="s">
        <v>1453</v>
      </c>
      <c r="C330" s="29" t="s">
        <v>1454</v>
      </c>
      <c r="D330" s="29">
        <f t="shared" si="4"/>
        <v>-1</v>
      </c>
      <c r="E330" s="29" t="s">
        <v>34</v>
      </c>
      <c r="F330" s="29" t="s">
        <v>1222</v>
      </c>
      <c r="G330" s="29" t="s">
        <v>1455</v>
      </c>
      <c r="H330" s="29" t="s">
        <v>37</v>
      </c>
      <c r="I330" s="29" t="s">
        <v>38</v>
      </c>
      <c r="J330" s="29" t="s">
        <v>267</v>
      </c>
      <c r="K330" s="29" t="s">
        <v>268</v>
      </c>
      <c r="L330" s="29">
        <v>126730</v>
      </c>
      <c r="M330" s="29">
        <v>0</v>
      </c>
      <c r="N330" s="29">
        <v>0</v>
      </c>
      <c r="O330" s="29">
        <v>793730</v>
      </c>
      <c r="P330" s="29" t="s">
        <v>41</v>
      </c>
      <c r="Q330" s="29" t="s">
        <v>42</v>
      </c>
      <c r="T330" s="1" t="s">
        <v>43</v>
      </c>
    </row>
    <row r="331" spans="1:24" x14ac:dyDescent="0.2">
      <c r="A331" s="33" t="s">
        <v>31</v>
      </c>
      <c r="B331" s="33" t="s">
        <v>1456</v>
      </c>
      <c r="C331" s="33" t="s">
        <v>1457</v>
      </c>
      <c r="D331" s="33">
        <f t="shared" ref="D331:D394" si="5">C331-C332</f>
        <v>-1</v>
      </c>
      <c r="E331" s="33" t="s">
        <v>34</v>
      </c>
      <c r="F331" s="33" t="s">
        <v>1222</v>
      </c>
      <c r="G331" s="33" t="s">
        <v>1458</v>
      </c>
      <c r="H331" s="33" t="s">
        <v>37</v>
      </c>
      <c r="I331" s="33" t="s">
        <v>38</v>
      </c>
      <c r="J331" s="33" t="s">
        <v>1459</v>
      </c>
      <c r="K331" s="33" t="s">
        <v>1460</v>
      </c>
      <c r="L331" s="33">
        <v>214015.81</v>
      </c>
      <c r="M331" s="33">
        <v>0</v>
      </c>
      <c r="N331" s="33">
        <v>0</v>
      </c>
      <c r="O331" s="33">
        <v>1340414.81</v>
      </c>
      <c r="P331" s="33" t="s">
        <v>41</v>
      </c>
      <c r="Q331" s="33" t="s">
        <v>42</v>
      </c>
      <c r="W331" s="33" t="s">
        <v>161</v>
      </c>
      <c r="X331" s="1" t="s">
        <v>1214</v>
      </c>
    </row>
    <row r="332" spans="1:24" x14ac:dyDescent="0.2">
      <c r="A332" s="1" t="s">
        <v>31</v>
      </c>
      <c r="B332" s="1" t="s">
        <v>1461</v>
      </c>
      <c r="C332" s="1" t="s">
        <v>1462</v>
      </c>
      <c r="D332" s="1">
        <f t="shared" si="5"/>
        <v>-1</v>
      </c>
      <c r="E332" s="1" t="s">
        <v>34</v>
      </c>
      <c r="F332" s="1" t="s">
        <v>1222</v>
      </c>
      <c r="G332" s="1" t="s">
        <v>1463</v>
      </c>
      <c r="H332" s="1" t="s">
        <v>37</v>
      </c>
      <c r="I332" s="1" t="s">
        <v>38</v>
      </c>
      <c r="J332" s="1" t="s">
        <v>1464</v>
      </c>
      <c r="K332" s="1" t="s">
        <v>1465</v>
      </c>
      <c r="L332" s="1">
        <v>37962</v>
      </c>
      <c r="M332" s="1">
        <v>0</v>
      </c>
      <c r="N332" s="1">
        <v>0</v>
      </c>
      <c r="O332" s="1">
        <v>237762</v>
      </c>
      <c r="P332" s="1" t="s">
        <v>41</v>
      </c>
      <c r="Q332" s="1" t="s">
        <v>42</v>
      </c>
      <c r="V332" s="1" t="s">
        <v>43</v>
      </c>
    </row>
    <row r="333" spans="1:24" x14ac:dyDescent="0.2">
      <c r="A333" s="33" t="s">
        <v>31</v>
      </c>
      <c r="B333" s="33" t="s">
        <v>1466</v>
      </c>
      <c r="C333" s="33" t="s">
        <v>1467</v>
      </c>
      <c r="D333" s="33">
        <f t="shared" si="5"/>
        <v>-1</v>
      </c>
      <c r="E333" s="33" t="s">
        <v>34</v>
      </c>
      <c r="F333" s="33" t="s">
        <v>1222</v>
      </c>
      <c r="G333" s="33" t="s">
        <v>1468</v>
      </c>
      <c r="H333" s="33" t="s">
        <v>37</v>
      </c>
      <c r="I333" s="33" t="s">
        <v>38</v>
      </c>
      <c r="J333" s="33" t="s">
        <v>1469</v>
      </c>
      <c r="K333" s="33" t="s">
        <v>1470</v>
      </c>
      <c r="L333" s="33">
        <v>57000</v>
      </c>
      <c r="M333" s="33">
        <v>0</v>
      </c>
      <c r="N333" s="33">
        <v>0</v>
      </c>
      <c r="O333" s="33">
        <v>357000</v>
      </c>
      <c r="P333" s="33" t="s">
        <v>41</v>
      </c>
      <c r="Q333" s="33" t="s">
        <v>42</v>
      </c>
      <c r="W333" s="33" t="s">
        <v>161</v>
      </c>
      <c r="X333" s="1" t="s">
        <v>524</v>
      </c>
    </row>
    <row r="334" spans="1:24" x14ac:dyDescent="0.2">
      <c r="A334" s="33" t="s">
        <v>31</v>
      </c>
      <c r="B334" s="33" t="s">
        <v>1471</v>
      </c>
      <c r="C334" s="33" t="s">
        <v>1472</v>
      </c>
      <c r="D334" s="33">
        <f t="shared" si="5"/>
        <v>-1</v>
      </c>
      <c r="E334" s="33" t="s">
        <v>34</v>
      </c>
      <c r="F334" s="33" t="s">
        <v>1222</v>
      </c>
      <c r="G334" s="33" t="s">
        <v>1473</v>
      </c>
      <c r="H334" s="33" t="s">
        <v>37</v>
      </c>
      <c r="I334" s="33" t="s">
        <v>38</v>
      </c>
      <c r="J334" s="33" t="s">
        <v>1474</v>
      </c>
      <c r="K334" s="33" t="s">
        <v>1475</v>
      </c>
      <c r="L334" s="33">
        <v>361950</v>
      </c>
      <c r="M334" s="33">
        <v>0</v>
      </c>
      <c r="N334" s="33">
        <v>0</v>
      </c>
      <c r="O334" s="33">
        <v>2266950</v>
      </c>
      <c r="P334" s="33" t="s">
        <v>41</v>
      </c>
      <c r="Q334" s="33" t="s">
        <v>42</v>
      </c>
      <c r="W334" s="33" t="s">
        <v>161</v>
      </c>
      <c r="X334" s="1" t="s">
        <v>369</v>
      </c>
    </row>
    <row r="335" spans="1:24" x14ac:dyDescent="0.2">
      <c r="A335" s="33" t="s">
        <v>31</v>
      </c>
      <c r="B335" s="33" t="s">
        <v>1476</v>
      </c>
      <c r="C335" s="33" t="s">
        <v>1477</v>
      </c>
      <c r="D335" s="33">
        <f t="shared" si="5"/>
        <v>-1</v>
      </c>
      <c r="E335" s="33" t="s">
        <v>34</v>
      </c>
      <c r="F335" s="33" t="s">
        <v>1222</v>
      </c>
      <c r="G335" s="33" t="s">
        <v>1478</v>
      </c>
      <c r="H335" s="33" t="s">
        <v>37</v>
      </c>
      <c r="I335" s="33" t="s">
        <v>38</v>
      </c>
      <c r="J335" s="33" t="s">
        <v>1479</v>
      </c>
      <c r="K335" s="33" t="s">
        <v>1480</v>
      </c>
      <c r="L335" s="33">
        <v>1290812.8799999999</v>
      </c>
      <c r="M335" s="33">
        <v>0</v>
      </c>
      <c r="N335" s="33">
        <v>0</v>
      </c>
      <c r="O335" s="33">
        <v>8084564.8799999999</v>
      </c>
      <c r="P335" s="33" t="s">
        <v>41</v>
      </c>
      <c r="Q335" s="33" t="s">
        <v>42</v>
      </c>
      <c r="W335" s="33" t="s">
        <v>161</v>
      </c>
      <c r="X335" s="1" t="s">
        <v>1481</v>
      </c>
    </row>
    <row r="336" spans="1:24" x14ac:dyDescent="0.2">
      <c r="A336" s="28" t="s">
        <v>31</v>
      </c>
      <c r="B336" s="28" t="s">
        <v>1482</v>
      </c>
      <c r="C336" s="28" t="s">
        <v>1483</v>
      </c>
      <c r="D336" s="28">
        <f t="shared" si="5"/>
        <v>-1</v>
      </c>
      <c r="E336" s="28" t="s">
        <v>34</v>
      </c>
      <c r="F336" s="28" t="s">
        <v>1222</v>
      </c>
      <c r="G336" s="28" t="s">
        <v>1484</v>
      </c>
      <c r="H336" s="28" t="s">
        <v>37</v>
      </c>
      <c r="I336" s="28" t="s">
        <v>38</v>
      </c>
      <c r="J336" s="28" t="s">
        <v>1485</v>
      </c>
      <c r="K336" s="28" t="s">
        <v>1486</v>
      </c>
      <c r="L336" s="28">
        <v>1228540</v>
      </c>
      <c r="M336" s="28">
        <v>0</v>
      </c>
      <c r="N336" s="28">
        <v>0</v>
      </c>
      <c r="O336" s="28">
        <v>7694540</v>
      </c>
      <c r="P336" s="28" t="s">
        <v>41</v>
      </c>
      <c r="Q336" s="28" t="s">
        <v>42</v>
      </c>
      <c r="R336" s="1" t="s">
        <v>43</v>
      </c>
    </row>
    <row r="337" spans="1:24" x14ac:dyDescent="0.2">
      <c r="A337" s="1" t="s">
        <v>31</v>
      </c>
      <c r="B337" s="1" t="s">
        <v>1487</v>
      </c>
      <c r="C337" s="1" t="s">
        <v>1488</v>
      </c>
      <c r="D337" s="1">
        <f t="shared" si="5"/>
        <v>-1</v>
      </c>
      <c r="E337" s="1" t="s">
        <v>34</v>
      </c>
      <c r="F337" s="1" t="s">
        <v>1222</v>
      </c>
      <c r="G337" s="1" t="s">
        <v>1489</v>
      </c>
      <c r="H337" s="1" t="s">
        <v>37</v>
      </c>
      <c r="I337" s="1" t="s">
        <v>38</v>
      </c>
      <c r="J337" s="1" t="s">
        <v>1490</v>
      </c>
      <c r="K337" s="1" t="s">
        <v>1491</v>
      </c>
      <c r="L337" s="1">
        <v>56240</v>
      </c>
      <c r="M337" s="1">
        <v>0</v>
      </c>
      <c r="N337" s="1">
        <v>0</v>
      </c>
      <c r="O337" s="1">
        <v>352240</v>
      </c>
      <c r="P337" s="1" t="s">
        <v>41</v>
      </c>
      <c r="Q337" s="1" t="s">
        <v>42</v>
      </c>
      <c r="V337" s="1" t="s">
        <v>43</v>
      </c>
    </row>
    <row r="338" spans="1:24" x14ac:dyDescent="0.2">
      <c r="A338" s="28" t="s">
        <v>31</v>
      </c>
      <c r="B338" s="28" t="s">
        <v>1492</v>
      </c>
      <c r="C338" s="28" t="s">
        <v>1493</v>
      </c>
      <c r="D338" s="28">
        <f t="shared" si="5"/>
        <v>-1</v>
      </c>
      <c r="E338" s="28" t="s">
        <v>34</v>
      </c>
      <c r="F338" s="28" t="s">
        <v>1222</v>
      </c>
      <c r="G338" s="28" t="s">
        <v>1494</v>
      </c>
      <c r="H338" s="28" t="s">
        <v>37</v>
      </c>
      <c r="I338" s="28" t="s">
        <v>38</v>
      </c>
      <c r="J338" s="28" t="s">
        <v>57</v>
      </c>
      <c r="K338" s="28" t="s">
        <v>58</v>
      </c>
      <c r="L338" s="28">
        <v>5248239.8499999996</v>
      </c>
      <c r="M338" s="28">
        <v>0</v>
      </c>
      <c r="N338" s="28">
        <v>0</v>
      </c>
      <c r="O338" s="28">
        <v>60818712.850000001</v>
      </c>
      <c r="P338" s="28" t="s">
        <v>41</v>
      </c>
      <c r="Q338" s="28" t="s">
        <v>42</v>
      </c>
      <c r="R338" s="1" t="s">
        <v>43</v>
      </c>
    </row>
    <row r="339" spans="1:24" x14ac:dyDescent="0.2">
      <c r="A339" s="33" t="s">
        <v>31</v>
      </c>
      <c r="B339" s="33" t="s">
        <v>1495</v>
      </c>
      <c r="C339" s="33" t="s">
        <v>1496</v>
      </c>
      <c r="D339" s="33">
        <f t="shared" si="5"/>
        <v>-1</v>
      </c>
      <c r="E339" s="33" t="s">
        <v>34</v>
      </c>
      <c r="F339" s="33" t="s">
        <v>1222</v>
      </c>
      <c r="G339" s="33" t="s">
        <v>1497</v>
      </c>
      <c r="H339" s="33" t="s">
        <v>37</v>
      </c>
      <c r="I339" s="33" t="s">
        <v>38</v>
      </c>
      <c r="J339" s="33" t="s">
        <v>1498</v>
      </c>
      <c r="K339" s="33" t="s">
        <v>1499</v>
      </c>
      <c r="L339" s="33">
        <v>108300</v>
      </c>
      <c r="M339" s="33">
        <v>0</v>
      </c>
      <c r="N339" s="33">
        <v>0</v>
      </c>
      <c r="O339" s="33">
        <v>678300</v>
      </c>
      <c r="P339" s="33" t="s">
        <v>41</v>
      </c>
      <c r="Q339" s="33" t="s">
        <v>42</v>
      </c>
      <c r="W339" s="33" t="s">
        <v>161</v>
      </c>
      <c r="X339" s="1" t="s">
        <v>524</v>
      </c>
    </row>
    <row r="340" spans="1:24" x14ac:dyDescent="0.2">
      <c r="A340" s="33" t="s">
        <v>31</v>
      </c>
      <c r="B340" s="33" t="s">
        <v>1500</v>
      </c>
      <c r="C340" s="33" t="s">
        <v>1501</v>
      </c>
      <c r="D340" s="33">
        <f t="shared" si="5"/>
        <v>-1</v>
      </c>
      <c r="E340" s="33" t="s">
        <v>34</v>
      </c>
      <c r="F340" s="33" t="s">
        <v>1222</v>
      </c>
      <c r="G340" s="33" t="s">
        <v>1502</v>
      </c>
      <c r="H340" s="33" t="s">
        <v>37</v>
      </c>
      <c r="I340" s="33" t="s">
        <v>38</v>
      </c>
      <c r="J340" s="33" t="s">
        <v>1218</v>
      </c>
      <c r="K340" s="33" t="s">
        <v>1219</v>
      </c>
      <c r="L340" s="33">
        <v>99378.36</v>
      </c>
      <c r="M340" s="33">
        <v>0</v>
      </c>
      <c r="N340" s="33">
        <v>0</v>
      </c>
      <c r="O340" s="33">
        <v>622422.36</v>
      </c>
      <c r="P340" s="33" t="s">
        <v>41</v>
      </c>
      <c r="Q340" s="33" t="s">
        <v>42</v>
      </c>
      <c r="W340" s="33" t="s">
        <v>161</v>
      </c>
      <c r="X340" s="1" t="s">
        <v>784</v>
      </c>
    </row>
    <row r="341" spans="1:24" x14ac:dyDescent="0.2">
      <c r="A341" s="33" t="s">
        <v>31</v>
      </c>
      <c r="B341" s="33" t="s">
        <v>1503</v>
      </c>
      <c r="C341" s="33" t="s">
        <v>1504</v>
      </c>
      <c r="D341" s="33">
        <f t="shared" si="5"/>
        <v>-1</v>
      </c>
      <c r="E341" s="33" t="s">
        <v>34</v>
      </c>
      <c r="F341" s="33" t="s">
        <v>1222</v>
      </c>
      <c r="G341" s="33" t="s">
        <v>1505</v>
      </c>
      <c r="H341" s="33" t="s">
        <v>37</v>
      </c>
      <c r="I341" s="33" t="s">
        <v>38</v>
      </c>
      <c r="J341" s="33" t="s">
        <v>652</v>
      </c>
      <c r="K341" s="33" t="s">
        <v>653</v>
      </c>
      <c r="L341" s="33">
        <v>1523800</v>
      </c>
      <c r="M341" s="33">
        <v>0</v>
      </c>
      <c r="N341" s="33">
        <v>0</v>
      </c>
      <c r="O341" s="33">
        <v>9543800</v>
      </c>
      <c r="P341" s="33" t="s">
        <v>41</v>
      </c>
      <c r="Q341" s="33" t="s">
        <v>42</v>
      </c>
      <c r="W341" s="1" t="s">
        <v>43</v>
      </c>
      <c r="X341" s="1" t="s">
        <v>1506</v>
      </c>
    </row>
    <row r="342" spans="1:24" x14ac:dyDescent="0.2">
      <c r="A342" s="33" t="s">
        <v>31</v>
      </c>
      <c r="B342" s="33" t="s">
        <v>1507</v>
      </c>
      <c r="C342" s="33" t="s">
        <v>1508</v>
      </c>
      <c r="D342" s="33">
        <f t="shared" si="5"/>
        <v>-1</v>
      </c>
      <c r="E342" s="33" t="s">
        <v>34</v>
      </c>
      <c r="F342" s="33" t="s">
        <v>1222</v>
      </c>
      <c r="G342" s="33" t="s">
        <v>1509</v>
      </c>
      <c r="H342" s="33" t="s">
        <v>37</v>
      </c>
      <c r="I342" s="33" t="s">
        <v>38</v>
      </c>
      <c r="J342" s="33" t="s">
        <v>1510</v>
      </c>
      <c r="K342" s="33" t="s">
        <v>1511</v>
      </c>
      <c r="L342" s="33">
        <v>508440</v>
      </c>
      <c r="M342" s="33">
        <v>0</v>
      </c>
      <c r="N342" s="33">
        <v>0</v>
      </c>
      <c r="O342" s="33">
        <v>3184440</v>
      </c>
      <c r="P342" s="33" t="s">
        <v>41</v>
      </c>
      <c r="Q342" s="33" t="s">
        <v>42</v>
      </c>
      <c r="W342" s="33" t="s">
        <v>161</v>
      </c>
      <c r="X342" s="1" t="s">
        <v>694</v>
      </c>
    </row>
    <row r="343" spans="1:24" x14ac:dyDescent="0.2">
      <c r="A343" s="29" t="s">
        <v>31</v>
      </c>
      <c r="B343" s="29" t="s">
        <v>1512</v>
      </c>
      <c r="C343" s="29" t="s">
        <v>1513</v>
      </c>
      <c r="D343" s="29">
        <f t="shared" si="5"/>
        <v>-1</v>
      </c>
      <c r="E343" s="29" t="s">
        <v>34</v>
      </c>
      <c r="F343" s="29" t="s">
        <v>1222</v>
      </c>
      <c r="G343" s="29" t="s">
        <v>1514</v>
      </c>
      <c r="H343" s="29" t="s">
        <v>37</v>
      </c>
      <c r="I343" s="29" t="s">
        <v>38</v>
      </c>
      <c r="J343" s="29" t="s">
        <v>1515</v>
      </c>
      <c r="K343" s="29" t="s">
        <v>1516</v>
      </c>
      <c r="L343" s="29">
        <v>529285.66</v>
      </c>
      <c r="M343" s="29">
        <v>0</v>
      </c>
      <c r="N343" s="29">
        <v>0</v>
      </c>
      <c r="O343" s="29">
        <v>3314999.66</v>
      </c>
      <c r="P343" s="29" t="s">
        <v>41</v>
      </c>
      <c r="Q343" s="29" t="s">
        <v>42</v>
      </c>
      <c r="T343" s="1" t="s">
        <v>161</v>
      </c>
    </row>
    <row r="344" spans="1:24" x14ac:dyDescent="0.2">
      <c r="A344" s="33" t="s">
        <v>31</v>
      </c>
      <c r="B344" s="33" t="s">
        <v>1517</v>
      </c>
      <c r="C344" s="33" t="s">
        <v>1518</v>
      </c>
      <c r="D344" s="33">
        <f t="shared" si="5"/>
        <v>-1</v>
      </c>
      <c r="E344" s="33" t="s">
        <v>34</v>
      </c>
      <c r="F344" s="33" t="s">
        <v>1222</v>
      </c>
      <c r="G344" s="33" t="s">
        <v>1519</v>
      </c>
      <c r="H344" s="33" t="s">
        <v>37</v>
      </c>
      <c r="I344" s="33" t="s">
        <v>38</v>
      </c>
      <c r="J344" s="33" t="s">
        <v>1520</v>
      </c>
      <c r="K344" s="33" t="s">
        <v>1521</v>
      </c>
      <c r="L344" s="33">
        <v>12695.6</v>
      </c>
      <c r="M344" s="33">
        <v>0</v>
      </c>
      <c r="N344" s="33">
        <v>0</v>
      </c>
      <c r="O344" s="33">
        <v>94463.6</v>
      </c>
      <c r="P344" s="33" t="s">
        <v>41</v>
      </c>
      <c r="Q344" s="33" t="s">
        <v>42</v>
      </c>
      <c r="W344" s="1" t="s">
        <v>43</v>
      </c>
      <c r="X344" s="1" t="s">
        <v>1097</v>
      </c>
    </row>
    <row r="345" spans="1:24" x14ac:dyDescent="0.2">
      <c r="A345" s="33" t="s">
        <v>31</v>
      </c>
      <c r="B345" s="33" t="s">
        <v>1522</v>
      </c>
      <c r="C345" s="33" t="s">
        <v>1523</v>
      </c>
      <c r="D345" s="33">
        <f t="shared" si="5"/>
        <v>-1</v>
      </c>
      <c r="E345" s="33" t="s">
        <v>34</v>
      </c>
      <c r="F345" s="33" t="s">
        <v>1222</v>
      </c>
      <c r="G345" s="33" t="s">
        <v>1524</v>
      </c>
      <c r="H345" s="33" t="s">
        <v>37</v>
      </c>
      <c r="I345" s="33" t="s">
        <v>38</v>
      </c>
      <c r="J345" s="33" t="s">
        <v>1525</v>
      </c>
      <c r="K345" s="33" t="s">
        <v>1526</v>
      </c>
      <c r="L345" s="33">
        <v>19144.099999999999</v>
      </c>
      <c r="M345" s="33">
        <v>0</v>
      </c>
      <c r="N345" s="33">
        <v>0</v>
      </c>
      <c r="O345" s="33">
        <v>142326.1</v>
      </c>
      <c r="P345" s="33" t="s">
        <v>41</v>
      </c>
      <c r="Q345" s="33" t="s">
        <v>42</v>
      </c>
      <c r="W345" s="1" t="s">
        <v>43</v>
      </c>
      <c r="X345" s="1" t="s">
        <v>1097</v>
      </c>
    </row>
    <row r="346" spans="1:24" x14ac:dyDescent="0.2">
      <c r="A346" s="33" t="s">
        <v>31</v>
      </c>
      <c r="B346" s="33" t="s">
        <v>1527</v>
      </c>
      <c r="C346" s="33" t="s">
        <v>1528</v>
      </c>
      <c r="D346" s="33">
        <f t="shared" si="5"/>
        <v>-1</v>
      </c>
      <c r="E346" s="33" t="s">
        <v>34</v>
      </c>
      <c r="F346" s="33" t="s">
        <v>1222</v>
      </c>
      <c r="G346" s="33" t="s">
        <v>1529</v>
      </c>
      <c r="H346" s="33" t="s">
        <v>37</v>
      </c>
      <c r="I346" s="33" t="s">
        <v>38</v>
      </c>
      <c r="J346" s="33" t="s">
        <v>1530</v>
      </c>
      <c r="K346" s="33" t="s">
        <v>1531</v>
      </c>
      <c r="L346" s="33">
        <v>36908.9</v>
      </c>
      <c r="M346" s="33">
        <v>0</v>
      </c>
      <c r="N346" s="33">
        <v>0</v>
      </c>
      <c r="O346" s="33">
        <v>268538.90000000002</v>
      </c>
      <c r="P346" s="33" t="s">
        <v>41</v>
      </c>
      <c r="Q346" s="33" t="s">
        <v>42</v>
      </c>
      <c r="W346" s="1" t="s">
        <v>43</v>
      </c>
      <c r="X346" s="1" t="s">
        <v>1532</v>
      </c>
    </row>
    <row r="347" spans="1:24" x14ac:dyDescent="0.2">
      <c r="A347" s="33" t="s">
        <v>31</v>
      </c>
      <c r="B347" s="33" t="s">
        <v>1533</v>
      </c>
      <c r="C347" s="33" t="s">
        <v>1534</v>
      </c>
      <c r="D347" s="33">
        <f t="shared" si="5"/>
        <v>-1</v>
      </c>
      <c r="E347" s="33" t="s">
        <v>34</v>
      </c>
      <c r="F347" s="33" t="s">
        <v>1222</v>
      </c>
      <c r="G347" s="33" t="s">
        <v>1535</v>
      </c>
      <c r="H347" s="33" t="s">
        <v>37</v>
      </c>
      <c r="I347" s="33" t="s">
        <v>38</v>
      </c>
      <c r="J347" s="33" t="s">
        <v>1536</v>
      </c>
      <c r="K347" s="33" t="s">
        <v>1537</v>
      </c>
      <c r="L347" s="33">
        <v>287395.14</v>
      </c>
      <c r="M347" s="33">
        <v>0</v>
      </c>
      <c r="N347" s="33">
        <v>0</v>
      </c>
      <c r="O347" s="33">
        <v>1800001.14</v>
      </c>
      <c r="P347" s="33" t="s">
        <v>41</v>
      </c>
      <c r="Q347" s="33" t="s">
        <v>42</v>
      </c>
      <c r="W347" s="33" t="s">
        <v>43</v>
      </c>
      <c r="X347" s="1" t="s">
        <v>459</v>
      </c>
    </row>
    <row r="348" spans="1:24" x14ac:dyDescent="0.2">
      <c r="A348" s="1" t="s">
        <v>31</v>
      </c>
      <c r="B348" s="1" t="s">
        <v>1538</v>
      </c>
      <c r="C348" s="1" t="s">
        <v>1539</v>
      </c>
      <c r="D348" s="1">
        <f t="shared" si="5"/>
        <v>-1</v>
      </c>
      <c r="E348" s="1" t="s">
        <v>34</v>
      </c>
      <c r="F348" s="1" t="s">
        <v>1222</v>
      </c>
      <c r="G348" s="1" t="s">
        <v>1540</v>
      </c>
      <c r="H348" s="1" t="s">
        <v>37</v>
      </c>
      <c r="I348" s="1" t="s">
        <v>38</v>
      </c>
      <c r="J348" s="1" t="s">
        <v>988</v>
      </c>
      <c r="K348" s="1" t="s">
        <v>989</v>
      </c>
      <c r="L348" s="1">
        <v>262485</v>
      </c>
      <c r="M348" s="1">
        <v>0</v>
      </c>
      <c r="N348" s="1">
        <v>0</v>
      </c>
      <c r="O348" s="1">
        <v>1643985</v>
      </c>
      <c r="P348" s="1" t="s">
        <v>41</v>
      </c>
      <c r="Q348" s="1" t="s">
        <v>42</v>
      </c>
      <c r="V348" s="1" t="s">
        <v>161</v>
      </c>
    </row>
    <row r="349" spans="1:24" x14ac:dyDescent="0.2">
      <c r="A349" s="33" t="s">
        <v>31</v>
      </c>
      <c r="B349" s="33" t="s">
        <v>1541</v>
      </c>
      <c r="C349" s="33" t="s">
        <v>1542</v>
      </c>
      <c r="D349" s="33">
        <f t="shared" si="5"/>
        <v>-1</v>
      </c>
      <c r="E349" s="33" t="s">
        <v>34</v>
      </c>
      <c r="F349" s="33" t="s">
        <v>1222</v>
      </c>
      <c r="G349" s="33" t="s">
        <v>1543</v>
      </c>
      <c r="H349" s="33" t="s">
        <v>37</v>
      </c>
      <c r="I349" s="33" t="s">
        <v>38</v>
      </c>
      <c r="J349" s="33" t="s">
        <v>1544</v>
      </c>
      <c r="K349" s="33" t="s">
        <v>1545</v>
      </c>
      <c r="L349" s="33">
        <v>216600</v>
      </c>
      <c r="M349" s="33">
        <v>0</v>
      </c>
      <c r="N349" s="33">
        <v>0</v>
      </c>
      <c r="O349" s="33">
        <v>1356600</v>
      </c>
      <c r="P349" s="33" t="s">
        <v>41</v>
      </c>
      <c r="Q349" s="33" t="s">
        <v>42</v>
      </c>
      <c r="W349" s="33" t="s">
        <v>161</v>
      </c>
      <c r="X349" s="1" t="s">
        <v>1481</v>
      </c>
    </row>
    <row r="350" spans="1:24" x14ac:dyDescent="0.2">
      <c r="A350" s="33" t="s">
        <v>31</v>
      </c>
      <c r="B350" s="33" t="s">
        <v>1546</v>
      </c>
      <c r="C350" s="33" t="s">
        <v>1547</v>
      </c>
      <c r="D350" s="33">
        <f t="shared" si="5"/>
        <v>-1</v>
      </c>
      <c r="E350" s="33" t="s">
        <v>34</v>
      </c>
      <c r="F350" s="33" t="s">
        <v>1222</v>
      </c>
      <c r="G350" s="33" t="s">
        <v>1548</v>
      </c>
      <c r="H350" s="33" t="s">
        <v>37</v>
      </c>
      <c r="I350" s="33" t="s">
        <v>38</v>
      </c>
      <c r="J350" s="33" t="s">
        <v>1549</v>
      </c>
      <c r="K350" s="33" t="s">
        <v>1550</v>
      </c>
      <c r="L350" s="33">
        <v>5244</v>
      </c>
      <c r="M350" s="33">
        <v>0</v>
      </c>
      <c r="N350" s="33">
        <v>0</v>
      </c>
      <c r="O350" s="33">
        <v>32844</v>
      </c>
      <c r="P350" s="33" t="s">
        <v>41</v>
      </c>
      <c r="Q350" s="33" t="s">
        <v>42</v>
      </c>
      <c r="W350" s="33" t="s">
        <v>43</v>
      </c>
      <c r="X350" s="1" t="s">
        <v>816</v>
      </c>
    </row>
    <row r="351" spans="1:24" x14ac:dyDescent="0.2">
      <c r="A351" s="33" t="s">
        <v>31</v>
      </c>
      <c r="B351" s="33" t="s">
        <v>1551</v>
      </c>
      <c r="C351" s="33" t="s">
        <v>1552</v>
      </c>
      <c r="D351" s="33">
        <f t="shared" si="5"/>
        <v>-1</v>
      </c>
      <c r="E351" s="33" t="s">
        <v>34</v>
      </c>
      <c r="F351" s="33" t="s">
        <v>1222</v>
      </c>
      <c r="G351" s="33" t="s">
        <v>1553</v>
      </c>
      <c r="H351" s="33" t="s">
        <v>37</v>
      </c>
      <c r="I351" s="33" t="s">
        <v>38</v>
      </c>
      <c r="J351" s="33" t="s">
        <v>1554</v>
      </c>
      <c r="K351" s="33" t="s">
        <v>1555</v>
      </c>
      <c r="L351" s="33">
        <v>665000</v>
      </c>
      <c r="M351" s="33">
        <v>0</v>
      </c>
      <c r="N351" s="33">
        <v>0</v>
      </c>
      <c r="O351" s="33">
        <v>4165000</v>
      </c>
      <c r="P351" s="33" t="s">
        <v>41</v>
      </c>
      <c r="Q351" s="33" t="s">
        <v>42</v>
      </c>
      <c r="W351" s="33" t="s">
        <v>43</v>
      </c>
      <c r="X351" s="1" t="s">
        <v>317</v>
      </c>
    </row>
    <row r="352" spans="1:24" x14ac:dyDescent="0.2">
      <c r="A352" s="33" t="s">
        <v>31</v>
      </c>
      <c r="B352" s="33" t="s">
        <v>1556</v>
      </c>
      <c r="C352" s="33" t="s">
        <v>1557</v>
      </c>
      <c r="D352" s="33">
        <f t="shared" si="5"/>
        <v>-1</v>
      </c>
      <c r="E352" s="33" t="s">
        <v>34</v>
      </c>
      <c r="F352" s="33" t="s">
        <v>1222</v>
      </c>
      <c r="G352" s="33" t="s">
        <v>1558</v>
      </c>
      <c r="H352" s="33" t="s">
        <v>37</v>
      </c>
      <c r="I352" s="33" t="s">
        <v>38</v>
      </c>
      <c r="J352" s="33" t="s">
        <v>1559</v>
      </c>
      <c r="K352" s="33" t="s">
        <v>1560</v>
      </c>
      <c r="L352" s="33">
        <v>2387160</v>
      </c>
      <c r="M352" s="33">
        <v>0</v>
      </c>
      <c r="N352" s="33">
        <v>0</v>
      </c>
      <c r="O352" s="33">
        <v>14951160</v>
      </c>
      <c r="P352" s="33" t="s">
        <v>41</v>
      </c>
      <c r="Q352" s="33" t="s">
        <v>42</v>
      </c>
      <c r="W352" s="33" t="s">
        <v>161</v>
      </c>
      <c r="X352" s="1" t="s">
        <v>129</v>
      </c>
    </row>
    <row r="353" spans="1:24" x14ac:dyDescent="0.2">
      <c r="A353" s="33" t="s">
        <v>31</v>
      </c>
      <c r="B353" s="33" t="s">
        <v>1561</v>
      </c>
      <c r="C353" s="33" t="s">
        <v>1562</v>
      </c>
      <c r="D353" s="33">
        <f t="shared" si="5"/>
        <v>-1</v>
      </c>
      <c r="E353" s="33" t="s">
        <v>34</v>
      </c>
      <c r="F353" s="33" t="s">
        <v>1222</v>
      </c>
      <c r="G353" s="33" t="s">
        <v>1563</v>
      </c>
      <c r="H353" s="33" t="s">
        <v>37</v>
      </c>
      <c r="I353" s="33" t="s">
        <v>38</v>
      </c>
      <c r="J353" s="33" t="s">
        <v>1564</v>
      </c>
      <c r="K353" s="33" t="s">
        <v>1565</v>
      </c>
      <c r="L353" s="33">
        <v>0</v>
      </c>
      <c r="M353" s="33">
        <v>0</v>
      </c>
      <c r="N353" s="33">
        <v>0</v>
      </c>
      <c r="O353" s="33">
        <v>175000</v>
      </c>
      <c r="P353" s="33" t="s">
        <v>41</v>
      </c>
      <c r="Q353" s="33" t="s">
        <v>42</v>
      </c>
      <c r="W353" s="33" t="s">
        <v>43</v>
      </c>
      <c r="X353" s="1" t="s">
        <v>742</v>
      </c>
    </row>
    <row r="354" spans="1:24" x14ac:dyDescent="0.2">
      <c r="A354" s="28" t="s">
        <v>31</v>
      </c>
      <c r="B354" s="28" t="s">
        <v>1566</v>
      </c>
      <c r="C354" s="28" t="s">
        <v>1567</v>
      </c>
      <c r="D354" s="28">
        <f t="shared" si="5"/>
        <v>-1</v>
      </c>
      <c r="E354" s="28" t="s">
        <v>34</v>
      </c>
      <c r="F354" s="28" t="s">
        <v>1222</v>
      </c>
      <c r="G354" s="28" t="s">
        <v>1568</v>
      </c>
      <c r="H354" s="28" t="s">
        <v>37</v>
      </c>
      <c r="I354" s="28" t="s">
        <v>38</v>
      </c>
      <c r="J354" s="28" t="s">
        <v>1569</v>
      </c>
      <c r="K354" s="28" t="s">
        <v>1570</v>
      </c>
      <c r="L354" s="28">
        <v>60515</v>
      </c>
      <c r="M354" s="28">
        <v>0</v>
      </c>
      <c r="N354" s="28">
        <v>0</v>
      </c>
      <c r="O354" s="28">
        <v>379015</v>
      </c>
      <c r="P354" s="28" t="s">
        <v>41</v>
      </c>
      <c r="Q354" s="28" t="s">
        <v>42</v>
      </c>
      <c r="R354" s="1" t="s">
        <v>43</v>
      </c>
    </row>
    <row r="355" spans="1:24" x14ac:dyDescent="0.2">
      <c r="A355" s="33" t="s">
        <v>31</v>
      </c>
      <c r="B355" s="33" t="s">
        <v>1571</v>
      </c>
      <c r="C355" s="33" t="s">
        <v>1572</v>
      </c>
      <c r="D355" s="33">
        <f t="shared" si="5"/>
        <v>-1</v>
      </c>
      <c r="E355" s="33" t="s">
        <v>34</v>
      </c>
      <c r="F355" s="33" t="s">
        <v>1222</v>
      </c>
      <c r="G355" s="33" t="s">
        <v>1573</v>
      </c>
      <c r="H355" s="33" t="s">
        <v>37</v>
      </c>
      <c r="I355" s="33" t="s">
        <v>38</v>
      </c>
      <c r="J355" s="33" t="s">
        <v>1574</v>
      </c>
      <c r="K355" s="33" t="s">
        <v>1575</v>
      </c>
      <c r="L355" s="33">
        <v>242747.8</v>
      </c>
      <c r="M355" s="33">
        <v>0</v>
      </c>
      <c r="N355" s="33">
        <v>0</v>
      </c>
      <c r="O355" s="33">
        <v>1540117.8</v>
      </c>
      <c r="P355" s="33" t="s">
        <v>41</v>
      </c>
      <c r="Q355" s="33" t="s">
        <v>42</v>
      </c>
      <c r="W355" s="1" t="s">
        <v>43</v>
      </c>
      <c r="X355" s="1" t="s">
        <v>195</v>
      </c>
    </row>
    <row r="356" spans="1:24" x14ac:dyDescent="0.2">
      <c r="A356" s="1" t="s">
        <v>31</v>
      </c>
      <c r="B356" s="1" t="s">
        <v>1576</v>
      </c>
      <c r="C356" s="1" t="s">
        <v>1577</v>
      </c>
      <c r="D356" s="1">
        <f t="shared" si="5"/>
        <v>-1</v>
      </c>
      <c r="E356" s="1" t="s">
        <v>34</v>
      </c>
      <c r="F356" s="1" t="s">
        <v>1222</v>
      </c>
      <c r="G356" s="1" t="s">
        <v>1578</v>
      </c>
      <c r="H356" s="1" t="s">
        <v>37</v>
      </c>
      <c r="I356" s="1" t="s">
        <v>38</v>
      </c>
      <c r="J356" s="1" t="s">
        <v>988</v>
      </c>
      <c r="K356" s="1" t="s">
        <v>989</v>
      </c>
      <c r="L356" s="1">
        <v>126825</v>
      </c>
      <c r="M356" s="1">
        <v>0</v>
      </c>
      <c r="N356" s="1">
        <v>0</v>
      </c>
      <c r="O356" s="1">
        <v>794325</v>
      </c>
      <c r="P356" s="1" t="s">
        <v>41</v>
      </c>
      <c r="Q356" s="1" t="s">
        <v>42</v>
      </c>
      <c r="V356" s="1" t="s">
        <v>43</v>
      </c>
    </row>
    <row r="357" spans="1:24" x14ac:dyDescent="0.2">
      <c r="A357" s="1" t="s">
        <v>31</v>
      </c>
      <c r="B357" s="1" t="s">
        <v>1579</v>
      </c>
      <c r="C357" s="1" t="s">
        <v>1580</v>
      </c>
      <c r="D357" s="1">
        <f t="shared" si="5"/>
        <v>-1</v>
      </c>
      <c r="E357" s="1" t="s">
        <v>34</v>
      </c>
      <c r="F357" s="1" t="s">
        <v>1222</v>
      </c>
      <c r="G357" s="1" t="s">
        <v>1581</v>
      </c>
      <c r="H357" s="1" t="s">
        <v>37</v>
      </c>
      <c r="I357" s="1" t="s">
        <v>38</v>
      </c>
      <c r="J357" s="1" t="s">
        <v>988</v>
      </c>
      <c r="K357" s="1" t="s">
        <v>989</v>
      </c>
      <c r="L357" s="1">
        <v>81008.399999999994</v>
      </c>
      <c r="M357" s="1">
        <v>0</v>
      </c>
      <c r="N357" s="1">
        <v>0</v>
      </c>
      <c r="O357" s="1">
        <v>518738.4</v>
      </c>
      <c r="P357" s="1" t="s">
        <v>41</v>
      </c>
      <c r="Q357" s="1" t="s">
        <v>42</v>
      </c>
      <c r="V357" s="1" t="s">
        <v>43</v>
      </c>
    </row>
    <row r="358" spans="1:24" x14ac:dyDescent="0.2">
      <c r="A358" s="33" t="s">
        <v>31</v>
      </c>
      <c r="B358" s="33" t="s">
        <v>1582</v>
      </c>
      <c r="C358" s="33" t="s">
        <v>1583</v>
      </c>
      <c r="D358" s="33">
        <f t="shared" si="5"/>
        <v>-1</v>
      </c>
      <c r="E358" s="33" t="s">
        <v>34</v>
      </c>
      <c r="F358" s="33" t="s">
        <v>1222</v>
      </c>
      <c r="G358" s="33" t="s">
        <v>1584</v>
      </c>
      <c r="H358" s="33" t="s">
        <v>37</v>
      </c>
      <c r="I358" s="33" t="s">
        <v>38</v>
      </c>
      <c r="J358" s="33" t="s">
        <v>1310</v>
      </c>
      <c r="K358" s="33" t="s">
        <v>1311</v>
      </c>
      <c r="L358" s="33">
        <v>19786.98</v>
      </c>
      <c r="M358" s="33">
        <v>0</v>
      </c>
      <c r="N358" s="33">
        <v>0</v>
      </c>
      <c r="O358" s="33">
        <v>123928.98</v>
      </c>
      <c r="P358" s="33" t="s">
        <v>41</v>
      </c>
      <c r="Q358" s="33" t="s">
        <v>42</v>
      </c>
      <c r="W358" s="1" t="s">
        <v>43</v>
      </c>
      <c r="X358" s="1" t="s">
        <v>226</v>
      </c>
    </row>
    <row r="359" spans="1:24" x14ac:dyDescent="0.2">
      <c r="A359" s="33" t="s">
        <v>31</v>
      </c>
      <c r="B359" s="33" t="s">
        <v>1585</v>
      </c>
      <c r="C359" s="33" t="s">
        <v>1586</v>
      </c>
      <c r="D359" s="33">
        <f t="shared" si="5"/>
        <v>-1</v>
      </c>
      <c r="E359" s="33" t="s">
        <v>34</v>
      </c>
      <c r="F359" s="33" t="s">
        <v>1222</v>
      </c>
      <c r="G359" s="33" t="s">
        <v>1587</v>
      </c>
      <c r="H359" s="33" t="s">
        <v>37</v>
      </c>
      <c r="I359" s="33" t="s">
        <v>38</v>
      </c>
      <c r="J359" s="33" t="s">
        <v>1588</v>
      </c>
      <c r="K359" s="33" t="s">
        <v>1589</v>
      </c>
      <c r="L359" s="33">
        <v>143640</v>
      </c>
      <c r="M359" s="33">
        <v>0</v>
      </c>
      <c r="N359" s="33">
        <v>0</v>
      </c>
      <c r="O359" s="33">
        <v>899640</v>
      </c>
      <c r="P359" s="33" t="s">
        <v>41</v>
      </c>
      <c r="Q359" s="33" t="s">
        <v>42</v>
      </c>
      <c r="W359" s="1" t="s">
        <v>43</v>
      </c>
      <c r="X359" s="1" t="s">
        <v>108</v>
      </c>
    </row>
    <row r="360" spans="1:24" x14ac:dyDescent="0.2">
      <c r="A360" s="33" t="s">
        <v>31</v>
      </c>
      <c r="B360" s="33" t="s">
        <v>1590</v>
      </c>
      <c r="C360" s="33" t="s">
        <v>1591</v>
      </c>
      <c r="D360" s="33">
        <f t="shared" si="5"/>
        <v>-1</v>
      </c>
      <c r="E360" s="33" t="s">
        <v>34</v>
      </c>
      <c r="F360" s="33" t="s">
        <v>1222</v>
      </c>
      <c r="G360" s="33" t="s">
        <v>1592</v>
      </c>
      <c r="H360" s="33" t="s">
        <v>37</v>
      </c>
      <c r="I360" s="33" t="s">
        <v>38</v>
      </c>
      <c r="J360" s="33" t="s">
        <v>1593</v>
      </c>
      <c r="K360" s="33" t="s">
        <v>1594</v>
      </c>
      <c r="L360" s="33">
        <v>1507764</v>
      </c>
      <c r="M360" s="33">
        <v>0</v>
      </c>
      <c r="N360" s="33">
        <v>0</v>
      </c>
      <c r="O360" s="33">
        <v>9443364</v>
      </c>
      <c r="P360" s="33" t="s">
        <v>41</v>
      </c>
      <c r="Q360" s="33" t="s">
        <v>42</v>
      </c>
      <c r="W360" s="1" t="s">
        <v>43</v>
      </c>
      <c r="X360" s="1" t="s">
        <v>300</v>
      </c>
    </row>
    <row r="361" spans="1:24" x14ac:dyDescent="0.2">
      <c r="A361" s="1" t="s">
        <v>31</v>
      </c>
      <c r="B361" s="1" t="s">
        <v>1595</v>
      </c>
      <c r="C361" s="1" t="s">
        <v>1596</v>
      </c>
      <c r="D361" s="1">
        <f t="shared" si="5"/>
        <v>-1</v>
      </c>
      <c r="E361" s="1" t="s">
        <v>34</v>
      </c>
      <c r="F361" s="1" t="s">
        <v>1222</v>
      </c>
      <c r="G361" s="1" t="s">
        <v>1597</v>
      </c>
      <c r="H361" s="1" t="s">
        <v>37</v>
      </c>
      <c r="I361" s="1" t="s">
        <v>38</v>
      </c>
      <c r="J361" s="1" t="s">
        <v>906</v>
      </c>
      <c r="K361" s="1" t="s">
        <v>907</v>
      </c>
      <c r="L361" s="1">
        <v>191900</v>
      </c>
      <c r="M361" s="1">
        <v>0</v>
      </c>
      <c r="N361" s="1">
        <v>0</v>
      </c>
      <c r="O361" s="1">
        <v>1201900</v>
      </c>
      <c r="P361" s="1" t="s">
        <v>41</v>
      </c>
      <c r="Q361" s="1" t="s">
        <v>42</v>
      </c>
      <c r="V361" s="1" t="s">
        <v>43</v>
      </c>
    </row>
    <row r="362" spans="1:24" x14ac:dyDescent="0.2">
      <c r="A362" s="33" t="s">
        <v>31</v>
      </c>
      <c r="B362" s="33" t="s">
        <v>1598</v>
      </c>
      <c r="C362" s="33" t="s">
        <v>1599</v>
      </c>
      <c r="D362" s="33">
        <f t="shared" si="5"/>
        <v>-1</v>
      </c>
      <c r="E362" s="33" t="s">
        <v>34</v>
      </c>
      <c r="F362" s="33" t="s">
        <v>1222</v>
      </c>
      <c r="G362" s="33" t="s">
        <v>1600</v>
      </c>
      <c r="H362" s="33" t="s">
        <v>37</v>
      </c>
      <c r="I362" s="33" t="s">
        <v>38</v>
      </c>
      <c r="J362" s="33" t="s">
        <v>1601</v>
      </c>
      <c r="K362" s="33" t="s">
        <v>1602</v>
      </c>
      <c r="L362" s="33">
        <v>102820.4</v>
      </c>
      <c r="M362" s="33">
        <v>0</v>
      </c>
      <c r="N362" s="33">
        <v>0</v>
      </c>
      <c r="O362" s="33">
        <v>679980.4</v>
      </c>
      <c r="P362" s="33" t="s">
        <v>41</v>
      </c>
      <c r="Q362" s="33" t="s">
        <v>42</v>
      </c>
      <c r="W362" s="1" t="s">
        <v>43</v>
      </c>
      <c r="X362" s="1" t="s">
        <v>791</v>
      </c>
    </row>
    <row r="363" spans="1:24" x14ac:dyDescent="0.2">
      <c r="A363" s="33" t="s">
        <v>31</v>
      </c>
      <c r="B363" s="33" t="s">
        <v>1603</v>
      </c>
      <c r="C363" s="33" t="s">
        <v>1604</v>
      </c>
      <c r="D363" s="33">
        <f t="shared" si="5"/>
        <v>-1</v>
      </c>
      <c r="E363" s="33" t="s">
        <v>34</v>
      </c>
      <c r="F363" s="33" t="s">
        <v>1222</v>
      </c>
      <c r="G363" s="33" t="s">
        <v>1605</v>
      </c>
      <c r="H363" s="33" t="s">
        <v>37</v>
      </c>
      <c r="I363" s="33" t="s">
        <v>38</v>
      </c>
      <c r="J363" s="33" t="s">
        <v>1440</v>
      </c>
      <c r="K363" s="33" t="s">
        <v>1441</v>
      </c>
      <c r="L363" s="33">
        <v>61556.2</v>
      </c>
      <c r="M363" s="33">
        <v>0</v>
      </c>
      <c r="N363" s="33">
        <v>0</v>
      </c>
      <c r="O363" s="33">
        <v>385536.2</v>
      </c>
      <c r="P363" s="33" t="s">
        <v>41</v>
      </c>
      <c r="Q363" s="33" t="s">
        <v>42</v>
      </c>
      <c r="W363" s="33" t="s">
        <v>43</v>
      </c>
      <c r="X363" s="1" t="s">
        <v>742</v>
      </c>
    </row>
    <row r="364" spans="1:24" x14ac:dyDescent="0.2">
      <c r="A364" s="1" t="s">
        <v>31</v>
      </c>
      <c r="B364" s="1" t="s">
        <v>1606</v>
      </c>
      <c r="C364" s="1" t="s">
        <v>1607</v>
      </c>
      <c r="D364" s="1">
        <f t="shared" si="5"/>
        <v>-1</v>
      </c>
      <c r="E364" s="1" t="s">
        <v>34</v>
      </c>
      <c r="F364" s="1" t="s">
        <v>1222</v>
      </c>
      <c r="G364" s="1" t="s">
        <v>1608</v>
      </c>
      <c r="H364" s="1" t="s">
        <v>37</v>
      </c>
      <c r="I364" s="1" t="s">
        <v>38</v>
      </c>
      <c r="J364" s="1" t="s">
        <v>762</v>
      </c>
      <c r="K364" s="1" t="s">
        <v>763</v>
      </c>
      <c r="L364" s="1">
        <v>45429</v>
      </c>
      <c r="M364" s="1">
        <v>0</v>
      </c>
      <c r="N364" s="1">
        <v>0</v>
      </c>
      <c r="O364" s="1">
        <v>284529</v>
      </c>
      <c r="P364" s="1" t="s">
        <v>41</v>
      </c>
      <c r="Q364" s="1" t="s">
        <v>42</v>
      </c>
      <c r="V364" s="1" t="s">
        <v>43</v>
      </c>
    </row>
    <row r="365" spans="1:24" s="32" customFormat="1" x14ac:dyDescent="0.2">
      <c r="A365" s="1" t="s">
        <v>31</v>
      </c>
      <c r="B365" s="1" t="s">
        <v>1609</v>
      </c>
      <c r="C365" s="1" t="s">
        <v>1610</v>
      </c>
      <c r="D365" s="1">
        <f t="shared" si="5"/>
        <v>-1</v>
      </c>
      <c r="E365" s="1" t="s">
        <v>34</v>
      </c>
      <c r="F365" s="1" t="s">
        <v>1222</v>
      </c>
      <c r="G365" s="1" t="s">
        <v>1611</v>
      </c>
      <c r="H365" s="1" t="s">
        <v>37</v>
      </c>
      <c r="I365" s="1" t="s">
        <v>38</v>
      </c>
      <c r="J365" s="1" t="s">
        <v>1204</v>
      </c>
      <c r="K365" s="1" t="s">
        <v>1205</v>
      </c>
      <c r="L365" s="1">
        <v>80001.429999999993</v>
      </c>
      <c r="M365" s="1">
        <v>0</v>
      </c>
      <c r="N365" s="1">
        <v>0</v>
      </c>
      <c r="O365" s="1">
        <v>501061.59</v>
      </c>
      <c r="P365" s="1" t="s">
        <v>41</v>
      </c>
      <c r="Q365" s="1" t="s">
        <v>42</v>
      </c>
      <c r="R365" s="1"/>
      <c r="S365" s="1"/>
      <c r="T365" s="1"/>
      <c r="U365" s="1"/>
      <c r="V365" s="1" t="s">
        <v>43</v>
      </c>
      <c r="W365" s="1"/>
      <c r="X365" s="1"/>
    </row>
    <row r="366" spans="1:24" s="32" customFormat="1" x14ac:dyDescent="0.2">
      <c r="A366" s="1" t="s">
        <v>31</v>
      </c>
      <c r="B366" s="1" t="s">
        <v>1612</v>
      </c>
      <c r="C366" s="1" t="s">
        <v>1613</v>
      </c>
      <c r="D366" s="1">
        <f t="shared" si="5"/>
        <v>-1</v>
      </c>
      <c r="E366" s="1" t="s">
        <v>34</v>
      </c>
      <c r="F366" s="1" t="s">
        <v>1614</v>
      </c>
      <c r="G366" s="1" t="s">
        <v>1615</v>
      </c>
      <c r="H366" s="1" t="s">
        <v>37</v>
      </c>
      <c r="I366" s="1" t="s">
        <v>38</v>
      </c>
      <c r="J366" s="1" t="s">
        <v>1616</v>
      </c>
      <c r="K366" s="1" t="s">
        <v>1617</v>
      </c>
      <c r="L366" s="1">
        <v>693509.5</v>
      </c>
      <c r="M366" s="1">
        <v>0</v>
      </c>
      <c r="N366" s="1">
        <v>0</v>
      </c>
      <c r="O366" s="1">
        <v>4343559.5</v>
      </c>
      <c r="P366" s="1" t="s">
        <v>41</v>
      </c>
      <c r="Q366" s="1" t="s">
        <v>42</v>
      </c>
      <c r="R366" s="1"/>
      <c r="S366" s="1"/>
      <c r="T366" s="1"/>
      <c r="U366" s="1"/>
      <c r="V366" s="1" t="s">
        <v>43</v>
      </c>
      <c r="W366" s="1"/>
      <c r="X366" s="1"/>
    </row>
    <row r="367" spans="1:24" s="32" customFormat="1" x14ac:dyDescent="0.2">
      <c r="A367" s="33" t="s">
        <v>31</v>
      </c>
      <c r="B367" s="33" t="s">
        <v>1618</v>
      </c>
      <c r="C367" s="33" t="s">
        <v>1619</v>
      </c>
      <c r="D367" s="33">
        <f t="shared" si="5"/>
        <v>-1</v>
      </c>
      <c r="E367" s="33" t="s">
        <v>34</v>
      </c>
      <c r="F367" s="33" t="s">
        <v>1614</v>
      </c>
      <c r="G367" s="33" t="s">
        <v>1620</v>
      </c>
      <c r="H367" s="33" t="s">
        <v>37</v>
      </c>
      <c r="I367" s="33" t="s">
        <v>38</v>
      </c>
      <c r="J367" s="33" t="s">
        <v>1621</v>
      </c>
      <c r="K367" s="33" t="s">
        <v>1622</v>
      </c>
      <c r="L367" s="33">
        <v>0</v>
      </c>
      <c r="M367" s="33">
        <v>0</v>
      </c>
      <c r="N367" s="33">
        <v>0</v>
      </c>
      <c r="O367" s="33">
        <v>4966918</v>
      </c>
      <c r="P367" s="33" t="s">
        <v>41</v>
      </c>
      <c r="Q367" s="33" t="s">
        <v>42</v>
      </c>
      <c r="R367" s="1"/>
      <c r="S367" s="1"/>
      <c r="T367" s="1"/>
      <c r="U367" s="1"/>
      <c r="V367" s="1"/>
      <c r="W367" s="33" t="s">
        <v>43</v>
      </c>
      <c r="X367" s="1" t="s">
        <v>201</v>
      </c>
    </row>
    <row r="368" spans="1:24" s="32" customFormat="1" x14ac:dyDescent="0.2">
      <c r="A368" s="33" t="s">
        <v>31</v>
      </c>
      <c r="B368" s="33" t="s">
        <v>1623</v>
      </c>
      <c r="C368" s="33" t="s">
        <v>1624</v>
      </c>
      <c r="D368" s="33">
        <f t="shared" si="5"/>
        <v>-1</v>
      </c>
      <c r="E368" s="33" t="s">
        <v>34</v>
      </c>
      <c r="F368" s="33" t="s">
        <v>1614</v>
      </c>
      <c r="G368" s="33" t="s">
        <v>1625</v>
      </c>
      <c r="H368" s="33" t="s">
        <v>37</v>
      </c>
      <c r="I368" s="33" t="s">
        <v>38</v>
      </c>
      <c r="J368" s="33" t="s">
        <v>1621</v>
      </c>
      <c r="K368" s="33" t="s">
        <v>1622</v>
      </c>
      <c r="L368" s="33">
        <v>142262.5</v>
      </c>
      <c r="M368" s="33">
        <v>0</v>
      </c>
      <c r="N368" s="33">
        <v>0</v>
      </c>
      <c r="O368" s="33">
        <v>891012.5</v>
      </c>
      <c r="P368" s="33" t="s">
        <v>41</v>
      </c>
      <c r="Q368" s="33" t="s">
        <v>42</v>
      </c>
      <c r="R368" s="1"/>
      <c r="S368" s="1"/>
      <c r="T368" s="1"/>
      <c r="U368" s="1"/>
      <c r="V368" s="1"/>
      <c r="W368" s="33" t="s">
        <v>43</v>
      </c>
      <c r="X368" s="1" t="s">
        <v>201</v>
      </c>
    </row>
    <row r="369" spans="1:24" s="32" customFormat="1" x14ac:dyDescent="0.2">
      <c r="A369" s="33" t="s">
        <v>31</v>
      </c>
      <c r="B369" s="33" t="s">
        <v>1626</v>
      </c>
      <c r="C369" s="33" t="s">
        <v>1627</v>
      </c>
      <c r="D369" s="33">
        <f t="shared" si="5"/>
        <v>-1</v>
      </c>
      <c r="E369" s="33" t="s">
        <v>34</v>
      </c>
      <c r="F369" s="33" t="s">
        <v>1614</v>
      </c>
      <c r="G369" s="33" t="s">
        <v>1628</v>
      </c>
      <c r="H369" s="33" t="s">
        <v>37</v>
      </c>
      <c r="I369" s="33" t="s">
        <v>38</v>
      </c>
      <c r="J369" s="33" t="s">
        <v>1629</v>
      </c>
      <c r="K369" s="33" t="s">
        <v>1630</v>
      </c>
      <c r="L369" s="33">
        <v>16899.36</v>
      </c>
      <c r="M369" s="33">
        <v>0</v>
      </c>
      <c r="N369" s="33">
        <v>0</v>
      </c>
      <c r="O369" s="33">
        <v>105843.36</v>
      </c>
      <c r="P369" s="33" t="s">
        <v>41</v>
      </c>
      <c r="Q369" s="33" t="s">
        <v>42</v>
      </c>
      <c r="R369" s="1"/>
      <c r="S369" s="1"/>
      <c r="T369" s="1"/>
      <c r="U369" s="1"/>
      <c r="V369" s="1"/>
      <c r="W369" s="33" t="s">
        <v>43</v>
      </c>
      <c r="X369" s="1" t="s">
        <v>784</v>
      </c>
    </row>
    <row r="370" spans="1:24" s="32" customFormat="1" x14ac:dyDescent="0.2">
      <c r="A370" s="30" t="s">
        <v>31</v>
      </c>
      <c r="B370" s="30" t="s">
        <v>1631</v>
      </c>
      <c r="C370" s="30" t="s">
        <v>1632</v>
      </c>
      <c r="D370" s="30">
        <f t="shared" si="5"/>
        <v>-1</v>
      </c>
      <c r="E370" s="30" t="s">
        <v>34</v>
      </c>
      <c r="F370" s="30" t="s">
        <v>1614</v>
      </c>
      <c r="G370" s="30" t="s">
        <v>1633</v>
      </c>
      <c r="H370" s="30" t="s">
        <v>37</v>
      </c>
      <c r="I370" s="30" t="s">
        <v>38</v>
      </c>
      <c r="J370" s="30" t="s">
        <v>1634</v>
      </c>
      <c r="K370" s="30" t="s">
        <v>1635</v>
      </c>
      <c r="L370" s="30">
        <v>45759.6</v>
      </c>
      <c r="M370" s="30">
        <v>0</v>
      </c>
      <c r="N370" s="30">
        <v>0</v>
      </c>
      <c r="O370" s="30">
        <v>286599.59999999998</v>
      </c>
      <c r="P370" s="30" t="s">
        <v>41</v>
      </c>
      <c r="Q370" s="30" t="s">
        <v>42</v>
      </c>
      <c r="R370" s="1"/>
      <c r="S370" s="1" t="s">
        <v>161</v>
      </c>
      <c r="T370" s="1"/>
      <c r="U370" s="1"/>
      <c r="V370" s="1"/>
      <c r="W370" s="1"/>
      <c r="X370" s="1"/>
    </row>
    <row r="371" spans="1:24" s="32" customFormat="1" x14ac:dyDescent="0.2">
      <c r="A371" s="33" t="s">
        <v>31</v>
      </c>
      <c r="B371" s="33" t="s">
        <v>1636</v>
      </c>
      <c r="C371" s="33" t="s">
        <v>1637</v>
      </c>
      <c r="D371" s="33">
        <f t="shared" si="5"/>
        <v>-1</v>
      </c>
      <c r="E371" s="33" t="s">
        <v>34</v>
      </c>
      <c r="F371" s="33" t="s">
        <v>1614</v>
      </c>
      <c r="G371" s="33" t="s">
        <v>1638</v>
      </c>
      <c r="H371" s="33" t="s">
        <v>37</v>
      </c>
      <c r="I371" s="33" t="s">
        <v>38</v>
      </c>
      <c r="J371" s="33" t="s">
        <v>1639</v>
      </c>
      <c r="K371" s="33" t="s">
        <v>1640</v>
      </c>
      <c r="L371" s="33">
        <v>51300</v>
      </c>
      <c r="M371" s="33">
        <v>0</v>
      </c>
      <c r="N371" s="33">
        <v>0</v>
      </c>
      <c r="O371" s="33">
        <v>321300</v>
      </c>
      <c r="P371" s="33" t="s">
        <v>41</v>
      </c>
      <c r="Q371" s="33" t="s">
        <v>42</v>
      </c>
      <c r="R371" s="1"/>
      <c r="S371" s="1"/>
      <c r="T371" s="1"/>
      <c r="U371" s="1"/>
      <c r="V371" s="1"/>
      <c r="W371" s="1" t="s">
        <v>43</v>
      </c>
      <c r="X371" s="1" t="s">
        <v>1436</v>
      </c>
    </row>
    <row r="372" spans="1:24" s="32" customFormat="1" x14ac:dyDescent="0.2">
      <c r="A372" s="29" t="s">
        <v>31</v>
      </c>
      <c r="B372" s="29" t="s">
        <v>1641</v>
      </c>
      <c r="C372" s="29" t="s">
        <v>1642</v>
      </c>
      <c r="D372" s="29">
        <f t="shared" si="5"/>
        <v>-1</v>
      </c>
      <c r="E372" s="29" t="s">
        <v>34</v>
      </c>
      <c r="F372" s="29" t="s">
        <v>1614</v>
      </c>
      <c r="G372" s="29" t="s">
        <v>1643</v>
      </c>
      <c r="H372" s="29" t="s">
        <v>37</v>
      </c>
      <c r="I372" s="29" t="s">
        <v>38</v>
      </c>
      <c r="J372" s="29" t="s">
        <v>940</v>
      </c>
      <c r="K372" s="29" t="s">
        <v>941</v>
      </c>
      <c r="L372" s="29">
        <v>12540</v>
      </c>
      <c r="M372" s="29">
        <v>0</v>
      </c>
      <c r="N372" s="29">
        <v>0</v>
      </c>
      <c r="O372" s="29">
        <v>78540</v>
      </c>
      <c r="P372" s="29" t="s">
        <v>41</v>
      </c>
      <c r="Q372" s="29" t="s">
        <v>42</v>
      </c>
      <c r="R372" s="1"/>
      <c r="S372" s="1"/>
      <c r="T372" s="1" t="s">
        <v>43</v>
      </c>
      <c r="U372" s="1"/>
      <c r="V372" s="1"/>
      <c r="W372" s="1"/>
      <c r="X372" s="1"/>
    </row>
    <row r="373" spans="1:24" s="32" customFormat="1" x14ac:dyDescent="0.2">
      <c r="A373" s="33" t="s">
        <v>31</v>
      </c>
      <c r="B373" s="33" t="s">
        <v>1644</v>
      </c>
      <c r="C373" s="33" t="s">
        <v>1645</v>
      </c>
      <c r="D373" s="33">
        <f t="shared" si="5"/>
        <v>-1</v>
      </c>
      <c r="E373" s="33" t="s">
        <v>34</v>
      </c>
      <c r="F373" s="33" t="s">
        <v>1614</v>
      </c>
      <c r="G373" s="33" t="s">
        <v>1646</v>
      </c>
      <c r="H373" s="33" t="s">
        <v>37</v>
      </c>
      <c r="I373" s="33" t="s">
        <v>38</v>
      </c>
      <c r="J373" s="33" t="s">
        <v>1647</v>
      </c>
      <c r="K373" s="33" t="s">
        <v>1648</v>
      </c>
      <c r="L373" s="33">
        <v>1094400</v>
      </c>
      <c r="M373" s="33">
        <v>0</v>
      </c>
      <c r="N373" s="33">
        <v>0</v>
      </c>
      <c r="O373" s="33">
        <v>6854400</v>
      </c>
      <c r="P373" s="33" t="s">
        <v>41</v>
      </c>
      <c r="Q373" s="33" t="s">
        <v>42</v>
      </c>
      <c r="R373" s="1"/>
      <c r="S373" s="1"/>
      <c r="T373" s="1"/>
      <c r="U373" s="1"/>
      <c r="V373" s="1"/>
      <c r="W373" s="1" t="s">
        <v>43</v>
      </c>
      <c r="X373" s="1" t="s">
        <v>129</v>
      </c>
    </row>
    <row r="374" spans="1:24" s="32" customFormat="1" x14ac:dyDescent="0.2">
      <c r="A374" s="1" t="s">
        <v>31</v>
      </c>
      <c r="B374" s="1" t="s">
        <v>1649</v>
      </c>
      <c r="C374" s="1" t="s">
        <v>1650</v>
      </c>
      <c r="D374" s="1">
        <f t="shared" si="5"/>
        <v>-1</v>
      </c>
      <c r="E374" s="1" t="s">
        <v>34</v>
      </c>
      <c r="F374" s="1" t="s">
        <v>1614</v>
      </c>
      <c r="G374" s="1" t="s">
        <v>1651</v>
      </c>
      <c r="H374" s="1" t="s">
        <v>37</v>
      </c>
      <c r="I374" s="1" t="s">
        <v>38</v>
      </c>
      <c r="J374" s="1" t="s">
        <v>1652</v>
      </c>
      <c r="K374" s="1" t="s">
        <v>1653</v>
      </c>
      <c r="L374" s="1">
        <v>489277.56</v>
      </c>
      <c r="M374" s="1">
        <v>0</v>
      </c>
      <c r="N374" s="1">
        <v>0</v>
      </c>
      <c r="O374" s="1">
        <v>3353801.56</v>
      </c>
      <c r="P374" s="1" t="s">
        <v>41</v>
      </c>
      <c r="Q374" s="1" t="s">
        <v>42</v>
      </c>
      <c r="R374" s="1"/>
      <c r="S374" s="1"/>
      <c r="T374" s="1"/>
      <c r="U374" s="1"/>
      <c r="V374" s="1" t="s">
        <v>43</v>
      </c>
      <c r="W374" s="1"/>
      <c r="X374" s="1"/>
    </row>
    <row r="375" spans="1:24" s="32" customFormat="1" x14ac:dyDescent="0.2">
      <c r="A375" s="33" t="s">
        <v>31</v>
      </c>
      <c r="B375" s="33" t="s">
        <v>1654</v>
      </c>
      <c r="C375" s="33" t="s">
        <v>1655</v>
      </c>
      <c r="D375" s="33">
        <f t="shared" si="5"/>
        <v>-1</v>
      </c>
      <c r="E375" s="33" t="s">
        <v>34</v>
      </c>
      <c r="F375" s="33" t="s">
        <v>1614</v>
      </c>
      <c r="G375" s="33" t="s">
        <v>1656</v>
      </c>
      <c r="H375" s="33" t="s">
        <v>37</v>
      </c>
      <c r="I375" s="33" t="s">
        <v>38</v>
      </c>
      <c r="J375" s="33" t="s">
        <v>1657</v>
      </c>
      <c r="K375" s="33" t="s">
        <v>1658</v>
      </c>
      <c r="L375" s="33">
        <v>32471</v>
      </c>
      <c r="M375" s="33">
        <v>0</v>
      </c>
      <c r="N375" s="33">
        <v>0</v>
      </c>
      <c r="O375" s="33">
        <v>203371</v>
      </c>
      <c r="P375" s="33" t="s">
        <v>41</v>
      </c>
      <c r="Q375" s="33" t="s">
        <v>42</v>
      </c>
      <c r="R375" s="1"/>
      <c r="S375" s="1"/>
      <c r="T375" s="1"/>
      <c r="U375" s="1"/>
      <c r="V375" s="1"/>
      <c r="W375" s="1" t="s">
        <v>43</v>
      </c>
      <c r="X375" s="1" t="s">
        <v>226</v>
      </c>
    </row>
    <row r="376" spans="1:24" s="32" customFormat="1" x14ac:dyDescent="0.2">
      <c r="A376" s="29" t="s">
        <v>31</v>
      </c>
      <c r="B376" s="29" t="s">
        <v>1659</v>
      </c>
      <c r="C376" s="29" t="s">
        <v>1660</v>
      </c>
      <c r="D376" s="29">
        <f t="shared" si="5"/>
        <v>-1</v>
      </c>
      <c r="E376" s="29" t="s">
        <v>34</v>
      </c>
      <c r="F376" s="29" t="s">
        <v>1614</v>
      </c>
      <c r="G376" s="29" t="s">
        <v>1661</v>
      </c>
      <c r="H376" s="29" t="s">
        <v>37</v>
      </c>
      <c r="I376" s="29" t="s">
        <v>38</v>
      </c>
      <c r="J376" s="29" t="s">
        <v>1662</v>
      </c>
      <c r="K376" s="29" t="s">
        <v>1663</v>
      </c>
      <c r="L376" s="29">
        <v>1102940.8799999999</v>
      </c>
      <c r="M376" s="29">
        <v>0</v>
      </c>
      <c r="N376" s="29">
        <v>0</v>
      </c>
      <c r="O376" s="29">
        <v>6907892.8799999999</v>
      </c>
      <c r="P376" s="29" t="s">
        <v>41</v>
      </c>
      <c r="Q376" s="29" t="s">
        <v>42</v>
      </c>
      <c r="R376" s="1"/>
      <c r="S376" s="1"/>
      <c r="T376" s="1" t="s">
        <v>43</v>
      </c>
      <c r="U376" s="1"/>
      <c r="V376" s="1"/>
      <c r="W376" s="1"/>
      <c r="X376" s="1"/>
    </row>
    <row r="377" spans="1:24" s="32" customFormat="1" x14ac:dyDescent="0.2">
      <c r="A377" s="1" t="s">
        <v>31</v>
      </c>
      <c r="B377" s="1" t="s">
        <v>1664</v>
      </c>
      <c r="C377" s="1" t="s">
        <v>1665</v>
      </c>
      <c r="D377" s="1">
        <f t="shared" si="5"/>
        <v>-1</v>
      </c>
      <c r="E377" s="1" t="s">
        <v>34</v>
      </c>
      <c r="F377" s="1" t="s">
        <v>1614</v>
      </c>
      <c r="G377" s="1" t="s">
        <v>1666</v>
      </c>
      <c r="H377" s="1" t="s">
        <v>37</v>
      </c>
      <c r="I377" s="1" t="s">
        <v>38</v>
      </c>
      <c r="J377" s="1" t="s">
        <v>1652</v>
      </c>
      <c r="K377" s="1" t="s">
        <v>1653</v>
      </c>
      <c r="L377" s="1">
        <v>122398</v>
      </c>
      <c r="M377" s="1">
        <v>0</v>
      </c>
      <c r="N377" s="1">
        <v>0</v>
      </c>
      <c r="O377" s="1">
        <v>766598</v>
      </c>
      <c r="P377" s="1" t="s">
        <v>41</v>
      </c>
      <c r="Q377" s="1" t="s">
        <v>42</v>
      </c>
      <c r="R377" s="1"/>
      <c r="S377" s="1"/>
      <c r="T377" s="1"/>
      <c r="U377" s="1"/>
      <c r="V377" s="1" t="s">
        <v>43</v>
      </c>
      <c r="W377" s="1"/>
      <c r="X377" s="1"/>
    </row>
    <row r="378" spans="1:24" s="32" customFormat="1" x14ac:dyDescent="0.2">
      <c r="A378" s="33" t="s">
        <v>31</v>
      </c>
      <c r="B378" s="33" t="s">
        <v>1667</v>
      </c>
      <c r="C378" s="33" t="s">
        <v>1668</v>
      </c>
      <c r="D378" s="33">
        <f t="shared" si="5"/>
        <v>-1</v>
      </c>
      <c r="E378" s="33" t="s">
        <v>34</v>
      </c>
      <c r="F378" s="33" t="s">
        <v>1614</v>
      </c>
      <c r="G378" s="33" t="s">
        <v>1669</v>
      </c>
      <c r="H378" s="33" t="s">
        <v>37</v>
      </c>
      <c r="I378" s="33" t="s">
        <v>38</v>
      </c>
      <c r="J378" s="33" t="s">
        <v>1670</v>
      </c>
      <c r="K378" s="33" t="s">
        <v>1671</v>
      </c>
      <c r="L378" s="33">
        <v>1397222</v>
      </c>
      <c r="M378" s="33">
        <v>0</v>
      </c>
      <c r="N378" s="33">
        <v>0</v>
      </c>
      <c r="O378" s="33">
        <v>8751022</v>
      </c>
      <c r="P378" s="33" t="s">
        <v>41</v>
      </c>
      <c r="Q378" s="33" t="s">
        <v>42</v>
      </c>
      <c r="R378" s="1"/>
      <c r="S378" s="1"/>
      <c r="T378" s="1"/>
      <c r="U378" s="1"/>
      <c r="V378" s="1"/>
      <c r="W378" s="1" t="s">
        <v>43</v>
      </c>
      <c r="X378" s="1" t="s">
        <v>108</v>
      </c>
    </row>
    <row r="379" spans="1:24" s="32" customFormat="1" x14ac:dyDescent="0.2">
      <c r="A379" s="33" t="s">
        <v>31</v>
      </c>
      <c r="B379" s="33" t="s">
        <v>1672</v>
      </c>
      <c r="C379" s="33" t="s">
        <v>1673</v>
      </c>
      <c r="D379" s="33">
        <f t="shared" si="5"/>
        <v>-1</v>
      </c>
      <c r="E379" s="33" t="s">
        <v>34</v>
      </c>
      <c r="F379" s="33" t="s">
        <v>1614</v>
      </c>
      <c r="G379" s="33" t="s">
        <v>1674</v>
      </c>
      <c r="H379" s="33" t="s">
        <v>37</v>
      </c>
      <c r="I379" s="33" t="s">
        <v>38</v>
      </c>
      <c r="J379" s="33" t="s">
        <v>1670</v>
      </c>
      <c r="K379" s="33" t="s">
        <v>1671</v>
      </c>
      <c r="L379" s="33">
        <v>264461</v>
      </c>
      <c r="M379" s="33">
        <v>0</v>
      </c>
      <c r="N379" s="33">
        <v>0</v>
      </c>
      <c r="O379" s="33">
        <v>1656361</v>
      </c>
      <c r="P379" s="33" t="s">
        <v>41</v>
      </c>
      <c r="Q379" s="33" t="s">
        <v>42</v>
      </c>
      <c r="R379" s="1"/>
      <c r="S379" s="1"/>
      <c r="T379" s="1"/>
      <c r="U379" s="1"/>
      <c r="V379" s="1"/>
      <c r="W379" s="1" t="s">
        <v>43</v>
      </c>
      <c r="X379" s="1" t="s">
        <v>1675</v>
      </c>
    </row>
    <row r="380" spans="1:24" s="32" customFormat="1" x14ac:dyDescent="0.2">
      <c r="A380" s="33" t="s">
        <v>31</v>
      </c>
      <c r="B380" s="33" t="s">
        <v>1676</v>
      </c>
      <c r="C380" s="33" t="s">
        <v>1677</v>
      </c>
      <c r="D380" s="33">
        <f t="shared" si="5"/>
        <v>-1</v>
      </c>
      <c r="E380" s="33" t="s">
        <v>34</v>
      </c>
      <c r="F380" s="33" t="s">
        <v>1614</v>
      </c>
      <c r="G380" s="33" t="s">
        <v>1678</v>
      </c>
      <c r="H380" s="33" t="s">
        <v>37</v>
      </c>
      <c r="I380" s="33" t="s">
        <v>38</v>
      </c>
      <c r="J380" s="33" t="s">
        <v>1679</v>
      </c>
      <c r="K380" s="33" t="s">
        <v>1680</v>
      </c>
      <c r="L380" s="33">
        <v>242219.6</v>
      </c>
      <c r="M380" s="33">
        <v>0</v>
      </c>
      <c r="N380" s="33">
        <v>0</v>
      </c>
      <c r="O380" s="33">
        <v>1517059.6</v>
      </c>
      <c r="P380" s="33" t="s">
        <v>41</v>
      </c>
      <c r="Q380" s="33" t="s">
        <v>42</v>
      </c>
      <c r="R380" s="1"/>
      <c r="S380" s="1"/>
      <c r="T380" s="1"/>
      <c r="U380" s="1"/>
      <c r="V380" s="1"/>
      <c r="W380" s="33" t="s">
        <v>161</v>
      </c>
      <c r="X380" s="1" t="s">
        <v>1681</v>
      </c>
    </row>
    <row r="381" spans="1:24" s="32" customFormat="1" x14ac:dyDescent="0.2">
      <c r="A381" s="33" t="s">
        <v>31</v>
      </c>
      <c r="B381" s="33" t="s">
        <v>1682</v>
      </c>
      <c r="C381" s="33" t="s">
        <v>1683</v>
      </c>
      <c r="D381" s="33">
        <f t="shared" si="5"/>
        <v>-1</v>
      </c>
      <c r="E381" s="33" t="s">
        <v>34</v>
      </c>
      <c r="F381" s="33" t="s">
        <v>1614</v>
      </c>
      <c r="G381" s="33" t="s">
        <v>1684</v>
      </c>
      <c r="H381" s="33" t="s">
        <v>37</v>
      </c>
      <c r="I381" s="33" t="s">
        <v>38</v>
      </c>
      <c r="J381" s="33" t="s">
        <v>304</v>
      </c>
      <c r="K381" s="33" t="s">
        <v>305</v>
      </c>
      <c r="L381" s="33">
        <v>842744.9</v>
      </c>
      <c r="M381" s="33">
        <v>0</v>
      </c>
      <c r="N381" s="33">
        <v>0</v>
      </c>
      <c r="O381" s="33">
        <v>5407714.9000000004</v>
      </c>
      <c r="P381" s="33" t="s">
        <v>41</v>
      </c>
      <c r="Q381" s="33" t="s">
        <v>42</v>
      </c>
      <c r="R381" s="1"/>
      <c r="S381" s="1"/>
      <c r="T381" s="1"/>
      <c r="U381" s="1"/>
      <c r="V381" s="1"/>
      <c r="W381" s="33" t="s">
        <v>161</v>
      </c>
      <c r="X381" s="1" t="s">
        <v>69</v>
      </c>
    </row>
    <row r="382" spans="1:24" s="32" customFormat="1" x14ac:dyDescent="0.2">
      <c r="A382" s="29" t="s">
        <v>31</v>
      </c>
      <c r="B382" s="29" t="s">
        <v>1685</v>
      </c>
      <c r="C382" s="29" t="s">
        <v>1686</v>
      </c>
      <c r="D382" s="29">
        <f t="shared" si="5"/>
        <v>-1</v>
      </c>
      <c r="E382" s="29" t="s">
        <v>34</v>
      </c>
      <c r="F382" s="29" t="s">
        <v>1614</v>
      </c>
      <c r="G382" s="29" t="s">
        <v>1687</v>
      </c>
      <c r="H382" s="29" t="s">
        <v>37</v>
      </c>
      <c r="I382" s="29" t="s">
        <v>38</v>
      </c>
      <c r="J382" s="29" t="s">
        <v>1688</v>
      </c>
      <c r="K382" s="29" t="s">
        <v>1689</v>
      </c>
      <c r="L382" s="29">
        <v>9975</v>
      </c>
      <c r="M382" s="29">
        <v>0</v>
      </c>
      <c r="N382" s="29">
        <v>0</v>
      </c>
      <c r="O382" s="29">
        <v>293820</v>
      </c>
      <c r="P382" s="29" t="s">
        <v>41</v>
      </c>
      <c r="Q382" s="29" t="s">
        <v>42</v>
      </c>
      <c r="R382" s="1"/>
      <c r="S382" s="1"/>
      <c r="T382" s="1" t="s">
        <v>43</v>
      </c>
      <c r="U382" s="1"/>
      <c r="V382" s="1"/>
      <c r="W382" s="1"/>
      <c r="X382" s="1"/>
    </row>
    <row r="383" spans="1:24" s="32" customFormat="1" x14ac:dyDescent="0.2">
      <c r="A383" s="29" t="s">
        <v>31</v>
      </c>
      <c r="B383" s="29" t="s">
        <v>1690</v>
      </c>
      <c r="C383" s="29" t="s">
        <v>1691</v>
      </c>
      <c r="D383" s="29">
        <f t="shared" si="5"/>
        <v>-1</v>
      </c>
      <c r="E383" s="29" t="s">
        <v>34</v>
      </c>
      <c r="F383" s="29" t="s">
        <v>1614</v>
      </c>
      <c r="G383" s="29" t="s">
        <v>1692</v>
      </c>
      <c r="H383" s="29" t="s">
        <v>37</v>
      </c>
      <c r="I383" s="29" t="s">
        <v>38</v>
      </c>
      <c r="J383" s="29" t="s">
        <v>79</v>
      </c>
      <c r="K383" s="29" t="s">
        <v>80</v>
      </c>
      <c r="L383" s="29">
        <v>373204.65</v>
      </c>
      <c r="M383" s="29">
        <v>0</v>
      </c>
      <c r="N383" s="29">
        <v>0</v>
      </c>
      <c r="O383" s="29">
        <v>2337439.65</v>
      </c>
      <c r="P383" s="29" t="s">
        <v>41</v>
      </c>
      <c r="Q383" s="29" t="s">
        <v>42</v>
      </c>
      <c r="R383" s="1"/>
      <c r="S383" s="1"/>
      <c r="T383" s="1" t="s">
        <v>161</v>
      </c>
      <c r="U383" s="1"/>
      <c r="V383" s="1"/>
      <c r="W383" s="1"/>
      <c r="X383" s="1"/>
    </row>
    <row r="384" spans="1:24" s="32" customFormat="1" x14ac:dyDescent="0.2">
      <c r="A384" s="29" t="s">
        <v>31</v>
      </c>
      <c r="B384" s="29" t="s">
        <v>1693</v>
      </c>
      <c r="C384" s="29" t="s">
        <v>1694</v>
      </c>
      <c r="D384" s="29">
        <f t="shared" si="5"/>
        <v>-1</v>
      </c>
      <c r="E384" s="29" t="s">
        <v>34</v>
      </c>
      <c r="F384" s="29" t="s">
        <v>1614</v>
      </c>
      <c r="G384" s="29" t="s">
        <v>1695</v>
      </c>
      <c r="H384" s="29" t="s">
        <v>37</v>
      </c>
      <c r="I384" s="29" t="s">
        <v>38</v>
      </c>
      <c r="J384" s="29" t="s">
        <v>112</v>
      </c>
      <c r="K384" s="29" t="s">
        <v>113</v>
      </c>
      <c r="L384" s="29">
        <v>373204.65</v>
      </c>
      <c r="M384" s="29">
        <v>0</v>
      </c>
      <c r="N384" s="29">
        <v>0</v>
      </c>
      <c r="O384" s="29">
        <v>2337439.65</v>
      </c>
      <c r="P384" s="29" t="s">
        <v>41</v>
      </c>
      <c r="Q384" s="29" t="s">
        <v>42</v>
      </c>
      <c r="R384" s="1"/>
      <c r="S384" s="1"/>
      <c r="T384" s="1" t="s">
        <v>43</v>
      </c>
      <c r="U384" s="1"/>
      <c r="V384" s="1"/>
      <c r="W384" s="1"/>
      <c r="X384" s="1"/>
    </row>
    <row r="385" spans="1:24" s="32" customFormat="1" x14ac:dyDescent="0.2">
      <c r="A385" s="29" t="s">
        <v>31</v>
      </c>
      <c r="B385" s="29" t="s">
        <v>1696</v>
      </c>
      <c r="C385" s="29" t="s">
        <v>1697</v>
      </c>
      <c r="D385" s="29">
        <f t="shared" si="5"/>
        <v>-1</v>
      </c>
      <c r="E385" s="29" t="s">
        <v>34</v>
      </c>
      <c r="F385" s="29" t="s">
        <v>1614</v>
      </c>
      <c r="G385" s="29" t="s">
        <v>1698</v>
      </c>
      <c r="H385" s="29" t="s">
        <v>37</v>
      </c>
      <c r="I385" s="29" t="s">
        <v>38</v>
      </c>
      <c r="J385" s="29" t="s">
        <v>143</v>
      </c>
      <c r="K385" s="29" t="s">
        <v>144</v>
      </c>
      <c r="L385" s="29">
        <v>373204.65</v>
      </c>
      <c r="M385" s="29">
        <v>0</v>
      </c>
      <c r="N385" s="29">
        <v>0</v>
      </c>
      <c r="O385" s="29">
        <v>2337439.65</v>
      </c>
      <c r="P385" s="29" t="s">
        <v>41</v>
      </c>
      <c r="Q385" s="29" t="s">
        <v>42</v>
      </c>
      <c r="R385" s="1"/>
      <c r="S385" s="1"/>
      <c r="T385" s="1" t="s">
        <v>43</v>
      </c>
      <c r="U385" s="1"/>
      <c r="V385" s="1"/>
      <c r="W385" s="1"/>
      <c r="X385" s="1"/>
    </row>
    <row r="386" spans="1:24" s="32" customFormat="1" x14ac:dyDescent="0.2">
      <c r="A386" s="29" t="s">
        <v>31</v>
      </c>
      <c r="B386" s="29" t="s">
        <v>1699</v>
      </c>
      <c r="C386" s="29" t="s">
        <v>1700</v>
      </c>
      <c r="D386" s="29">
        <f t="shared" si="5"/>
        <v>-1</v>
      </c>
      <c r="E386" s="29" t="s">
        <v>34</v>
      </c>
      <c r="F386" s="29" t="s">
        <v>1614</v>
      </c>
      <c r="G386" s="29" t="s">
        <v>1701</v>
      </c>
      <c r="H386" s="29" t="s">
        <v>37</v>
      </c>
      <c r="I386" s="29" t="s">
        <v>38</v>
      </c>
      <c r="J386" s="29" t="s">
        <v>143</v>
      </c>
      <c r="K386" s="29" t="s">
        <v>144</v>
      </c>
      <c r="L386" s="29">
        <v>508978.08</v>
      </c>
      <c r="M386" s="29">
        <v>0</v>
      </c>
      <c r="N386" s="29">
        <v>0</v>
      </c>
      <c r="O386" s="29">
        <v>3187810.08</v>
      </c>
      <c r="P386" s="29" t="s">
        <v>41</v>
      </c>
      <c r="Q386" s="29" t="s">
        <v>42</v>
      </c>
      <c r="R386" s="1"/>
      <c r="S386" s="1"/>
      <c r="T386" s="1" t="s">
        <v>43</v>
      </c>
      <c r="U386" s="1"/>
      <c r="V386" s="1"/>
      <c r="W386" s="1"/>
      <c r="X386" s="1"/>
    </row>
    <row r="387" spans="1:24" s="32" customFormat="1" x14ac:dyDescent="0.2">
      <c r="A387" s="29" t="s">
        <v>31</v>
      </c>
      <c r="B387" s="29" t="s">
        <v>1702</v>
      </c>
      <c r="C387" s="29" t="s">
        <v>1703</v>
      </c>
      <c r="D387" s="29">
        <f t="shared" si="5"/>
        <v>-1</v>
      </c>
      <c r="E387" s="29" t="s">
        <v>34</v>
      </c>
      <c r="F387" s="29" t="s">
        <v>1614</v>
      </c>
      <c r="G387" s="29" t="s">
        <v>1704</v>
      </c>
      <c r="H387" s="29" t="s">
        <v>37</v>
      </c>
      <c r="I387" s="29" t="s">
        <v>38</v>
      </c>
      <c r="J387" s="29" t="s">
        <v>112</v>
      </c>
      <c r="K387" s="29" t="s">
        <v>113</v>
      </c>
      <c r="L387" s="29">
        <v>373204.65</v>
      </c>
      <c r="M387" s="29">
        <v>0</v>
      </c>
      <c r="N387" s="29">
        <v>0</v>
      </c>
      <c r="O387" s="29">
        <v>2337439.65</v>
      </c>
      <c r="P387" s="29" t="s">
        <v>41</v>
      </c>
      <c r="Q387" s="29" t="s">
        <v>42</v>
      </c>
      <c r="R387" s="1"/>
      <c r="S387" s="1"/>
      <c r="T387" s="1" t="s">
        <v>43</v>
      </c>
      <c r="U387" s="1"/>
      <c r="V387" s="1"/>
      <c r="W387" s="1"/>
      <c r="X387" s="1"/>
    </row>
    <row r="388" spans="1:24" s="32" customFormat="1" x14ac:dyDescent="0.2">
      <c r="A388" s="29" t="s">
        <v>31</v>
      </c>
      <c r="B388" s="29" t="s">
        <v>1705</v>
      </c>
      <c r="C388" s="29" t="s">
        <v>1706</v>
      </c>
      <c r="D388" s="29">
        <f t="shared" si="5"/>
        <v>-1</v>
      </c>
      <c r="E388" s="29" t="s">
        <v>34</v>
      </c>
      <c r="F388" s="29" t="s">
        <v>1614</v>
      </c>
      <c r="G388" s="29" t="s">
        <v>1707</v>
      </c>
      <c r="H388" s="29" t="s">
        <v>37</v>
      </c>
      <c r="I388" s="29" t="s">
        <v>38</v>
      </c>
      <c r="J388" s="29" t="s">
        <v>858</v>
      </c>
      <c r="K388" s="29" t="s">
        <v>859</v>
      </c>
      <c r="L388" s="29">
        <v>373204.65</v>
      </c>
      <c r="M388" s="29">
        <v>0</v>
      </c>
      <c r="N388" s="29">
        <v>0</v>
      </c>
      <c r="O388" s="29">
        <v>2337439.65</v>
      </c>
      <c r="P388" s="29" t="s">
        <v>41</v>
      </c>
      <c r="Q388" s="29" t="s">
        <v>42</v>
      </c>
      <c r="R388" s="1"/>
      <c r="S388" s="1"/>
      <c r="T388" s="1" t="s">
        <v>161</v>
      </c>
      <c r="U388" s="1"/>
      <c r="V388" s="1"/>
      <c r="W388" s="1"/>
      <c r="X388" s="1"/>
    </row>
    <row r="389" spans="1:24" s="32" customFormat="1" x14ac:dyDescent="0.2">
      <c r="A389" s="29" t="s">
        <v>31</v>
      </c>
      <c r="B389" s="29" t="s">
        <v>1708</v>
      </c>
      <c r="C389" s="29" t="s">
        <v>1709</v>
      </c>
      <c r="D389" s="29">
        <f t="shared" si="5"/>
        <v>-1</v>
      </c>
      <c r="E389" s="29" t="s">
        <v>34</v>
      </c>
      <c r="F389" s="29" t="s">
        <v>1614</v>
      </c>
      <c r="G389" s="29" t="s">
        <v>1710</v>
      </c>
      <c r="H389" s="29" t="s">
        <v>37</v>
      </c>
      <c r="I389" s="29" t="s">
        <v>38</v>
      </c>
      <c r="J389" s="29" t="s">
        <v>858</v>
      </c>
      <c r="K389" s="29" t="s">
        <v>859</v>
      </c>
      <c r="L389" s="29">
        <v>373204.65</v>
      </c>
      <c r="M389" s="29">
        <v>0</v>
      </c>
      <c r="N389" s="29">
        <v>0</v>
      </c>
      <c r="O389" s="29">
        <v>2337439.65</v>
      </c>
      <c r="P389" s="29" t="s">
        <v>41</v>
      </c>
      <c r="Q389" s="29" t="s">
        <v>42</v>
      </c>
      <c r="R389" s="1"/>
      <c r="S389" s="1"/>
      <c r="T389" s="1" t="s">
        <v>161</v>
      </c>
      <c r="U389" s="1"/>
      <c r="V389" s="1"/>
      <c r="W389" s="1"/>
      <c r="X389" s="1"/>
    </row>
    <row r="390" spans="1:24" s="32" customFormat="1" x14ac:dyDescent="0.2">
      <c r="A390" s="33" t="s">
        <v>31</v>
      </c>
      <c r="B390" s="33" t="s">
        <v>1711</v>
      </c>
      <c r="C390" s="33" t="s">
        <v>1712</v>
      </c>
      <c r="D390" s="33">
        <f t="shared" si="5"/>
        <v>-1</v>
      </c>
      <c r="E390" s="33" t="s">
        <v>34</v>
      </c>
      <c r="F390" s="33" t="s">
        <v>1614</v>
      </c>
      <c r="G390" s="33" t="s">
        <v>1713</v>
      </c>
      <c r="H390" s="33" t="s">
        <v>37</v>
      </c>
      <c r="I390" s="33" t="s">
        <v>38</v>
      </c>
      <c r="J390" s="33" t="s">
        <v>138</v>
      </c>
      <c r="K390" s="33" t="s">
        <v>139</v>
      </c>
      <c r="L390" s="33">
        <v>373204.65</v>
      </c>
      <c r="M390" s="33">
        <v>0</v>
      </c>
      <c r="N390" s="33">
        <v>0</v>
      </c>
      <c r="O390" s="33">
        <v>2337439.65</v>
      </c>
      <c r="P390" s="33" t="s">
        <v>41</v>
      </c>
      <c r="Q390" s="33" t="s">
        <v>42</v>
      </c>
      <c r="R390" s="1"/>
      <c r="S390" s="1"/>
      <c r="T390" s="1"/>
      <c r="U390" s="1"/>
      <c r="V390" s="1"/>
      <c r="W390" s="33" t="s">
        <v>43</v>
      </c>
      <c r="X390" s="1" t="s">
        <v>226</v>
      </c>
    </row>
    <row r="391" spans="1:24" s="32" customFormat="1" x14ac:dyDescent="0.2">
      <c r="A391" s="29" t="s">
        <v>31</v>
      </c>
      <c r="B391" s="29" t="s">
        <v>1714</v>
      </c>
      <c r="C391" s="29">
        <v>105004</v>
      </c>
      <c r="D391" s="29">
        <f t="shared" si="5"/>
        <v>-1</v>
      </c>
      <c r="E391" s="29" t="s">
        <v>34</v>
      </c>
      <c r="F391" s="29" t="s">
        <v>1614</v>
      </c>
      <c r="G391" s="29" t="s">
        <v>1715</v>
      </c>
      <c r="H391" s="29" t="s">
        <v>37</v>
      </c>
      <c r="I391" s="29" t="s">
        <v>38</v>
      </c>
      <c r="J391" s="29" t="s">
        <v>858</v>
      </c>
      <c r="K391" s="29" t="s">
        <v>859</v>
      </c>
      <c r="L391" s="29">
        <v>746409.3</v>
      </c>
      <c r="M391" s="29">
        <v>0</v>
      </c>
      <c r="N391" s="29">
        <v>0</v>
      </c>
      <c r="O391" s="29">
        <v>4674879.3</v>
      </c>
      <c r="P391" s="29" t="s">
        <v>41</v>
      </c>
      <c r="Q391" s="29" t="s">
        <v>42</v>
      </c>
      <c r="R391" s="1"/>
      <c r="S391" s="1"/>
      <c r="T391" s="1" t="s">
        <v>161</v>
      </c>
      <c r="U391" s="1"/>
      <c r="V391" s="1"/>
      <c r="W391" s="1"/>
      <c r="X391" s="1"/>
    </row>
    <row r="392" spans="1:24" s="32" customFormat="1" x14ac:dyDescent="0.2">
      <c r="A392" s="33" t="s">
        <v>31</v>
      </c>
      <c r="B392" s="33" t="s">
        <v>1716</v>
      </c>
      <c r="C392" s="33" t="s">
        <v>1717</v>
      </c>
      <c r="D392" s="33">
        <f t="shared" si="5"/>
        <v>-1</v>
      </c>
      <c r="E392" s="33" t="s">
        <v>34</v>
      </c>
      <c r="F392" s="33" t="s">
        <v>1614</v>
      </c>
      <c r="G392" s="33" t="s">
        <v>1718</v>
      </c>
      <c r="H392" s="33" t="s">
        <v>37</v>
      </c>
      <c r="I392" s="33" t="s">
        <v>38</v>
      </c>
      <c r="J392" s="33" t="s">
        <v>151</v>
      </c>
      <c r="K392" s="33" t="s">
        <v>152</v>
      </c>
      <c r="L392" s="33">
        <v>28500</v>
      </c>
      <c r="M392" s="33">
        <v>0</v>
      </c>
      <c r="N392" s="33">
        <v>0</v>
      </c>
      <c r="O392" s="33">
        <v>178500</v>
      </c>
      <c r="P392" s="33" t="s">
        <v>41</v>
      </c>
      <c r="Q392" s="33" t="s">
        <v>42</v>
      </c>
      <c r="R392" s="1"/>
      <c r="S392" s="1"/>
      <c r="T392" s="1"/>
      <c r="U392" s="1"/>
      <c r="V392" s="1"/>
      <c r="W392" s="33" t="s">
        <v>43</v>
      </c>
      <c r="X392" s="1" t="s">
        <v>1719</v>
      </c>
    </row>
    <row r="393" spans="1:24" s="32" customFormat="1" x14ac:dyDescent="0.2">
      <c r="A393" s="33" t="s">
        <v>31</v>
      </c>
      <c r="B393" s="33" t="s">
        <v>1720</v>
      </c>
      <c r="C393" s="33" t="s">
        <v>1721</v>
      </c>
      <c r="D393" s="33">
        <f t="shared" si="5"/>
        <v>-1</v>
      </c>
      <c r="E393" s="33" t="s">
        <v>34</v>
      </c>
      <c r="F393" s="33" t="s">
        <v>1614</v>
      </c>
      <c r="G393" s="33" t="s">
        <v>1722</v>
      </c>
      <c r="H393" s="33" t="s">
        <v>37</v>
      </c>
      <c r="I393" s="33" t="s">
        <v>38</v>
      </c>
      <c r="J393" s="33" t="s">
        <v>1723</v>
      </c>
      <c r="K393" s="33" t="s">
        <v>1724</v>
      </c>
      <c r="L393" s="33">
        <v>179550</v>
      </c>
      <c r="M393" s="33">
        <v>0</v>
      </c>
      <c r="N393" s="33">
        <v>0</v>
      </c>
      <c r="O393" s="33">
        <v>1124550</v>
      </c>
      <c r="P393" s="33" t="s">
        <v>41</v>
      </c>
      <c r="Q393" s="33" t="s">
        <v>42</v>
      </c>
      <c r="R393" s="1"/>
      <c r="S393" s="1"/>
      <c r="T393" s="1"/>
      <c r="U393" s="1"/>
      <c r="V393" s="1"/>
      <c r="W393" s="33" t="s">
        <v>43</v>
      </c>
      <c r="X393" s="1" t="s">
        <v>201</v>
      </c>
    </row>
    <row r="394" spans="1:24" s="32" customFormat="1" x14ac:dyDescent="0.2">
      <c r="A394" s="1" t="s">
        <v>31</v>
      </c>
      <c r="B394" s="1" t="s">
        <v>1725</v>
      </c>
      <c r="C394" s="1" t="s">
        <v>1726</v>
      </c>
      <c r="D394" s="1">
        <f t="shared" si="5"/>
        <v>-1</v>
      </c>
      <c r="E394" s="1" t="s">
        <v>34</v>
      </c>
      <c r="F394" s="1" t="s">
        <v>1614</v>
      </c>
      <c r="G394" s="1" t="s">
        <v>1727</v>
      </c>
      <c r="H394" s="1" t="s">
        <v>37</v>
      </c>
      <c r="I394" s="1" t="s">
        <v>38</v>
      </c>
      <c r="J394" s="1" t="s">
        <v>988</v>
      </c>
      <c r="K394" s="1" t="s">
        <v>989</v>
      </c>
      <c r="L394" s="1">
        <v>58821.599999999999</v>
      </c>
      <c r="M394" s="1">
        <v>0</v>
      </c>
      <c r="N394" s="1">
        <v>0</v>
      </c>
      <c r="O394" s="1">
        <v>545781.6</v>
      </c>
      <c r="P394" s="1" t="s">
        <v>41</v>
      </c>
      <c r="Q394" s="1" t="s">
        <v>42</v>
      </c>
      <c r="R394" s="1"/>
      <c r="S394" s="1"/>
      <c r="T394" s="1"/>
      <c r="U394" s="1"/>
      <c r="V394" s="1" t="s">
        <v>43</v>
      </c>
      <c r="W394" s="1"/>
      <c r="X394" s="1"/>
    </row>
    <row r="395" spans="1:24" s="32" customFormat="1" x14ac:dyDescent="0.2">
      <c r="A395" s="33" t="s">
        <v>31</v>
      </c>
      <c r="B395" s="33" t="s">
        <v>1728</v>
      </c>
      <c r="C395" s="33" t="s">
        <v>1729</v>
      </c>
      <c r="D395" s="33">
        <f t="shared" ref="D395:D458" si="6">C395-C396</f>
        <v>-1</v>
      </c>
      <c r="E395" s="33" t="s">
        <v>34</v>
      </c>
      <c r="F395" s="33" t="s">
        <v>1614</v>
      </c>
      <c r="G395" s="33" t="s">
        <v>1730</v>
      </c>
      <c r="H395" s="33" t="s">
        <v>37</v>
      </c>
      <c r="I395" s="33" t="s">
        <v>38</v>
      </c>
      <c r="J395" s="33" t="s">
        <v>1731</v>
      </c>
      <c r="K395" s="33" t="s">
        <v>1732</v>
      </c>
      <c r="L395" s="33">
        <v>332500</v>
      </c>
      <c r="M395" s="33">
        <v>0</v>
      </c>
      <c r="N395" s="33">
        <v>0</v>
      </c>
      <c r="O395" s="33">
        <v>2082500</v>
      </c>
      <c r="P395" s="33" t="s">
        <v>41</v>
      </c>
      <c r="Q395" s="33" t="s">
        <v>42</v>
      </c>
      <c r="R395" s="1"/>
      <c r="S395" s="1"/>
      <c r="T395" s="1"/>
      <c r="U395" s="1"/>
      <c r="V395" s="1"/>
      <c r="W395" s="33" t="s">
        <v>43</v>
      </c>
      <c r="X395" s="1" t="s">
        <v>317</v>
      </c>
    </row>
    <row r="396" spans="1:24" s="32" customFormat="1" x14ac:dyDescent="0.2">
      <c r="A396" s="1" t="s">
        <v>31</v>
      </c>
      <c r="B396" s="1" t="s">
        <v>1733</v>
      </c>
      <c r="C396" s="1" t="s">
        <v>1734</v>
      </c>
      <c r="D396" s="1">
        <f t="shared" si="6"/>
        <v>-1</v>
      </c>
      <c r="E396" s="1" t="s">
        <v>34</v>
      </c>
      <c r="F396" s="1" t="s">
        <v>1614</v>
      </c>
      <c r="G396" s="1" t="s">
        <v>1735</v>
      </c>
      <c r="H396" s="1" t="s">
        <v>37</v>
      </c>
      <c r="I396" s="1" t="s">
        <v>38</v>
      </c>
      <c r="J396" s="1" t="s">
        <v>1736</v>
      </c>
      <c r="K396" s="1" t="s">
        <v>1737</v>
      </c>
      <c r="L396" s="1">
        <v>2147000</v>
      </c>
      <c r="M396" s="1">
        <v>0</v>
      </c>
      <c r="N396" s="1">
        <v>0</v>
      </c>
      <c r="O396" s="1">
        <v>13447000</v>
      </c>
      <c r="P396" s="1" t="s">
        <v>41</v>
      </c>
      <c r="Q396" s="1" t="s">
        <v>42</v>
      </c>
      <c r="R396" s="1"/>
      <c r="S396" s="1"/>
      <c r="T396" s="1"/>
      <c r="U396" s="1"/>
      <c r="V396" s="1" t="s">
        <v>43</v>
      </c>
      <c r="W396" s="1"/>
      <c r="X396" s="1"/>
    </row>
    <row r="397" spans="1:24" s="32" customFormat="1" x14ac:dyDescent="0.2">
      <c r="A397" s="33" t="s">
        <v>31</v>
      </c>
      <c r="B397" s="33" t="s">
        <v>1738</v>
      </c>
      <c r="C397" s="33" t="s">
        <v>1739</v>
      </c>
      <c r="D397" s="33">
        <f t="shared" si="6"/>
        <v>-1</v>
      </c>
      <c r="E397" s="33" t="s">
        <v>34</v>
      </c>
      <c r="F397" s="33" t="s">
        <v>1614</v>
      </c>
      <c r="G397" s="33" t="s">
        <v>1740</v>
      </c>
      <c r="H397" s="33" t="s">
        <v>37</v>
      </c>
      <c r="I397" s="33" t="s">
        <v>38</v>
      </c>
      <c r="J397" s="33" t="s">
        <v>1741</v>
      </c>
      <c r="K397" s="33" t="s">
        <v>1742</v>
      </c>
      <c r="L397" s="33">
        <v>2964000</v>
      </c>
      <c r="M397" s="33">
        <v>0</v>
      </c>
      <c r="N397" s="33">
        <v>0</v>
      </c>
      <c r="O397" s="33">
        <v>18564000</v>
      </c>
      <c r="P397" s="33" t="s">
        <v>41</v>
      </c>
      <c r="Q397" s="33" t="s">
        <v>42</v>
      </c>
      <c r="R397" s="1"/>
      <c r="S397" s="1"/>
      <c r="T397" s="1"/>
      <c r="U397" s="1"/>
      <c r="V397" s="1"/>
      <c r="W397" s="33" t="s">
        <v>43</v>
      </c>
      <c r="X397" s="1" t="s">
        <v>784</v>
      </c>
    </row>
    <row r="398" spans="1:24" s="32" customFormat="1" x14ac:dyDescent="0.2">
      <c r="A398" s="33" t="s">
        <v>31</v>
      </c>
      <c r="B398" s="33" t="s">
        <v>1743</v>
      </c>
      <c r="C398" s="33" t="s">
        <v>1744</v>
      </c>
      <c r="D398" s="33">
        <f t="shared" si="6"/>
        <v>-1</v>
      </c>
      <c r="E398" s="33" t="s">
        <v>34</v>
      </c>
      <c r="F398" s="33" t="s">
        <v>1614</v>
      </c>
      <c r="G398" s="33" t="s">
        <v>1745</v>
      </c>
      <c r="H398" s="33" t="s">
        <v>37</v>
      </c>
      <c r="I398" s="33" t="s">
        <v>38</v>
      </c>
      <c r="J398" s="33" t="s">
        <v>1746</v>
      </c>
      <c r="K398" s="33" t="s">
        <v>1747</v>
      </c>
      <c r="L398" s="33">
        <v>144400</v>
      </c>
      <c r="M398" s="33">
        <v>0</v>
      </c>
      <c r="N398" s="33">
        <v>0</v>
      </c>
      <c r="O398" s="33">
        <v>904400</v>
      </c>
      <c r="P398" s="33" t="s">
        <v>41</v>
      </c>
      <c r="Q398" s="33" t="s">
        <v>42</v>
      </c>
      <c r="R398" s="1"/>
      <c r="S398" s="1"/>
      <c r="T398" s="1"/>
      <c r="U398" s="1"/>
      <c r="V398" s="1"/>
      <c r="W398" s="33" t="s">
        <v>43</v>
      </c>
      <c r="X398" s="1" t="s">
        <v>173</v>
      </c>
    </row>
    <row r="399" spans="1:24" s="32" customFormat="1" x14ac:dyDescent="0.2">
      <c r="A399" s="33" t="s">
        <v>31</v>
      </c>
      <c r="B399" s="33" t="s">
        <v>1748</v>
      </c>
      <c r="C399" s="33" t="s">
        <v>1749</v>
      </c>
      <c r="D399" s="33">
        <f t="shared" si="6"/>
        <v>-1</v>
      </c>
      <c r="E399" s="33" t="s">
        <v>34</v>
      </c>
      <c r="F399" s="33" t="s">
        <v>1614</v>
      </c>
      <c r="G399" s="33" t="s">
        <v>1750</v>
      </c>
      <c r="H399" s="33" t="s">
        <v>37</v>
      </c>
      <c r="I399" s="33" t="s">
        <v>38</v>
      </c>
      <c r="J399" s="33" t="s">
        <v>1295</v>
      </c>
      <c r="K399" s="33" t="s">
        <v>1296</v>
      </c>
      <c r="L399" s="33">
        <v>24806400</v>
      </c>
      <c r="M399" s="33">
        <v>0</v>
      </c>
      <c r="N399" s="33">
        <v>0</v>
      </c>
      <c r="O399" s="33">
        <v>155366400</v>
      </c>
      <c r="P399" s="33" t="s">
        <v>41</v>
      </c>
      <c r="Q399" s="33" t="s">
        <v>42</v>
      </c>
      <c r="R399" s="1"/>
      <c r="S399" s="1"/>
      <c r="T399" s="1"/>
      <c r="U399" s="1"/>
      <c r="V399" s="1"/>
      <c r="W399" s="33" t="s">
        <v>43</v>
      </c>
      <c r="X399" s="1" t="s">
        <v>399</v>
      </c>
    </row>
    <row r="400" spans="1:24" s="32" customFormat="1" x14ac:dyDescent="0.2">
      <c r="A400" s="33" t="s">
        <v>31</v>
      </c>
      <c r="B400" s="33" t="s">
        <v>1751</v>
      </c>
      <c r="C400" s="33" t="s">
        <v>1752</v>
      </c>
      <c r="D400" s="33">
        <f t="shared" si="6"/>
        <v>-1</v>
      </c>
      <c r="E400" s="33" t="s">
        <v>34</v>
      </c>
      <c r="F400" s="33" t="s">
        <v>1614</v>
      </c>
      <c r="G400" s="33" t="s">
        <v>1753</v>
      </c>
      <c r="H400" s="33" t="s">
        <v>37</v>
      </c>
      <c r="I400" s="33" t="s">
        <v>38</v>
      </c>
      <c r="J400" s="33" t="s">
        <v>1754</v>
      </c>
      <c r="K400" s="33" t="s">
        <v>1755</v>
      </c>
      <c r="L400" s="33">
        <v>253650</v>
      </c>
      <c r="M400" s="33">
        <v>0</v>
      </c>
      <c r="N400" s="33">
        <v>0</v>
      </c>
      <c r="O400" s="33">
        <v>1588650</v>
      </c>
      <c r="P400" s="33" t="s">
        <v>41</v>
      </c>
      <c r="Q400" s="33" t="s">
        <v>42</v>
      </c>
      <c r="R400" s="1"/>
      <c r="S400" s="1"/>
      <c r="T400" s="1"/>
      <c r="U400" s="1"/>
      <c r="V400" s="1"/>
      <c r="W400" s="33" t="s">
        <v>161</v>
      </c>
      <c r="X400" s="1" t="s">
        <v>277</v>
      </c>
    </row>
    <row r="401" spans="1:24" s="32" customFormat="1" x14ac:dyDescent="0.2">
      <c r="A401" s="33" t="s">
        <v>31</v>
      </c>
      <c r="B401" s="33" t="s">
        <v>1756</v>
      </c>
      <c r="C401" s="33" t="s">
        <v>1757</v>
      </c>
      <c r="D401" s="33">
        <f t="shared" si="6"/>
        <v>-1</v>
      </c>
      <c r="E401" s="33" t="s">
        <v>34</v>
      </c>
      <c r="F401" s="33" t="s">
        <v>1614</v>
      </c>
      <c r="G401" s="33" t="s">
        <v>1758</v>
      </c>
      <c r="H401" s="33" t="s">
        <v>37</v>
      </c>
      <c r="I401" s="33" t="s">
        <v>38</v>
      </c>
      <c r="J401" s="33" t="s">
        <v>1754</v>
      </c>
      <c r="K401" s="33" t="s">
        <v>1755</v>
      </c>
      <c r="L401" s="33">
        <v>253650</v>
      </c>
      <c r="M401" s="33">
        <v>0</v>
      </c>
      <c r="N401" s="33">
        <v>0</v>
      </c>
      <c r="O401" s="33">
        <v>1588650</v>
      </c>
      <c r="P401" s="33" t="s">
        <v>41</v>
      </c>
      <c r="Q401" s="33" t="s">
        <v>42</v>
      </c>
      <c r="R401" s="1"/>
      <c r="S401" s="1"/>
      <c r="T401" s="1"/>
      <c r="U401" s="1"/>
      <c r="V401" s="1"/>
      <c r="W401" s="33" t="s">
        <v>161</v>
      </c>
      <c r="X401" s="1" t="s">
        <v>277</v>
      </c>
    </row>
    <row r="402" spans="1:24" s="32" customFormat="1" x14ac:dyDescent="0.2">
      <c r="A402" s="28" t="s">
        <v>31</v>
      </c>
      <c r="B402" s="28" t="s">
        <v>1759</v>
      </c>
      <c r="C402" s="28" t="s">
        <v>1760</v>
      </c>
      <c r="D402" s="28">
        <f t="shared" si="6"/>
        <v>-1</v>
      </c>
      <c r="E402" s="28" t="s">
        <v>34</v>
      </c>
      <c r="F402" s="28" t="s">
        <v>1614</v>
      </c>
      <c r="G402" s="28" t="s">
        <v>1761</v>
      </c>
      <c r="H402" s="28" t="s">
        <v>37</v>
      </c>
      <c r="I402" s="28" t="s">
        <v>38</v>
      </c>
      <c r="J402" s="28" t="s">
        <v>57</v>
      </c>
      <c r="K402" s="28" t="s">
        <v>58</v>
      </c>
      <c r="L402" s="28">
        <v>479432.7</v>
      </c>
      <c r="M402" s="28">
        <v>0</v>
      </c>
      <c r="N402" s="28">
        <v>0</v>
      </c>
      <c r="O402" s="28">
        <v>3002762.7</v>
      </c>
      <c r="P402" s="28" t="s">
        <v>41</v>
      </c>
      <c r="Q402" s="28" t="s">
        <v>42</v>
      </c>
      <c r="R402" s="1" t="s">
        <v>43</v>
      </c>
      <c r="S402" s="1"/>
      <c r="T402" s="1"/>
      <c r="U402" s="1"/>
      <c r="V402" s="1"/>
      <c r="W402" s="1"/>
      <c r="X402" s="1"/>
    </row>
    <row r="403" spans="1:24" s="32" customFormat="1" x14ac:dyDescent="0.2">
      <c r="A403" s="31" t="s">
        <v>31</v>
      </c>
      <c r="B403" s="31" t="s">
        <v>1762</v>
      </c>
      <c r="C403" s="31" t="s">
        <v>1763</v>
      </c>
      <c r="D403" s="31">
        <f t="shared" si="6"/>
        <v>-1</v>
      </c>
      <c r="E403" s="31" t="s">
        <v>34</v>
      </c>
      <c r="F403" s="31" t="s">
        <v>1614</v>
      </c>
      <c r="G403" s="31" t="s">
        <v>1764</v>
      </c>
      <c r="H403" s="31" t="s">
        <v>37</v>
      </c>
      <c r="I403" s="31" t="s">
        <v>38</v>
      </c>
      <c r="J403" s="31" t="s">
        <v>822</v>
      </c>
      <c r="K403" s="31" t="s">
        <v>823</v>
      </c>
      <c r="L403" s="31">
        <v>131774.5</v>
      </c>
      <c r="M403" s="31">
        <v>0</v>
      </c>
      <c r="N403" s="31">
        <v>0</v>
      </c>
      <c r="O403" s="31">
        <v>825324.5</v>
      </c>
      <c r="P403" s="31" t="s">
        <v>41</v>
      </c>
      <c r="Q403" s="31" t="s">
        <v>42</v>
      </c>
      <c r="R403" s="1"/>
      <c r="S403" s="1"/>
      <c r="T403" s="1"/>
      <c r="U403" s="31" t="s">
        <v>43</v>
      </c>
      <c r="V403" s="1"/>
      <c r="W403" s="1"/>
      <c r="X403" s="1"/>
    </row>
    <row r="404" spans="1:24" s="32" customFormat="1" x14ac:dyDescent="0.2">
      <c r="A404" s="33" t="s">
        <v>31</v>
      </c>
      <c r="B404" s="33" t="s">
        <v>1765</v>
      </c>
      <c r="C404" s="33" t="s">
        <v>1766</v>
      </c>
      <c r="D404" s="33">
        <f t="shared" si="6"/>
        <v>-1</v>
      </c>
      <c r="E404" s="33" t="s">
        <v>34</v>
      </c>
      <c r="F404" s="33" t="s">
        <v>1614</v>
      </c>
      <c r="G404" s="33" t="s">
        <v>1767</v>
      </c>
      <c r="H404" s="33" t="s">
        <v>37</v>
      </c>
      <c r="I404" s="33" t="s">
        <v>38</v>
      </c>
      <c r="J404" s="33" t="s">
        <v>1768</v>
      </c>
      <c r="K404" s="33" t="s">
        <v>1769</v>
      </c>
      <c r="L404" s="33">
        <v>224853.6</v>
      </c>
      <c r="M404" s="33">
        <v>0</v>
      </c>
      <c r="N404" s="33">
        <v>0</v>
      </c>
      <c r="O404" s="33">
        <v>1408293.6</v>
      </c>
      <c r="P404" s="33" t="s">
        <v>41</v>
      </c>
      <c r="Q404" s="33" t="s">
        <v>42</v>
      </c>
      <c r="R404" s="1"/>
      <c r="S404" s="1"/>
      <c r="T404" s="1"/>
      <c r="U404" s="1"/>
      <c r="V404" s="1"/>
      <c r="W404" s="33" t="s">
        <v>43</v>
      </c>
      <c r="X404" s="1" t="s">
        <v>195</v>
      </c>
    </row>
    <row r="405" spans="1:24" s="32" customFormat="1" x14ac:dyDescent="0.2">
      <c r="A405" s="33" t="s">
        <v>31</v>
      </c>
      <c r="B405" s="33" t="s">
        <v>1770</v>
      </c>
      <c r="C405" s="33" t="s">
        <v>1771</v>
      </c>
      <c r="D405" s="33">
        <f t="shared" si="6"/>
        <v>-1</v>
      </c>
      <c r="E405" s="33" t="s">
        <v>34</v>
      </c>
      <c r="F405" s="33" t="s">
        <v>1614</v>
      </c>
      <c r="G405" s="33" t="s">
        <v>1772</v>
      </c>
      <c r="H405" s="33" t="s">
        <v>37</v>
      </c>
      <c r="I405" s="33" t="s">
        <v>38</v>
      </c>
      <c r="J405" s="33" t="s">
        <v>1773</v>
      </c>
      <c r="K405" s="33" t="s">
        <v>1774</v>
      </c>
      <c r="L405" s="33">
        <v>11887.35</v>
      </c>
      <c r="M405" s="33">
        <v>0</v>
      </c>
      <c r="N405" s="33">
        <v>0</v>
      </c>
      <c r="O405" s="33">
        <v>74452.350000000006</v>
      </c>
      <c r="P405" s="33" t="s">
        <v>41</v>
      </c>
      <c r="Q405" s="33" t="s">
        <v>42</v>
      </c>
      <c r="R405" s="1"/>
      <c r="S405" s="1"/>
      <c r="T405" s="1"/>
      <c r="U405" s="1"/>
      <c r="V405" s="1"/>
      <c r="W405" s="1" t="s">
        <v>43</v>
      </c>
      <c r="X405" s="1" t="s">
        <v>1775</v>
      </c>
    </row>
    <row r="406" spans="1:24" s="32" customFormat="1" x14ac:dyDescent="0.2">
      <c r="A406" s="33" t="s">
        <v>31</v>
      </c>
      <c r="B406" s="33" t="s">
        <v>1776</v>
      </c>
      <c r="C406" s="33" t="s">
        <v>1777</v>
      </c>
      <c r="D406" s="33">
        <f t="shared" si="6"/>
        <v>-1</v>
      </c>
      <c r="E406" s="33" t="s">
        <v>34</v>
      </c>
      <c r="F406" s="33" t="s">
        <v>1614</v>
      </c>
      <c r="G406" s="33" t="s">
        <v>1778</v>
      </c>
      <c r="H406" s="33" t="s">
        <v>37</v>
      </c>
      <c r="I406" s="33" t="s">
        <v>38</v>
      </c>
      <c r="J406" s="33" t="s">
        <v>1779</v>
      </c>
      <c r="K406" s="33" t="s">
        <v>1780</v>
      </c>
      <c r="L406" s="33">
        <v>21622.080000000002</v>
      </c>
      <c r="M406" s="33">
        <v>0</v>
      </c>
      <c r="N406" s="33">
        <v>0</v>
      </c>
      <c r="O406" s="33">
        <v>135422.16</v>
      </c>
      <c r="P406" s="33" t="s">
        <v>41</v>
      </c>
      <c r="Q406" s="33" t="s">
        <v>42</v>
      </c>
      <c r="R406" s="1"/>
      <c r="S406" s="1"/>
      <c r="T406" s="1"/>
      <c r="U406" s="1"/>
      <c r="V406" s="1"/>
      <c r="W406" s="1" t="s">
        <v>43</v>
      </c>
      <c r="X406" s="1" t="s">
        <v>1775</v>
      </c>
    </row>
    <row r="407" spans="1:24" s="32" customFormat="1" x14ac:dyDescent="0.2">
      <c r="A407" s="29" t="s">
        <v>31</v>
      </c>
      <c r="B407" s="29" t="s">
        <v>1781</v>
      </c>
      <c r="C407" s="29" t="s">
        <v>1782</v>
      </c>
      <c r="D407" s="29">
        <f t="shared" si="6"/>
        <v>-1</v>
      </c>
      <c r="E407" s="29" t="s">
        <v>34</v>
      </c>
      <c r="F407" s="29" t="s">
        <v>1614</v>
      </c>
      <c r="G407" s="29" t="s">
        <v>1783</v>
      </c>
      <c r="H407" s="29" t="s">
        <v>37</v>
      </c>
      <c r="I407" s="29" t="s">
        <v>38</v>
      </c>
      <c r="J407" s="29" t="s">
        <v>1784</v>
      </c>
      <c r="K407" s="29" t="s">
        <v>1785</v>
      </c>
      <c r="L407" s="29">
        <v>373204.65</v>
      </c>
      <c r="M407" s="29">
        <v>0</v>
      </c>
      <c r="N407" s="29">
        <v>0</v>
      </c>
      <c r="O407" s="29">
        <v>2337439.65</v>
      </c>
      <c r="P407" s="29" t="s">
        <v>41</v>
      </c>
      <c r="Q407" s="29" t="s">
        <v>42</v>
      </c>
      <c r="R407" s="1"/>
      <c r="S407" s="1"/>
      <c r="T407" s="1" t="s">
        <v>43</v>
      </c>
      <c r="U407" s="1"/>
      <c r="V407" s="1"/>
      <c r="W407" s="1"/>
      <c r="X407" s="1"/>
    </row>
    <row r="408" spans="1:24" s="32" customFormat="1" x14ac:dyDescent="0.2">
      <c r="A408" s="1" t="s">
        <v>31</v>
      </c>
      <c r="B408" s="1" t="s">
        <v>1786</v>
      </c>
      <c r="C408" s="1">
        <v>105021</v>
      </c>
      <c r="D408" s="1">
        <f t="shared" si="6"/>
        <v>-1</v>
      </c>
      <c r="E408" s="1" t="s">
        <v>34</v>
      </c>
      <c r="F408" s="1" t="s">
        <v>1614</v>
      </c>
      <c r="G408" s="1" t="s">
        <v>1787</v>
      </c>
      <c r="H408" s="1" t="s">
        <v>37</v>
      </c>
      <c r="I408" s="1" t="s">
        <v>38</v>
      </c>
      <c r="J408" s="1" t="s">
        <v>1788</v>
      </c>
      <c r="K408" s="1" t="s">
        <v>1789</v>
      </c>
      <c r="L408" s="1">
        <v>478907.73</v>
      </c>
      <c r="M408" s="1">
        <v>0</v>
      </c>
      <c r="N408" s="1">
        <v>0</v>
      </c>
      <c r="O408" s="1">
        <v>3120890.73</v>
      </c>
      <c r="P408" s="1" t="s">
        <v>41</v>
      </c>
      <c r="Q408" s="1" t="s">
        <v>42</v>
      </c>
      <c r="R408" s="1"/>
      <c r="S408" s="1"/>
      <c r="T408" s="1"/>
      <c r="U408" s="1"/>
      <c r="V408" s="1" t="s">
        <v>43</v>
      </c>
      <c r="W408" s="1"/>
      <c r="X408" s="1"/>
    </row>
    <row r="409" spans="1:24" s="32" customFormat="1" x14ac:dyDescent="0.2">
      <c r="A409" s="33" t="s">
        <v>31</v>
      </c>
      <c r="B409" s="33" t="s">
        <v>1790</v>
      </c>
      <c r="C409" s="33" t="s">
        <v>1791</v>
      </c>
      <c r="D409" s="33">
        <f t="shared" si="6"/>
        <v>-1</v>
      </c>
      <c r="E409" s="33" t="s">
        <v>34</v>
      </c>
      <c r="F409" s="33" t="s">
        <v>1614</v>
      </c>
      <c r="G409" s="33" t="s">
        <v>1792</v>
      </c>
      <c r="H409" s="33" t="s">
        <v>37</v>
      </c>
      <c r="I409" s="33" t="s">
        <v>38</v>
      </c>
      <c r="J409" s="33" t="s">
        <v>1793</v>
      </c>
      <c r="K409" s="33" t="s">
        <v>1794</v>
      </c>
      <c r="L409" s="33">
        <v>1055555.6399999999</v>
      </c>
      <c r="M409" s="33">
        <v>0</v>
      </c>
      <c r="N409" s="33">
        <v>0</v>
      </c>
      <c r="O409" s="33">
        <v>6611111.6399999997</v>
      </c>
      <c r="P409" s="33" t="s">
        <v>41</v>
      </c>
      <c r="Q409" s="33" t="s">
        <v>42</v>
      </c>
      <c r="R409" s="1"/>
      <c r="S409" s="1"/>
      <c r="T409" s="1"/>
      <c r="U409" s="1"/>
      <c r="V409" s="1"/>
      <c r="W409" s="33" t="s">
        <v>161</v>
      </c>
      <c r="X409" s="1" t="s">
        <v>439</v>
      </c>
    </row>
    <row r="410" spans="1:24" s="32" customFormat="1" x14ac:dyDescent="0.2">
      <c r="A410" s="33" t="s">
        <v>31</v>
      </c>
      <c r="B410" s="33" t="s">
        <v>1795</v>
      </c>
      <c r="C410" s="33" t="s">
        <v>1796</v>
      </c>
      <c r="D410" s="33">
        <f t="shared" si="6"/>
        <v>-1</v>
      </c>
      <c r="E410" s="33" t="s">
        <v>34</v>
      </c>
      <c r="F410" s="33" t="s">
        <v>1614</v>
      </c>
      <c r="G410" s="33" t="s">
        <v>1797</v>
      </c>
      <c r="H410" s="33" t="s">
        <v>37</v>
      </c>
      <c r="I410" s="33" t="s">
        <v>38</v>
      </c>
      <c r="J410" s="33" t="s">
        <v>1793</v>
      </c>
      <c r="K410" s="33" t="s">
        <v>1794</v>
      </c>
      <c r="L410" s="33">
        <v>1055555.6399999999</v>
      </c>
      <c r="M410" s="33">
        <v>0</v>
      </c>
      <c r="N410" s="33">
        <v>0</v>
      </c>
      <c r="O410" s="33">
        <v>6611111.6399999997</v>
      </c>
      <c r="P410" s="33" t="s">
        <v>41</v>
      </c>
      <c r="Q410" s="33" t="s">
        <v>42</v>
      </c>
      <c r="R410" s="1"/>
      <c r="S410" s="1"/>
      <c r="T410" s="1"/>
      <c r="U410" s="1"/>
      <c r="V410" s="1"/>
      <c r="W410" s="33" t="s">
        <v>161</v>
      </c>
      <c r="X410" s="1" t="s">
        <v>439</v>
      </c>
    </row>
    <row r="411" spans="1:24" s="32" customFormat="1" x14ac:dyDescent="0.2">
      <c r="A411" s="1" t="s">
        <v>31</v>
      </c>
      <c r="B411" s="1" t="s">
        <v>1798</v>
      </c>
      <c r="C411" s="1" t="s">
        <v>1799</v>
      </c>
      <c r="D411" s="1">
        <f t="shared" si="6"/>
        <v>-1</v>
      </c>
      <c r="E411" s="1" t="s">
        <v>34</v>
      </c>
      <c r="F411" s="1" t="s">
        <v>1614</v>
      </c>
      <c r="G411" s="1" t="s">
        <v>1800</v>
      </c>
      <c r="H411" s="1" t="s">
        <v>37</v>
      </c>
      <c r="I411" s="1" t="s">
        <v>38</v>
      </c>
      <c r="J411" s="1" t="s">
        <v>1621</v>
      </c>
      <c r="K411" s="1" t="s">
        <v>1622</v>
      </c>
      <c r="L411" s="1">
        <v>64615.95</v>
      </c>
      <c r="M411" s="1">
        <v>0</v>
      </c>
      <c r="N411" s="1">
        <v>0</v>
      </c>
      <c r="O411" s="1">
        <v>404699.97</v>
      </c>
      <c r="P411" s="1" t="s">
        <v>41</v>
      </c>
      <c r="Q411" s="1" t="s">
        <v>42</v>
      </c>
      <c r="R411" s="1"/>
      <c r="S411" s="1"/>
      <c r="T411" s="1"/>
      <c r="U411" s="1"/>
      <c r="V411" s="1" t="s">
        <v>43</v>
      </c>
      <c r="W411" s="1"/>
      <c r="X411" s="1"/>
    </row>
    <row r="412" spans="1:24" s="32" customFormat="1" x14ac:dyDescent="0.2">
      <c r="A412" s="31" t="s">
        <v>31</v>
      </c>
      <c r="B412" s="31" t="s">
        <v>1801</v>
      </c>
      <c r="C412" s="31" t="s">
        <v>1802</v>
      </c>
      <c r="D412" s="31">
        <f t="shared" si="6"/>
        <v>-1</v>
      </c>
      <c r="E412" s="31" t="s">
        <v>34</v>
      </c>
      <c r="F412" s="31" t="s">
        <v>1614</v>
      </c>
      <c r="G412" s="31" t="s">
        <v>1803</v>
      </c>
      <c r="H412" s="31" t="s">
        <v>37</v>
      </c>
      <c r="I412" s="31" t="s">
        <v>38</v>
      </c>
      <c r="J412" s="31" t="s">
        <v>642</v>
      </c>
      <c r="K412" s="31" t="s">
        <v>643</v>
      </c>
      <c r="L412" s="31">
        <v>583300</v>
      </c>
      <c r="M412" s="31">
        <v>0</v>
      </c>
      <c r="N412" s="31">
        <v>0</v>
      </c>
      <c r="O412" s="31">
        <v>3653300</v>
      </c>
      <c r="P412" s="31" t="s">
        <v>41</v>
      </c>
      <c r="Q412" s="31" t="s">
        <v>42</v>
      </c>
      <c r="R412" s="1"/>
      <c r="S412" s="1"/>
      <c r="T412" s="1"/>
      <c r="U412" s="31" t="s">
        <v>43</v>
      </c>
      <c r="V412" s="1"/>
      <c r="W412" s="1"/>
      <c r="X412" s="1"/>
    </row>
    <row r="413" spans="1:24" s="32" customFormat="1" x14ac:dyDescent="0.2">
      <c r="A413" s="29" t="s">
        <v>31</v>
      </c>
      <c r="B413" s="29" t="s">
        <v>1804</v>
      </c>
      <c r="C413" s="29" t="s">
        <v>1805</v>
      </c>
      <c r="D413" s="29">
        <f t="shared" si="6"/>
        <v>-1</v>
      </c>
      <c r="E413" s="29" t="s">
        <v>34</v>
      </c>
      <c r="F413" s="29" t="s">
        <v>1614</v>
      </c>
      <c r="G413" s="29" t="s">
        <v>1806</v>
      </c>
      <c r="H413" s="29" t="s">
        <v>37</v>
      </c>
      <c r="I413" s="29" t="s">
        <v>38</v>
      </c>
      <c r="J413" s="29" t="s">
        <v>1807</v>
      </c>
      <c r="K413" s="29" t="s">
        <v>1808</v>
      </c>
      <c r="L413" s="29">
        <v>0</v>
      </c>
      <c r="M413" s="29">
        <v>0</v>
      </c>
      <c r="N413" s="29">
        <v>0</v>
      </c>
      <c r="O413" s="29">
        <v>9672000</v>
      </c>
      <c r="P413" s="29" t="s">
        <v>41</v>
      </c>
      <c r="Q413" s="29" t="s">
        <v>42</v>
      </c>
      <c r="R413" s="1"/>
      <c r="S413" s="1"/>
      <c r="T413" s="1" t="s">
        <v>161</v>
      </c>
      <c r="U413" s="1"/>
      <c r="V413" s="1"/>
      <c r="W413" s="1"/>
      <c r="X413" s="1"/>
    </row>
    <row r="414" spans="1:24" s="32" customFormat="1" x14ac:dyDescent="0.2">
      <c r="A414" s="33" t="s">
        <v>31</v>
      </c>
      <c r="B414" s="33" t="s">
        <v>1809</v>
      </c>
      <c r="C414" s="33" t="s">
        <v>1810</v>
      </c>
      <c r="D414" s="33">
        <f t="shared" si="6"/>
        <v>-1</v>
      </c>
      <c r="E414" s="33" t="s">
        <v>34</v>
      </c>
      <c r="F414" s="33" t="s">
        <v>1614</v>
      </c>
      <c r="G414" s="33" t="s">
        <v>1811</v>
      </c>
      <c r="H414" s="33" t="s">
        <v>37</v>
      </c>
      <c r="I414" s="33" t="s">
        <v>38</v>
      </c>
      <c r="J414" s="33" t="s">
        <v>1812</v>
      </c>
      <c r="K414" s="33" t="s">
        <v>1813</v>
      </c>
      <c r="L414" s="33">
        <v>4604460</v>
      </c>
      <c r="M414" s="33">
        <v>0</v>
      </c>
      <c r="N414" s="33">
        <v>0</v>
      </c>
      <c r="O414" s="33">
        <v>28838460</v>
      </c>
      <c r="P414" s="33" t="s">
        <v>41</v>
      </c>
      <c r="Q414" s="33" t="s">
        <v>42</v>
      </c>
      <c r="R414" s="1"/>
      <c r="S414" s="1"/>
      <c r="T414" s="1"/>
      <c r="U414" s="1"/>
      <c r="V414" s="1"/>
      <c r="W414" s="33" t="s">
        <v>161</v>
      </c>
      <c r="X414" s="1" t="s">
        <v>1681</v>
      </c>
    </row>
    <row r="415" spans="1:24" s="32" customFormat="1" x14ac:dyDescent="0.2">
      <c r="A415" s="33" t="s">
        <v>31</v>
      </c>
      <c r="B415" s="33" t="s">
        <v>1814</v>
      </c>
      <c r="C415" s="33" t="s">
        <v>1815</v>
      </c>
      <c r="D415" s="33">
        <f t="shared" si="6"/>
        <v>-1</v>
      </c>
      <c r="E415" s="33" t="s">
        <v>34</v>
      </c>
      <c r="F415" s="33" t="s">
        <v>1614</v>
      </c>
      <c r="G415" s="33" t="s">
        <v>1816</v>
      </c>
      <c r="H415" s="33" t="s">
        <v>37</v>
      </c>
      <c r="I415" s="33" t="s">
        <v>38</v>
      </c>
      <c r="J415" s="33" t="s">
        <v>1817</v>
      </c>
      <c r="K415" s="33" t="s">
        <v>1818</v>
      </c>
      <c r="L415" s="33">
        <v>388751.02</v>
      </c>
      <c r="M415" s="33">
        <v>0</v>
      </c>
      <c r="N415" s="33">
        <v>0</v>
      </c>
      <c r="O415" s="33">
        <v>2434809.02</v>
      </c>
      <c r="P415" s="33" t="s">
        <v>41</v>
      </c>
      <c r="Q415" s="33" t="s">
        <v>42</v>
      </c>
      <c r="R415" s="1"/>
      <c r="S415" s="1"/>
      <c r="T415" s="1"/>
      <c r="U415" s="1"/>
      <c r="V415" s="1"/>
      <c r="W415" s="33" t="s">
        <v>161</v>
      </c>
      <c r="X415" s="1" t="s">
        <v>447</v>
      </c>
    </row>
    <row r="416" spans="1:24" s="32" customFormat="1" x14ac:dyDescent="0.2">
      <c r="A416" s="33" t="s">
        <v>31</v>
      </c>
      <c r="B416" s="33" t="s">
        <v>1819</v>
      </c>
      <c r="C416" s="33" t="s">
        <v>1820</v>
      </c>
      <c r="D416" s="33">
        <f t="shared" si="6"/>
        <v>-1</v>
      </c>
      <c r="E416" s="33" t="s">
        <v>34</v>
      </c>
      <c r="F416" s="33" t="s">
        <v>1614</v>
      </c>
      <c r="G416" s="33" t="s">
        <v>1821</v>
      </c>
      <c r="H416" s="33" t="s">
        <v>37</v>
      </c>
      <c r="I416" s="33" t="s">
        <v>38</v>
      </c>
      <c r="J416" s="33" t="s">
        <v>1793</v>
      </c>
      <c r="K416" s="33" t="s">
        <v>1794</v>
      </c>
      <c r="L416" s="33">
        <v>954357.46</v>
      </c>
      <c r="M416" s="33">
        <v>0</v>
      </c>
      <c r="N416" s="33">
        <v>0</v>
      </c>
      <c r="O416" s="33">
        <v>5977291.46</v>
      </c>
      <c r="P416" s="33" t="s">
        <v>41</v>
      </c>
      <c r="Q416" s="33" t="s">
        <v>42</v>
      </c>
      <c r="R416" s="1"/>
      <c r="S416" s="1"/>
      <c r="T416" s="1"/>
      <c r="U416" s="1"/>
      <c r="V416" s="1"/>
      <c r="W416" s="33" t="s">
        <v>43</v>
      </c>
      <c r="X416" s="1" t="s">
        <v>439</v>
      </c>
    </row>
    <row r="417" spans="1:24" s="32" customFormat="1" x14ac:dyDescent="0.2">
      <c r="A417" s="33" t="s">
        <v>31</v>
      </c>
      <c r="B417" s="33" t="s">
        <v>1822</v>
      </c>
      <c r="C417" s="33" t="s">
        <v>1823</v>
      </c>
      <c r="D417" s="33">
        <f t="shared" si="6"/>
        <v>-1</v>
      </c>
      <c r="E417" s="33" t="s">
        <v>34</v>
      </c>
      <c r="F417" s="33" t="s">
        <v>1614</v>
      </c>
      <c r="G417" s="33" t="s">
        <v>1824</v>
      </c>
      <c r="H417" s="33" t="s">
        <v>37</v>
      </c>
      <c r="I417" s="33" t="s">
        <v>38</v>
      </c>
      <c r="J417" s="33" t="s">
        <v>1825</v>
      </c>
      <c r="K417" s="33" t="s">
        <v>1826</v>
      </c>
      <c r="L417" s="33">
        <v>58140</v>
      </c>
      <c r="M417" s="33">
        <v>0</v>
      </c>
      <c r="N417" s="33">
        <v>0</v>
      </c>
      <c r="O417" s="33">
        <v>364140</v>
      </c>
      <c r="P417" s="33" t="s">
        <v>41</v>
      </c>
      <c r="Q417" s="33" t="s">
        <v>42</v>
      </c>
      <c r="R417" s="1"/>
      <c r="S417" s="1"/>
      <c r="T417" s="1"/>
      <c r="U417" s="1"/>
      <c r="V417" s="1"/>
      <c r="W417" s="33" t="s">
        <v>43</v>
      </c>
      <c r="X417" s="1" t="s">
        <v>195</v>
      </c>
    </row>
    <row r="418" spans="1:24" s="32" customFormat="1" x14ac:dyDescent="0.2">
      <c r="A418" s="29" t="s">
        <v>31</v>
      </c>
      <c r="B418" s="29" t="s">
        <v>1827</v>
      </c>
      <c r="C418" s="29" t="s">
        <v>1828</v>
      </c>
      <c r="D418" s="29">
        <f t="shared" si="6"/>
        <v>-1</v>
      </c>
      <c r="E418" s="29" t="s">
        <v>34</v>
      </c>
      <c r="F418" s="29" t="s">
        <v>1614</v>
      </c>
      <c r="G418" s="29" t="s">
        <v>1829</v>
      </c>
      <c r="H418" s="29" t="s">
        <v>37</v>
      </c>
      <c r="I418" s="29" t="s">
        <v>38</v>
      </c>
      <c r="J418" s="29" t="s">
        <v>210</v>
      </c>
      <c r="K418" s="29" t="s">
        <v>211</v>
      </c>
      <c r="L418" s="29">
        <v>3745407.11</v>
      </c>
      <c r="M418" s="29">
        <v>0</v>
      </c>
      <c r="N418" s="29">
        <v>0</v>
      </c>
      <c r="O418" s="29">
        <v>23458076.109999999</v>
      </c>
      <c r="P418" s="29" t="s">
        <v>41</v>
      </c>
      <c r="Q418" s="29" t="s">
        <v>42</v>
      </c>
      <c r="R418" s="1"/>
      <c r="S418" s="1"/>
      <c r="T418" s="1" t="s">
        <v>43</v>
      </c>
      <c r="U418" s="1"/>
      <c r="V418" s="1"/>
      <c r="W418" s="1"/>
      <c r="X418" s="1"/>
    </row>
    <row r="419" spans="1:24" s="32" customFormat="1" x14ac:dyDescent="0.2">
      <c r="A419" s="33" t="s">
        <v>31</v>
      </c>
      <c r="B419" s="33" t="s">
        <v>1830</v>
      </c>
      <c r="C419" s="33" t="s">
        <v>1831</v>
      </c>
      <c r="D419" s="33">
        <f t="shared" si="6"/>
        <v>-1</v>
      </c>
      <c r="E419" s="33" t="s">
        <v>34</v>
      </c>
      <c r="F419" s="33" t="s">
        <v>1614</v>
      </c>
      <c r="G419" s="33" t="s">
        <v>1832</v>
      </c>
      <c r="H419" s="33" t="s">
        <v>37</v>
      </c>
      <c r="I419" s="33" t="s">
        <v>38</v>
      </c>
      <c r="J419" s="33" t="s">
        <v>1833</v>
      </c>
      <c r="K419" s="33" t="s">
        <v>1834</v>
      </c>
      <c r="L419" s="33">
        <v>173375</v>
      </c>
      <c r="M419" s="33">
        <v>0</v>
      </c>
      <c r="N419" s="33">
        <v>0</v>
      </c>
      <c r="O419" s="33">
        <v>1085875</v>
      </c>
      <c r="P419" s="33" t="s">
        <v>41</v>
      </c>
      <c r="Q419" s="33" t="s">
        <v>42</v>
      </c>
      <c r="R419" s="1"/>
      <c r="S419" s="1"/>
      <c r="T419" s="1"/>
      <c r="U419" s="1"/>
      <c r="V419" s="1"/>
      <c r="W419" s="33" t="s">
        <v>43</v>
      </c>
      <c r="X419" s="1" t="s">
        <v>237</v>
      </c>
    </row>
    <row r="420" spans="1:24" s="32" customFormat="1" x14ac:dyDescent="0.2">
      <c r="A420" s="29" t="s">
        <v>31</v>
      </c>
      <c r="B420" s="29" t="s">
        <v>1835</v>
      </c>
      <c r="C420" s="29" t="s">
        <v>1836</v>
      </c>
      <c r="D420" s="29">
        <f t="shared" si="6"/>
        <v>-1</v>
      </c>
      <c r="E420" s="29" t="s">
        <v>34</v>
      </c>
      <c r="F420" s="29" t="s">
        <v>1614</v>
      </c>
      <c r="G420" s="29" t="s">
        <v>1837</v>
      </c>
      <c r="H420" s="29" t="s">
        <v>37</v>
      </c>
      <c r="I420" s="29" t="s">
        <v>38</v>
      </c>
      <c r="J420" s="29" t="s">
        <v>550</v>
      </c>
      <c r="K420" s="29" t="s">
        <v>551</v>
      </c>
      <c r="L420" s="29">
        <v>17153.2</v>
      </c>
      <c r="M420" s="29">
        <v>0</v>
      </c>
      <c r="N420" s="29">
        <v>0</v>
      </c>
      <c r="O420" s="29">
        <v>107433.2</v>
      </c>
      <c r="P420" s="29" t="s">
        <v>41</v>
      </c>
      <c r="Q420" s="29" t="s">
        <v>42</v>
      </c>
      <c r="R420" s="1"/>
      <c r="S420" s="1"/>
      <c r="T420" s="1" t="s">
        <v>161</v>
      </c>
      <c r="U420" s="1"/>
      <c r="V420" s="1"/>
      <c r="W420" s="1"/>
      <c r="X420" s="1"/>
    </row>
    <row r="421" spans="1:24" s="32" customFormat="1" x14ac:dyDescent="0.2">
      <c r="A421" s="29" t="s">
        <v>31</v>
      </c>
      <c r="B421" s="29" t="s">
        <v>1838</v>
      </c>
      <c r="C421" s="29" t="s">
        <v>1839</v>
      </c>
      <c r="D421" s="29">
        <f t="shared" si="6"/>
        <v>-1</v>
      </c>
      <c r="E421" s="29" t="s">
        <v>34</v>
      </c>
      <c r="F421" s="29" t="s">
        <v>1614</v>
      </c>
      <c r="G421" s="29" t="s">
        <v>1840</v>
      </c>
      <c r="H421" s="29" t="s">
        <v>37</v>
      </c>
      <c r="I421" s="29" t="s">
        <v>38</v>
      </c>
      <c r="J421" s="29" t="s">
        <v>1841</v>
      </c>
      <c r="K421" s="29" t="s">
        <v>1842</v>
      </c>
      <c r="L421" s="29">
        <v>263251.78000000003</v>
      </c>
      <c r="M421" s="29">
        <v>0</v>
      </c>
      <c r="N421" s="29">
        <v>0</v>
      </c>
      <c r="O421" s="29">
        <v>2015793.78</v>
      </c>
      <c r="P421" s="29" t="s">
        <v>41</v>
      </c>
      <c r="Q421" s="29" t="s">
        <v>42</v>
      </c>
      <c r="R421" s="1"/>
      <c r="S421" s="1"/>
      <c r="T421" s="1" t="s">
        <v>161</v>
      </c>
      <c r="U421" s="1"/>
      <c r="V421" s="1"/>
      <c r="W421" s="1"/>
      <c r="X421" s="1"/>
    </row>
    <row r="422" spans="1:24" s="32" customFormat="1" x14ac:dyDescent="0.2">
      <c r="A422" s="33" t="s">
        <v>31</v>
      </c>
      <c r="B422" s="33" t="s">
        <v>1843</v>
      </c>
      <c r="C422" s="33" t="s">
        <v>1844</v>
      </c>
      <c r="D422" s="33">
        <f t="shared" si="6"/>
        <v>-1</v>
      </c>
      <c r="E422" s="33" t="s">
        <v>34</v>
      </c>
      <c r="F422" s="33" t="s">
        <v>1614</v>
      </c>
      <c r="G422" s="33" t="s">
        <v>1845</v>
      </c>
      <c r="H422" s="33" t="s">
        <v>37</v>
      </c>
      <c r="I422" s="33" t="s">
        <v>38</v>
      </c>
      <c r="J422" s="33" t="s">
        <v>1846</v>
      </c>
      <c r="K422" s="33" t="s">
        <v>1847</v>
      </c>
      <c r="L422" s="33">
        <v>3523170</v>
      </c>
      <c r="M422" s="33">
        <v>0</v>
      </c>
      <c r="N422" s="33">
        <v>0</v>
      </c>
      <c r="O422" s="33">
        <v>22066170</v>
      </c>
      <c r="P422" s="33" t="s">
        <v>41</v>
      </c>
      <c r="Q422" s="33" t="s">
        <v>42</v>
      </c>
      <c r="R422" s="1"/>
      <c r="S422" s="1"/>
      <c r="T422" s="1"/>
      <c r="U422" s="1"/>
      <c r="V422" s="1"/>
      <c r="W422" s="33" t="s">
        <v>43</v>
      </c>
      <c r="X422" s="1" t="s">
        <v>1719</v>
      </c>
    </row>
    <row r="423" spans="1:24" s="32" customFormat="1" x14ac:dyDescent="0.2">
      <c r="A423" s="33" t="s">
        <v>31</v>
      </c>
      <c r="B423" s="33" t="s">
        <v>1848</v>
      </c>
      <c r="C423" s="33" t="s">
        <v>1849</v>
      </c>
      <c r="D423" s="33">
        <f t="shared" si="6"/>
        <v>-1</v>
      </c>
      <c r="E423" s="33" t="s">
        <v>34</v>
      </c>
      <c r="F423" s="33" t="s">
        <v>1614</v>
      </c>
      <c r="G423" s="33" t="s">
        <v>1850</v>
      </c>
      <c r="H423" s="33" t="s">
        <v>37</v>
      </c>
      <c r="I423" s="33" t="s">
        <v>38</v>
      </c>
      <c r="J423" s="33" t="s">
        <v>1851</v>
      </c>
      <c r="K423" s="33" t="s">
        <v>1852</v>
      </c>
      <c r="L423" s="33">
        <v>231496</v>
      </c>
      <c r="M423" s="33">
        <v>0</v>
      </c>
      <c r="N423" s="33">
        <v>0</v>
      </c>
      <c r="O423" s="33">
        <v>1449896</v>
      </c>
      <c r="P423" s="33" t="s">
        <v>41</v>
      </c>
      <c r="Q423" s="33" t="s">
        <v>42</v>
      </c>
      <c r="R423" s="1"/>
      <c r="S423" s="1"/>
      <c r="T423" s="1"/>
      <c r="U423" s="1"/>
      <c r="V423" s="1"/>
      <c r="W423" s="33" t="s">
        <v>161</v>
      </c>
      <c r="X423" s="1" t="s">
        <v>694</v>
      </c>
    </row>
    <row r="424" spans="1:24" s="32" customFormat="1" x14ac:dyDescent="0.2">
      <c r="A424" s="1" t="s">
        <v>31</v>
      </c>
      <c r="B424" s="1" t="s">
        <v>1853</v>
      </c>
      <c r="C424" s="1" t="s">
        <v>1854</v>
      </c>
      <c r="D424" s="1">
        <f t="shared" si="6"/>
        <v>-1</v>
      </c>
      <c r="E424" s="1" t="s">
        <v>34</v>
      </c>
      <c r="F424" s="1" t="s">
        <v>1614</v>
      </c>
      <c r="G424" s="1" t="s">
        <v>1855</v>
      </c>
      <c r="H424" s="1" t="s">
        <v>37</v>
      </c>
      <c r="I424" s="1" t="s">
        <v>38</v>
      </c>
      <c r="J424" s="1" t="s">
        <v>1856</v>
      </c>
      <c r="K424" s="1" t="s">
        <v>1857</v>
      </c>
      <c r="L424" s="1">
        <v>2119738.7999999998</v>
      </c>
      <c r="M424" s="1">
        <v>0</v>
      </c>
      <c r="N424" s="1">
        <v>0</v>
      </c>
      <c r="O424" s="1">
        <v>13276258.800000001</v>
      </c>
      <c r="P424" s="1" t="s">
        <v>41</v>
      </c>
      <c r="Q424" s="1" t="s">
        <v>42</v>
      </c>
      <c r="R424" s="1"/>
      <c r="S424" s="1"/>
      <c r="T424" s="1"/>
      <c r="U424" s="1"/>
      <c r="V424" s="1" t="s">
        <v>43</v>
      </c>
      <c r="W424" s="1"/>
      <c r="X424" s="1"/>
    </row>
    <row r="425" spans="1:24" s="32" customFormat="1" x14ac:dyDescent="0.2">
      <c r="A425" s="29" t="s">
        <v>31</v>
      </c>
      <c r="B425" s="29" t="s">
        <v>1858</v>
      </c>
      <c r="C425" s="29" t="s">
        <v>1859</v>
      </c>
      <c r="D425" s="29">
        <f t="shared" si="6"/>
        <v>-1</v>
      </c>
      <c r="E425" s="29" t="s">
        <v>34</v>
      </c>
      <c r="F425" s="29" t="s">
        <v>1614</v>
      </c>
      <c r="G425" s="29" t="s">
        <v>1860</v>
      </c>
      <c r="H425" s="29" t="s">
        <v>37</v>
      </c>
      <c r="I425" s="29" t="s">
        <v>38</v>
      </c>
      <c r="J425" s="29" t="s">
        <v>310</v>
      </c>
      <c r="K425" s="29" t="s">
        <v>311</v>
      </c>
      <c r="L425" s="29">
        <v>8797190</v>
      </c>
      <c r="M425" s="29">
        <v>0</v>
      </c>
      <c r="N425" s="29">
        <v>0</v>
      </c>
      <c r="O425" s="29">
        <v>55098190</v>
      </c>
      <c r="P425" s="29" t="s">
        <v>41</v>
      </c>
      <c r="Q425" s="29" t="s">
        <v>42</v>
      </c>
      <c r="R425" s="1"/>
      <c r="S425" s="1"/>
      <c r="T425" s="1" t="s">
        <v>161</v>
      </c>
      <c r="U425" s="1"/>
      <c r="V425" s="1"/>
      <c r="W425" s="1"/>
      <c r="X425" s="1"/>
    </row>
    <row r="426" spans="1:24" x14ac:dyDescent="0.2">
      <c r="A426" s="33" t="s">
        <v>31</v>
      </c>
      <c r="B426" s="33" t="s">
        <v>1861</v>
      </c>
      <c r="C426" s="33" t="s">
        <v>1862</v>
      </c>
      <c r="D426" s="33">
        <f t="shared" si="6"/>
        <v>-1</v>
      </c>
      <c r="E426" s="33" t="s">
        <v>34</v>
      </c>
      <c r="F426" s="33" t="s">
        <v>1863</v>
      </c>
      <c r="G426" s="33" t="s">
        <v>1864</v>
      </c>
      <c r="H426" s="33" t="s">
        <v>37</v>
      </c>
      <c r="I426" s="33" t="s">
        <v>38</v>
      </c>
      <c r="J426" s="33" t="s">
        <v>1865</v>
      </c>
      <c r="K426" s="33" t="s">
        <v>1866</v>
      </c>
      <c r="L426" s="33">
        <v>2717000</v>
      </c>
      <c r="M426" s="33">
        <v>0</v>
      </c>
      <c r="N426" s="33">
        <v>0</v>
      </c>
      <c r="O426" s="33">
        <v>17017000</v>
      </c>
      <c r="P426" s="33" t="s">
        <v>41</v>
      </c>
      <c r="Q426" s="33" t="s">
        <v>42</v>
      </c>
      <c r="W426" s="33" t="s">
        <v>161</v>
      </c>
      <c r="X426" s="1" t="s">
        <v>369</v>
      </c>
    </row>
    <row r="427" spans="1:24" x14ac:dyDescent="0.2">
      <c r="A427" s="29" t="s">
        <v>31</v>
      </c>
      <c r="B427" s="29" t="s">
        <v>1867</v>
      </c>
      <c r="C427" s="29" t="s">
        <v>1868</v>
      </c>
      <c r="D427" s="29">
        <f t="shared" si="6"/>
        <v>-1</v>
      </c>
      <c r="E427" s="29" t="s">
        <v>34</v>
      </c>
      <c r="F427" s="29" t="s">
        <v>1863</v>
      </c>
      <c r="G427" s="29" t="s">
        <v>1869</v>
      </c>
      <c r="H427" s="29" t="s">
        <v>37</v>
      </c>
      <c r="I427" s="29" t="s">
        <v>38</v>
      </c>
      <c r="J427" s="29" t="s">
        <v>1429</v>
      </c>
      <c r="K427" s="29" t="s">
        <v>1430</v>
      </c>
      <c r="L427" s="29">
        <v>205200</v>
      </c>
      <c r="M427" s="29">
        <v>0</v>
      </c>
      <c r="N427" s="29">
        <v>0</v>
      </c>
      <c r="O427" s="29">
        <v>1285200</v>
      </c>
      <c r="P427" s="29" t="s">
        <v>41</v>
      </c>
      <c r="Q427" s="29" t="s">
        <v>42</v>
      </c>
      <c r="T427" s="1" t="s">
        <v>43</v>
      </c>
    </row>
    <row r="428" spans="1:24" x14ac:dyDescent="0.2">
      <c r="A428" s="33" t="s">
        <v>31</v>
      </c>
      <c r="B428" s="33" t="s">
        <v>1870</v>
      </c>
      <c r="C428" s="33" t="s">
        <v>1871</v>
      </c>
      <c r="D428" s="33">
        <f t="shared" si="6"/>
        <v>-1</v>
      </c>
      <c r="E428" s="33" t="s">
        <v>34</v>
      </c>
      <c r="F428" s="33" t="s">
        <v>1863</v>
      </c>
      <c r="G428" s="33" t="s">
        <v>1872</v>
      </c>
      <c r="H428" s="33" t="s">
        <v>37</v>
      </c>
      <c r="I428" s="33" t="s">
        <v>38</v>
      </c>
      <c r="J428" s="33" t="s">
        <v>1873</v>
      </c>
      <c r="K428" s="33" t="s">
        <v>1874</v>
      </c>
      <c r="L428" s="33">
        <v>759234.87</v>
      </c>
      <c r="M428" s="33">
        <v>0</v>
      </c>
      <c r="N428" s="33">
        <v>0</v>
      </c>
      <c r="O428" s="33">
        <v>6527047.8700000001</v>
      </c>
      <c r="P428" s="33" t="s">
        <v>41</v>
      </c>
      <c r="Q428" s="33" t="s">
        <v>42</v>
      </c>
      <c r="W428" s="33" t="s">
        <v>161</v>
      </c>
      <c r="X428" s="1" t="s">
        <v>722</v>
      </c>
    </row>
    <row r="429" spans="1:24" x14ac:dyDescent="0.2">
      <c r="A429" s="33" t="s">
        <v>31</v>
      </c>
      <c r="B429" s="33" t="s">
        <v>1875</v>
      </c>
      <c r="C429" s="33" t="s">
        <v>1876</v>
      </c>
      <c r="D429" s="33">
        <f t="shared" si="6"/>
        <v>-1</v>
      </c>
      <c r="E429" s="33" t="s">
        <v>34</v>
      </c>
      <c r="F429" s="33" t="s">
        <v>1863</v>
      </c>
      <c r="G429" s="33" t="s">
        <v>1877</v>
      </c>
      <c r="H429" s="33" t="s">
        <v>37</v>
      </c>
      <c r="I429" s="33" t="s">
        <v>38</v>
      </c>
      <c r="J429" s="33" t="s">
        <v>1873</v>
      </c>
      <c r="K429" s="33" t="s">
        <v>1874</v>
      </c>
      <c r="L429" s="33">
        <v>873584.66</v>
      </c>
      <c r="M429" s="33">
        <v>0</v>
      </c>
      <c r="N429" s="33">
        <v>0</v>
      </c>
      <c r="O429" s="33">
        <v>5471398.6600000001</v>
      </c>
      <c r="P429" s="33" t="s">
        <v>41</v>
      </c>
      <c r="Q429" s="33" t="s">
        <v>42</v>
      </c>
      <c r="W429" s="33" t="s">
        <v>161</v>
      </c>
      <c r="X429" s="1" t="s">
        <v>722</v>
      </c>
    </row>
    <row r="430" spans="1:24" x14ac:dyDescent="0.2">
      <c r="A430" s="1" t="s">
        <v>31</v>
      </c>
      <c r="B430" s="1" t="s">
        <v>1878</v>
      </c>
      <c r="C430" s="1" t="s">
        <v>1879</v>
      </c>
      <c r="D430" s="1">
        <f t="shared" si="6"/>
        <v>-1</v>
      </c>
      <c r="E430" s="1" t="s">
        <v>34</v>
      </c>
      <c r="F430" s="1" t="s">
        <v>1863</v>
      </c>
      <c r="G430" s="1" t="s">
        <v>1880</v>
      </c>
      <c r="H430" s="1" t="s">
        <v>37</v>
      </c>
      <c r="I430" s="1" t="s">
        <v>38</v>
      </c>
      <c r="J430" s="1" t="s">
        <v>1873</v>
      </c>
      <c r="K430" s="1" t="s">
        <v>1874</v>
      </c>
      <c r="L430" s="1">
        <v>3266210.58</v>
      </c>
      <c r="M430" s="1">
        <v>0</v>
      </c>
      <c r="N430" s="1">
        <v>0</v>
      </c>
      <c r="O430" s="1">
        <v>20495312.579999998</v>
      </c>
      <c r="P430" s="1" t="s">
        <v>41</v>
      </c>
      <c r="Q430" s="1" t="s">
        <v>42</v>
      </c>
    </row>
    <row r="431" spans="1:24" x14ac:dyDescent="0.2">
      <c r="A431" s="33" t="s">
        <v>31</v>
      </c>
      <c r="B431" s="33" t="s">
        <v>1881</v>
      </c>
      <c r="C431" s="33" t="s">
        <v>1882</v>
      </c>
      <c r="D431" s="33">
        <f t="shared" si="6"/>
        <v>-1</v>
      </c>
      <c r="E431" s="33" t="s">
        <v>34</v>
      </c>
      <c r="F431" s="33" t="s">
        <v>1863</v>
      </c>
      <c r="G431" s="33" t="s">
        <v>1883</v>
      </c>
      <c r="H431" s="33" t="s">
        <v>37</v>
      </c>
      <c r="I431" s="33" t="s">
        <v>38</v>
      </c>
      <c r="J431" s="33" t="s">
        <v>1884</v>
      </c>
      <c r="K431" s="33" t="s">
        <v>1885</v>
      </c>
      <c r="L431" s="33">
        <v>1209722.5900000001</v>
      </c>
      <c r="M431" s="33">
        <v>0</v>
      </c>
      <c r="N431" s="33">
        <v>0</v>
      </c>
      <c r="O431" s="33">
        <v>7585803.5899999999</v>
      </c>
      <c r="P431" s="33" t="s">
        <v>41</v>
      </c>
      <c r="Q431" s="33" t="s">
        <v>42</v>
      </c>
      <c r="W431" s="33" t="s">
        <v>43</v>
      </c>
      <c r="X431" s="1" t="s">
        <v>300</v>
      </c>
    </row>
    <row r="432" spans="1:24" x14ac:dyDescent="0.2">
      <c r="A432" s="28" t="s">
        <v>31</v>
      </c>
      <c r="B432" s="28" t="s">
        <v>1886</v>
      </c>
      <c r="C432" s="28" t="s">
        <v>1887</v>
      </c>
      <c r="D432" s="28">
        <f t="shared" si="6"/>
        <v>-1</v>
      </c>
      <c r="E432" s="28" t="s">
        <v>34</v>
      </c>
      <c r="F432" s="28" t="s">
        <v>1863</v>
      </c>
      <c r="G432" s="28" t="s">
        <v>1888</v>
      </c>
      <c r="H432" s="28" t="s">
        <v>37</v>
      </c>
      <c r="I432" s="28" t="s">
        <v>38</v>
      </c>
      <c r="J432" s="28" t="s">
        <v>1889</v>
      </c>
      <c r="K432" s="28" t="s">
        <v>1890</v>
      </c>
      <c r="L432" s="28">
        <v>815765.95</v>
      </c>
      <c r="M432" s="28">
        <v>0</v>
      </c>
      <c r="N432" s="28">
        <v>0</v>
      </c>
      <c r="O432" s="28">
        <v>5109270.95</v>
      </c>
      <c r="P432" s="28" t="s">
        <v>41</v>
      </c>
      <c r="Q432" s="28" t="s">
        <v>42</v>
      </c>
      <c r="R432" s="1" t="s">
        <v>43</v>
      </c>
    </row>
    <row r="433" spans="1:24" x14ac:dyDescent="0.2">
      <c r="A433" s="33" t="s">
        <v>31</v>
      </c>
      <c r="B433" s="33" t="s">
        <v>1891</v>
      </c>
      <c r="C433" s="33" t="s">
        <v>1892</v>
      </c>
      <c r="D433" s="33">
        <f t="shared" si="6"/>
        <v>-1</v>
      </c>
      <c r="E433" s="33" t="s">
        <v>34</v>
      </c>
      <c r="F433" s="33" t="s">
        <v>1863</v>
      </c>
      <c r="G433" s="33" t="s">
        <v>1893</v>
      </c>
      <c r="H433" s="33" t="s">
        <v>37</v>
      </c>
      <c r="I433" s="33" t="s">
        <v>38</v>
      </c>
      <c r="J433" s="33" t="s">
        <v>1894</v>
      </c>
      <c r="K433" s="33" t="s">
        <v>1895</v>
      </c>
      <c r="L433" s="33">
        <v>66393.600000000006</v>
      </c>
      <c r="M433" s="33">
        <v>0</v>
      </c>
      <c r="N433" s="33">
        <v>0</v>
      </c>
      <c r="O433" s="33">
        <v>415833.59999999998</v>
      </c>
      <c r="P433" s="33" t="s">
        <v>41</v>
      </c>
      <c r="Q433" s="33" t="s">
        <v>42</v>
      </c>
      <c r="W433" s="33" t="s">
        <v>43</v>
      </c>
      <c r="X433" s="1" t="s">
        <v>317</v>
      </c>
    </row>
    <row r="434" spans="1:24" x14ac:dyDescent="0.2">
      <c r="A434" s="33" t="s">
        <v>31</v>
      </c>
      <c r="B434" s="33" t="s">
        <v>1896</v>
      </c>
      <c r="C434" s="33" t="s">
        <v>1897</v>
      </c>
      <c r="D434" s="33">
        <f t="shared" si="6"/>
        <v>-1</v>
      </c>
      <c r="E434" s="33" t="s">
        <v>34</v>
      </c>
      <c r="F434" s="33" t="s">
        <v>1863</v>
      </c>
      <c r="G434" s="33" t="s">
        <v>1898</v>
      </c>
      <c r="H434" s="33" t="s">
        <v>37</v>
      </c>
      <c r="I434" s="33" t="s">
        <v>38</v>
      </c>
      <c r="J434" s="33" t="s">
        <v>1894</v>
      </c>
      <c r="K434" s="33" t="s">
        <v>1895</v>
      </c>
      <c r="L434" s="33">
        <v>98898.8</v>
      </c>
      <c r="M434" s="33">
        <v>0</v>
      </c>
      <c r="N434" s="33">
        <v>0</v>
      </c>
      <c r="O434" s="33">
        <v>619418.80000000005</v>
      </c>
      <c r="P434" s="33" t="s">
        <v>41</v>
      </c>
      <c r="Q434" s="33" t="s">
        <v>42</v>
      </c>
      <c r="W434" s="33" t="s">
        <v>43</v>
      </c>
      <c r="X434" s="1" t="s">
        <v>317</v>
      </c>
    </row>
    <row r="435" spans="1:24" x14ac:dyDescent="0.2">
      <c r="A435" s="33" t="s">
        <v>31</v>
      </c>
      <c r="B435" s="33" t="s">
        <v>1899</v>
      </c>
      <c r="C435" s="33" t="s">
        <v>1900</v>
      </c>
      <c r="D435" s="33">
        <f t="shared" si="6"/>
        <v>-1</v>
      </c>
      <c r="E435" s="33" t="s">
        <v>34</v>
      </c>
      <c r="F435" s="33" t="s">
        <v>1863</v>
      </c>
      <c r="G435" s="33" t="s">
        <v>1901</v>
      </c>
      <c r="H435" s="33" t="s">
        <v>37</v>
      </c>
      <c r="I435" s="33" t="s">
        <v>38</v>
      </c>
      <c r="J435" s="33" t="s">
        <v>1902</v>
      </c>
      <c r="K435" s="33" t="s">
        <v>1903</v>
      </c>
      <c r="L435" s="33">
        <v>182134</v>
      </c>
      <c r="M435" s="33">
        <v>0</v>
      </c>
      <c r="N435" s="33">
        <v>0</v>
      </c>
      <c r="O435" s="33">
        <v>1140734</v>
      </c>
      <c r="P435" s="33" t="s">
        <v>41</v>
      </c>
      <c r="Q435" s="33" t="s">
        <v>42</v>
      </c>
      <c r="W435" s="33" t="s">
        <v>43</v>
      </c>
      <c r="X435" s="1" t="s">
        <v>201</v>
      </c>
    </row>
    <row r="436" spans="1:24" x14ac:dyDescent="0.2">
      <c r="A436" s="33" t="s">
        <v>31</v>
      </c>
      <c r="B436" s="33" t="s">
        <v>1904</v>
      </c>
      <c r="C436" s="33" t="s">
        <v>1905</v>
      </c>
      <c r="D436" s="33">
        <f t="shared" si="6"/>
        <v>-1</v>
      </c>
      <c r="E436" s="33" t="s">
        <v>34</v>
      </c>
      <c r="F436" s="33" t="s">
        <v>1863</v>
      </c>
      <c r="G436" s="33" t="s">
        <v>1906</v>
      </c>
      <c r="H436" s="33" t="s">
        <v>37</v>
      </c>
      <c r="I436" s="33" t="s">
        <v>38</v>
      </c>
      <c r="J436" s="33" t="s">
        <v>1902</v>
      </c>
      <c r="K436" s="33" t="s">
        <v>1903</v>
      </c>
      <c r="L436" s="33">
        <v>8128.2</v>
      </c>
      <c r="M436" s="33">
        <v>0</v>
      </c>
      <c r="N436" s="33">
        <v>0</v>
      </c>
      <c r="O436" s="33">
        <v>50908.2</v>
      </c>
      <c r="P436" s="33" t="s">
        <v>41</v>
      </c>
      <c r="Q436" s="33" t="s">
        <v>42</v>
      </c>
      <c r="W436" s="33" t="s">
        <v>43</v>
      </c>
      <c r="X436" s="1" t="s">
        <v>201</v>
      </c>
    </row>
    <row r="437" spans="1:24" x14ac:dyDescent="0.2">
      <c r="A437" s="33" t="s">
        <v>31</v>
      </c>
      <c r="B437" s="33" t="s">
        <v>1907</v>
      </c>
      <c r="C437" s="33" t="s">
        <v>1908</v>
      </c>
      <c r="D437" s="33">
        <f t="shared" si="6"/>
        <v>-1</v>
      </c>
      <c r="E437" s="33" t="s">
        <v>34</v>
      </c>
      <c r="F437" s="33" t="s">
        <v>1863</v>
      </c>
      <c r="G437" s="33" t="s">
        <v>1909</v>
      </c>
      <c r="H437" s="33" t="s">
        <v>37</v>
      </c>
      <c r="I437" s="33" t="s">
        <v>38</v>
      </c>
      <c r="J437" s="33" t="s">
        <v>1902</v>
      </c>
      <c r="K437" s="33" t="s">
        <v>1903</v>
      </c>
      <c r="L437" s="33">
        <v>40049.56</v>
      </c>
      <c r="M437" s="33">
        <v>0</v>
      </c>
      <c r="N437" s="33">
        <v>0</v>
      </c>
      <c r="O437" s="33">
        <v>257187.56</v>
      </c>
      <c r="P437" s="33" t="s">
        <v>41</v>
      </c>
      <c r="Q437" s="33" t="s">
        <v>42</v>
      </c>
      <c r="W437" s="33" t="s">
        <v>43</v>
      </c>
      <c r="X437" s="1" t="s">
        <v>201</v>
      </c>
    </row>
    <row r="438" spans="1:24" x14ac:dyDescent="0.2">
      <c r="A438" s="33" t="s">
        <v>31</v>
      </c>
      <c r="B438" s="33" t="s">
        <v>1910</v>
      </c>
      <c r="C438" s="33" t="s">
        <v>1911</v>
      </c>
      <c r="D438" s="33">
        <f t="shared" si="6"/>
        <v>-1</v>
      </c>
      <c r="E438" s="33" t="s">
        <v>34</v>
      </c>
      <c r="F438" s="33" t="s">
        <v>1863</v>
      </c>
      <c r="G438" s="33" t="s">
        <v>1909</v>
      </c>
      <c r="H438" s="33" t="s">
        <v>37</v>
      </c>
      <c r="I438" s="33" t="s">
        <v>38</v>
      </c>
      <c r="J438" s="33" t="s">
        <v>1902</v>
      </c>
      <c r="K438" s="33" t="s">
        <v>1903</v>
      </c>
      <c r="L438" s="33">
        <v>92396.56</v>
      </c>
      <c r="M438" s="33">
        <v>0</v>
      </c>
      <c r="N438" s="33">
        <v>0</v>
      </c>
      <c r="O438" s="33">
        <v>956710.56</v>
      </c>
      <c r="P438" s="33" t="s">
        <v>41</v>
      </c>
      <c r="Q438" s="33" t="s">
        <v>42</v>
      </c>
      <c r="W438" s="33" t="s">
        <v>43</v>
      </c>
      <c r="X438" s="1" t="s">
        <v>201</v>
      </c>
    </row>
    <row r="439" spans="1:24" x14ac:dyDescent="0.2">
      <c r="A439" s="1" t="s">
        <v>31</v>
      </c>
      <c r="B439" s="1" t="s">
        <v>1912</v>
      </c>
      <c r="C439" s="1" t="s">
        <v>1913</v>
      </c>
      <c r="D439" s="1">
        <f t="shared" si="6"/>
        <v>-1</v>
      </c>
      <c r="E439" s="1" t="s">
        <v>34</v>
      </c>
      <c r="F439" s="1" t="s">
        <v>1863</v>
      </c>
      <c r="G439" s="1" t="s">
        <v>1909</v>
      </c>
      <c r="H439" s="1" t="s">
        <v>37</v>
      </c>
      <c r="I439" s="1" t="s">
        <v>38</v>
      </c>
      <c r="J439" s="1" t="s">
        <v>1914</v>
      </c>
      <c r="K439" s="1" t="s">
        <v>1915</v>
      </c>
      <c r="L439" s="1">
        <v>564307.6</v>
      </c>
      <c r="M439" s="1">
        <v>0</v>
      </c>
      <c r="N439" s="1">
        <v>0</v>
      </c>
      <c r="O439" s="1">
        <v>3534347.6</v>
      </c>
      <c r="P439" s="1" t="s">
        <v>41</v>
      </c>
      <c r="Q439" s="1" t="s">
        <v>42</v>
      </c>
      <c r="V439" s="1" t="s">
        <v>43</v>
      </c>
    </row>
    <row r="440" spans="1:24" x14ac:dyDescent="0.2">
      <c r="A440" s="33" t="s">
        <v>31</v>
      </c>
      <c r="B440" s="33" t="s">
        <v>1916</v>
      </c>
      <c r="C440" s="33" t="s">
        <v>1917</v>
      </c>
      <c r="D440" s="33">
        <f t="shared" si="6"/>
        <v>-1</v>
      </c>
      <c r="E440" s="33" t="s">
        <v>34</v>
      </c>
      <c r="F440" s="33" t="s">
        <v>1863</v>
      </c>
      <c r="G440" s="33" t="s">
        <v>1918</v>
      </c>
      <c r="H440" s="33" t="s">
        <v>37</v>
      </c>
      <c r="I440" s="33" t="s">
        <v>38</v>
      </c>
      <c r="J440" s="33" t="s">
        <v>1919</v>
      </c>
      <c r="K440" s="33" t="s">
        <v>1920</v>
      </c>
      <c r="L440" s="33">
        <v>538211.48</v>
      </c>
      <c r="M440" s="33">
        <v>0</v>
      </c>
      <c r="N440" s="33">
        <v>0</v>
      </c>
      <c r="O440" s="33">
        <v>3370903.48</v>
      </c>
      <c r="P440" s="33" t="s">
        <v>41</v>
      </c>
      <c r="Q440" s="33" t="s">
        <v>42</v>
      </c>
      <c r="W440" s="33" t="s">
        <v>161</v>
      </c>
      <c r="X440" s="1" t="s">
        <v>201</v>
      </c>
    </row>
    <row r="441" spans="1:24" x14ac:dyDescent="0.2">
      <c r="A441" s="28" t="s">
        <v>31</v>
      </c>
      <c r="B441" s="28" t="s">
        <v>1921</v>
      </c>
      <c r="C441" s="28" t="s">
        <v>1922</v>
      </c>
      <c r="D441" s="28">
        <f t="shared" si="6"/>
        <v>-1</v>
      </c>
      <c r="E441" s="28" t="s">
        <v>34</v>
      </c>
      <c r="F441" s="28" t="s">
        <v>1863</v>
      </c>
      <c r="G441" s="28" t="s">
        <v>1923</v>
      </c>
      <c r="H441" s="28" t="s">
        <v>37</v>
      </c>
      <c r="I441" s="28" t="s">
        <v>38</v>
      </c>
      <c r="J441" s="28" t="s">
        <v>1924</v>
      </c>
      <c r="K441" s="28" t="s">
        <v>1925</v>
      </c>
      <c r="L441" s="28">
        <v>295752.48</v>
      </c>
      <c r="M441" s="28">
        <v>0</v>
      </c>
      <c r="N441" s="28">
        <v>0</v>
      </c>
      <c r="O441" s="28">
        <v>1852344.48</v>
      </c>
      <c r="P441" s="28" t="s">
        <v>41</v>
      </c>
      <c r="Q441" s="28" t="s">
        <v>42</v>
      </c>
      <c r="R441" s="1" t="s">
        <v>43</v>
      </c>
    </row>
    <row r="442" spans="1:24" x14ac:dyDescent="0.2">
      <c r="A442" s="33" t="s">
        <v>31</v>
      </c>
      <c r="B442" s="33" t="s">
        <v>1926</v>
      </c>
      <c r="C442" s="33" t="s">
        <v>1927</v>
      </c>
      <c r="D442" s="33">
        <f t="shared" si="6"/>
        <v>-1</v>
      </c>
      <c r="E442" s="33" t="s">
        <v>34</v>
      </c>
      <c r="F442" s="33" t="s">
        <v>1863</v>
      </c>
      <c r="G442" s="33" t="s">
        <v>1928</v>
      </c>
      <c r="H442" s="33" t="s">
        <v>37</v>
      </c>
      <c r="I442" s="33" t="s">
        <v>38</v>
      </c>
      <c r="J442" s="33" t="s">
        <v>1929</v>
      </c>
      <c r="K442" s="33" t="s">
        <v>1930</v>
      </c>
      <c r="L442" s="33">
        <v>13965</v>
      </c>
      <c r="M442" s="33">
        <v>0</v>
      </c>
      <c r="N442" s="33">
        <v>0</v>
      </c>
      <c r="O442" s="33">
        <v>87465</v>
      </c>
      <c r="P442" s="33" t="s">
        <v>41</v>
      </c>
      <c r="Q442" s="33" t="s">
        <v>42</v>
      </c>
      <c r="W442" s="33" t="s">
        <v>161</v>
      </c>
      <c r="X442" s="1" t="s">
        <v>439</v>
      </c>
    </row>
    <row r="443" spans="1:24" x14ac:dyDescent="0.2">
      <c r="A443" s="29" t="s">
        <v>31</v>
      </c>
      <c r="B443" s="29" t="s">
        <v>1931</v>
      </c>
      <c r="C443" s="29" t="s">
        <v>1932</v>
      </c>
      <c r="D443" s="29">
        <f t="shared" si="6"/>
        <v>-1</v>
      </c>
      <c r="E443" s="29" t="s">
        <v>34</v>
      </c>
      <c r="F443" s="29" t="s">
        <v>1863</v>
      </c>
      <c r="G443" s="29" t="s">
        <v>1933</v>
      </c>
      <c r="H443" s="29" t="s">
        <v>37</v>
      </c>
      <c r="I443" s="29" t="s">
        <v>38</v>
      </c>
      <c r="J443" s="29" t="s">
        <v>1934</v>
      </c>
      <c r="K443" s="29" t="s">
        <v>1935</v>
      </c>
      <c r="L443" s="29">
        <v>114494</v>
      </c>
      <c r="M443" s="29">
        <v>0</v>
      </c>
      <c r="N443" s="29">
        <v>0</v>
      </c>
      <c r="O443" s="29">
        <v>717094</v>
      </c>
      <c r="P443" s="29" t="s">
        <v>41</v>
      </c>
      <c r="Q443" s="29" t="s">
        <v>42</v>
      </c>
      <c r="T443" s="1" t="s">
        <v>161</v>
      </c>
    </row>
    <row r="444" spans="1:24" x14ac:dyDescent="0.2">
      <c r="A444" s="33" t="s">
        <v>31</v>
      </c>
      <c r="B444" s="33" t="s">
        <v>1936</v>
      </c>
      <c r="C444" s="33" t="s">
        <v>1937</v>
      </c>
      <c r="D444" s="33">
        <f t="shared" si="6"/>
        <v>-1</v>
      </c>
      <c r="E444" s="33" t="s">
        <v>34</v>
      </c>
      <c r="F444" s="33" t="s">
        <v>1863</v>
      </c>
      <c r="G444" s="33" t="s">
        <v>1938</v>
      </c>
      <c r="H444" s="33" t="s">
        <v>37</v>
      </c>
      <c r="I444" s="33" t="s">
        <v>38</v>
      </c>
      <c r="J444" s="33" t="s">
        <v>1939</v>
      </c>
      <c r="K444" s="33" t="s">
        <v>1940</v>
      </c>
      <c r="L444" s="33">
        <v>48450</v>
      </c>
      <c r="M444" s="33">
        <v>0</v>
      </c>
      <c r="N444" s="33">
        <v>0</v>
      </c>
      <c r="O444" s="33">
        <v>303450</v>
      </c>
      <c r="P444" s="33" t="s">
        <v>41</v>
      </c>
      <c r="Q444" s="33" t="s">
        <v>42</v>
      </c>
      <c r="W444" s="33" t="s">
        <v>43</v>
      </c>
      <c r="X444" s="1" t="s">
        <v>173</v>
      </c>
    </row>
    <row r="445" spans="1:24" x14ac:dyDescent="0.2">
      <c r="A445" s="33" t="s">
        <v>31</v>
      </c>
      <c r="B445" s="33" t="s">
        <v>1941</v>
      </c>
      <c r="C445" s="33" t="s">
        <v>1942</v>
      </c>
      <c r="D445" s="33">
        <f t="shared" si="6"/>
        <v>-1</v>
      </c>
      <c r="E445" s="33" t="s">
        <v>34</v>
      </c>
      <c r="F445" s="33" t="s">
        <v>1863</v>
      </c>
      <c r="G445" s="33" t="s">
        <v>1933</v>
      </c>
      <c r="H445" s="33" t="s">
        <v>37</v>
      </c>
      <c r="I445" s="33" t="s">
        <v>38</v>
      </c>
      <c r="J445" s="33" t="s">
        <v>1943</v>
      </c>
      <c r="K445" s="33" t="s">
        <v>1944</v>
      </c>
      <c r="L445" s="33">
        <v>67065</v>
      </c>
      <c r="M445" s="33">
        <v>0</v>
      </c>
      <c r="N445" s="33">
        <v>0</v>
      </c>
      <c r="O445" s="33">
        <v>1408365</v>
      </c>
      <c r="P445" s="33" t="s">
        <v>41</v>
      </c>
      <c r="Q445" s="33" t="s">
        <v>42</v>
      </c>
      <c r="W445" s="33" t="s">
        <v>43</v>
      </c>
      <c r="X445" s="1" t="s">
        <v>195</v>
      </c>
    </row>
    <row r="446" spans="1:24" x14ac:dyDescent="0.2">
      <c r="A446" s="33" t="s">
        <v>31</v>
      </c>
      <c r="B446" s="33" t="s">
        <v>1945</v>
      </c>
      <c r="C446" s="33" t="s">
        <v>1946</v>
      </c>
      <c r="D446" s="33">
        <f t="shared" si="6"/>
        <v>-1</v>
      </c>
      <c r="E446" s="33" t="s">
        <v>34</v>
      </c>
      <c r="F446" s="33" t="s">
        <v>1863</v>
      </c>
      <c r="G446" s="33" t="s">
        <v>1938</v>
      </c>
      <c r="H446" s="33" t="s">
        <v>37</v>
      </c>
      <c r="I446" s="33" t="s">
        <v>38</v>
      </c>
      <c r="J446" s="33" t="s">
        <v>1943</v>
      </c>
      <c r="K446" s="33" t="s">
        <v>1944</v>
      </c>
      <c r="L446" s="33">
        <v>93043</v>
      </c>
      <c r="M446" s="33">
        <v>0</v>
      </c>
      <c r="N446" s="33">
        <v>0</v>
      </c>
      <c r="O446" s="33">
        <v>582743</v>
      </c>
      <c r="P446" s="33" t="s">
        <v>41</v>
      </c>
      <c r="Q446" s="33" t="s">
        <v>42</v>
      </c>
      <c r="W446" s="33" t="s">
        <v>43</v>
      </c>
      <c r="X446" s="1" t="s">
        <v>195</v>
      </c>
    </row>
    <row r="447" spans="1:24" x14ac:dyDescent="0.2">
      <c r="A447" s="33" t="s">
        <v>31</v>
      </c>
      <c r="B447" s="33" t="s">
        <v>1947</v>
      </c>
      <c r="C447" s="33" t="s">
        <v>1948</v>
      </c>
      <c r="D447" s="33">
        <f t="shared" si="6"/>
        <v>-1</v>
      </c>
      <c r="E447" s="33" t="s">
        <v>34</v>
      </c>
      <c r="F447" s="33" t="s">
        <v>1863</v>
      </c>
      <c r="G447" s="33" t="s">
        <v>1949</v>
      </c>
      <c r="H447" s="33" t="s">
        <v>37</v>
      </c>
      <c r="I447" s="33" t="s">
        <v>38</v>
      </c>
      <c r="J447" s="33" t="s">
        <v>1943</v>
      </c>
      <c r="K447" s="33" t="s">
        <v>1944</v>
      </c>
      <c r="L447" s="33">
        <v>51870</v>
      </c>
      <c r="M447" s="33">
        <v>0</v>
      </c>
      <c r="N447" s="33">
        <v>0</v>
      </c>
      <c r="O447" s="33">
        <v>324870</v>
      </c>
      <c r="P447" s="33" t="s">
        <v>41</v>
      </c>
      <c r="Q447" s="33" t="s">
        <v>42</v>
      </c>
      <c r="W447" s="33" t="s">
        <v>43</v>
      </c>
      <c r="X447" s="1" t="s">
        <v>195</v>
      </c>
    </row>
    <row r="448" spans="1:24" x14ac:dyDescent="0.2">
      <c r="A448" s="33" t="s">
        <v>31</v>
      </c>
      <c r="B448" s="33" t="s">
        <v>1950</v>
      </c>
      <c r="C448" s="33" t="s">
        <v>1951</v>
      </c>
      <c r="D448" s="33">
        <f t="shared" si="6"/>
        <v>-1</v>
      </c>
      <c r="E448" s="33" t="s">
        <v>34</v>
      </c>
      <c r="F448" s="33" t="s">
        <v>1863</v>
      </c>
      <c r="G448" s="33" t="s">
        <v>1952</v>
      </c>
      <c r="H448" s="33" t="s">
        <v>37</v>
      </c>
      <c r="I448" s="33" t="s">
        <v>38</v>
      </c>
      <c r="J448" s="33" t="s">
        <v>1943</v>
      </c>
      <c r="K448" s="33" t="s">
        <v>1944</v>
      </c>
      <c r="L448" s="33">
        <v>408482.9</v>
      </c>
      <c r="M448" s="33">
        <v>0</v>
      </c>
      <c r="N448" s="33">
        <v>0</v>
      </c>
      <c r="O448" s="33">
        <v>2558392.9</v>
      </c>
      <c r="P448" s="33" t="s">
        <v>41</v>
      </c>
      <c r="Q448" s="33" t="s">
        <v>42</v>
      </c>
      <c r="W448" s="33" t="s">
        <v>43</v>
      </c>
      <c r="X448" s="1" t="s">
        <v>195</v>
      </c>
    </row>
    <row r="449" spans="1:24" x14ac:dyDescent="0.2">
      <c r="A449" s="33" t="s">
        <v>31</v>
      </c>
      <c r="B449" s="33" t="s">
        <v>1953</v>
      </c>
      <c r="C449" s="33" t="s">
        <v>1954</v>
      </c>
      <c r="D449" s="33">
        <f t="shared" si="6"/>
        <v>-1</v>
      </c>
      <c r="E449" s="33" t="s">
        <v>34</v>
      </c>
      <c r="F449" s="33" t="s">
        <v>1863</v>
      </c>
      <c r="G449" s="33" t="s">
        <v>1955</v>
      </c>
      <c r="H449" s="33" t="s">
        <v>37</v>
      </c>
      <c r="I449" s="33" t="s">
        <v>38</v>
      </c>
      <c r="J449" s="33" t="s">
        <v>1956</v>
      </c>
      <c r="K449" s="33" t="s">
        <v>1957</v>
      </c>
      <c r="L449" s="33">
        <v>456000</v>
      </c>
      <c r="M449" s="33">
        <v>0</v>
      </c>
      <c r="N449" s="33">
        <v>0</v>
      </c>
      <c r="O449" s="33">
        <v>2856000</v>
      </c>
      <c r="P449" s="33" t="s">
        <v>41</v>
      </c>
      <c r="Q449" s="33" t="s">
        <v>42</v>
      </c>
      <c r="W449" s="33" t="s">
        <v>43</v>
      </c>
      <c r="X449" s="1" t="s">
        <v>129</v>
      </c>
    </row>
    <row r="450" spans="1:24" x14ac:dyDescent="0.2">
      <c r="A450" s="1" t="s">
        <v>31</v>
      </c>
      <c r="B450" s="1" t="s">
        <v>1958</v>
      </c>
      <c r="C450" s="1" t="s">
        <v>1959</v>
      </c>
      <c r="D450" s="1">
        <f t="shared" si="6"/>
        <v>-1</v>
      </c>
      <c r="E450" s="1" t="s">
        <v>34</v>
      </c>
      <c r="F450" s="1" t="s">
        <v>1863</v>
      </c>
      <c r="G450" s="1" t="s">
        <v>1955</v>
      </c>
      <c r="H450" s="1" t="s">
        <v>37</v>
      </c>
      <c r="I450" s="1" t="s">
        <v>38</v>
      </c>
      <c r="J450" s="1" t="s">
        <v>988</v>
      </c>
      <c r="K450" s="1" t="s">
        <v>989</v>
      </c>
      <c r="L450" s="1">
        <v>33209.699999999997</v>
      </c>
      <c r="M450" s="1">
        <v>0</v>
      </c>
      <c r="N450" s="1">
        <v>0</v>
      </c>
      <c r="O450" s="1">
        <v>365379.7</v>
      </c>
      <c r="P450" s="1" t="s">
        <v>41</v>
      </c>
      <c r="Q450" s="1" t="s">
        <v>42</v>
      </c>
      <c r="V450" s="1" t="s">
        <v>43</v>
      </c>
    </row>
    <row r="451" spans="1:24" x14ac:dyDescent="0.2">
      <c r="A451" s="30" t="s">
        <v>31</v>
      </c>
      <c r="B451" s="30" t="s">
        <v>1960</v>
      </c>
      <c r="C451" s="30" t="s">
        <v>1961</v>
      </c>
      <c r="D451" s="30">
        <f t="shared" si="6"/>
        <v>-1</v>
      </c>
      <c r="E451" s="30" t="s">
        <v>34</v>
      </c>
      <c r="F451" s="30" t="s">
        <v>1863</v>
      </c>
      <c r="G451" s="30" t="s">
        <v>1962</v>
      </c>
      <c r="H451" s="30" t="s">
        <v>37</v>
      </c>
      <c r="I451" s="30" t="s">
        <v>38</v>
      </c>
      <c r="J451" s="30" t="s">
        <v>1143</v>
      </c>
      <c r="K451" s="30" t="s">
        <v>1144</v>
      </c>
      <c r="L451" s="30">
        <v>435479.24</v>
      </c>
      <c r="M451" s="30">
        <v>0</v>
      </c>
      <c r="N451" s="30">
        <v>0</v>
      </c>
      <c r="O451" s="30">
        <v>2727475.24</v>
      </c>
      <c r="P451" s="30" t="s">
        <v>41</v>
      </c>
      <c r="Q451" s="30" t="s">
        <v>42</v>
      </c>
      <c r="S451" s="1" t="s">
        <v>43</v>
      </c>
    </row>
    <row r="452" spans="1:24" x14ac:dyDescent="0.2">
      <c r="A452" s="30" t="s">
        <v>31</v>
      </c>
      <c r="B452" s="30" t="s">
        <v>1963</v>
      </c>
      <c r="C452" s="30" t="s">
        <v>1964</v>
      </c>
      <c r="D452" s="30">
        <f t="shared" si="6"/>
        <v>-1</v>
      </c>
      <c r="E452" s="30" t="s">
        <v>34</v>
      </c>
      <c r="F452" s="30" t="s">
        <v>1863</v>
      </c>
      <c r="G452" s="30" t="s">
        <v>1965</v>
      </c>
      <c r="H452" s="30" t="s">
        <v>37</v>
      </c>
      <c r="I452" s="30" t="s">
        <v>38</v>
      </c>
      <c r="J452" s="30" t="s">
        <v>1143</v>
      </c>
      <c r="K452" s="30" t="s">
        <v>1144</v>
      </c>
      <c r="L452" s="30">
        <v>435479.24</v>
      </c>
      <c r="M452" s="30">
        <v>0</v>
      </c>
      <c r="N452" s="30">
        <v>0</v>
      </c>
      <c r="O452" s="30">
        <v>2727475.24</v>
      </c>
      <c r="P452" s="30" t="s">
        <v>41</v>
      </c>
      <c r="Q452" s="30" t="s">
        <v>42</v>
      </c>
      <c r="S452" s="1" t="s">
        <v>43</v>
      </c>
    </row>
    <row r="453" spans="1:24" x14ac:dyDescent="0.2">
      <c r="A453" s="30" t="s">
        <v>31</v>
      </c>
      <c r="B453" s="30" t="s">
        <v>1966</v>
      </c>
      <c r="C453" s="30" t="s">
        <v>1967</v>
      </c>
      <c r="D453" s="30">
        <f t="shared" si="6"/>
        <v>-1</v>
      </c>
      <c r="E453" s="30" t="s">
        <v>34</v>
      </c>
      <c r="F453" s="30" t="s">
        <v>1863</v>
      </c>
      <c r="G453" s="30" t="s">
        <v>1968</v>
      </c>
      <c r="H453" s="30" t="s">
        <v>37</v>
      </c>
      <c r="I453" s="30" t="s">
        <v>38</v>
      </c>
      <c r="J453" s="30" t="s">
        <v>1143</v>
      </c>
      <c r="K453" s="30" t="s">
        <v>1144</v>
      </c>
      <c r="L453" s="30">
        <v>653218.86</v>
      </c>
      <c r="M453" s="30">
        <v>0</v>
      </c>
      <c r="N453" s="30">
        <v>0</v>
      </c>
      <c r="O453" s="30">
        <v>4091212.86</v>
      </c>
      <c r="P453" s="30" t="s">
        <v>41</v>
      </c>
      <c r="Q453" s="30" t="s">
        <v>42</v>
      </c>
      <c r="S453" s="1" t="s">
        <v>43</v>
      </c>
    </row>
    <row r="454" spans="1:24" x14ac:dyDescent="0.2">
      <c r="A454" s="1" t="s">
        <v>31</v>
      </c>
      <c r="B454" s="1" t="s">
        <v>1969</v>
      </c>
      <c r="C454" s="1" t="s">
        <v>1970</v>
      </c>
      <c r="D454" s="1">
        <f t="shared" si="6"/>
        <v>-1</v>
      </c>
      <c r="E454" s="1" t="s">
        <v>34</v>
      </c>
      <c r="F454" s="1" t="s">
        <v>1863</v>
      </c>
      <c r="G454" s="1" t="s">
        <v>1971</v>
      </c>
      <c r="H454" s="1" t="s">
        <v>37</v>
      </c>
      <c r="I454" s="1" t="s">
        <v>38</v>
      </c>
      <c r="J454" s="1" t="s">
        <v>1972</v>
      </c>
      <c r="K454" s="1" t="s">
        <v>1973</v>
      </c>
      <c r="L454" s="1">
        <v>62498.6</v>
      </c>
      <c r="M454" s="1">
        <v>0</v>
      </c>
      <c r="N454" s="1">
        <v>0</v>
      </c>
      <c r="O454" s="1">
        <v>391438.6</v>
      </c>
      <c r="P454" s="1" t="s">
        <v>41</v>
      </c>
      <c r="Q454" s="1" t="s">
        <v>42</v>
      </c>
      <c r="V454" s="1" t="s">
        <v>43</v>
      </c>
    </row>
    <row r="455" spans="1:24" x14ac:dyDescent="0.2">
      <c r="A455" s="1" t="s">
        <v>31</v>
      </c>
      <c r="B455" s="1" t="s">
        <v>1974</v>
      </c>
      <c r="C455" s="1" t="s">
        <v>1975</v>
      </c>
      <c r="D455" s="1">
        <f t="shared" si="6"/>
        <v>-1</v>
      </c>
      <c r="E455" s="1" t="s">
        <v>34</v>
      </c>
      <c r="F455" s="1" t="s">
        <v>1863</v>
      </c>
      <c r="G455" s="1" t="s">
        <v>1976</v>
      </c>
      <c r="H455" s="1" t="s">
        <v>37</v>
      </c>
      <c r="I455" s="1" t="s">
        <v>38</v>
      </c>
      <c r="J455" s="1" t="s">
        <v>1977</v>
      </c>
      <c r="K455" s="1" t="s">
        <v>1978</v>
      </c>
      <c r="L455" s="1">
        <v>226100</v>
      </c>
      <c r="M455" s="1">
        <v>0</v>
      </c>
      <c r="N455" s="1">
        <v>0</v>
      </c>
      <c r="O455" s="1">
        <v>1416100</v>
      </c>
      <c r="P455" s="1" t="s">
        <v>41</v>
      </c>
      <c r="Q455" s="1" t="s">
        <v>42</v>
      </c>
      <c r="V455" s="1" t="s">
        <v>43</v>
      </c>
    </row>
    <row r="456" spans="1:24" x14ac:dyDescent="0.2">
      <c r="A456" s="33" t="s">
        <v>31</v>
      </c>
      <c r="B456" s="33" t="s">
        <v>1979</v>
      </c>
      <c r="C456" s="33" t="s">
        <v>1980</v>
      </c>
      <c r="D456" s="33">
        <f t="shared" si="6"/>
        <v>-1</v>
      </c>
      <c r="E456" s="33" t="s">
        <v>34</v>
      </c>
      <c r="F456" s="33" t="s">
        <v>1863</v>
      </c>
      <c r="G456" s="33" t="s">
        <v>1981</v>
      </c>
      <c r="H456" s="33" t="s">
        <v>37</v>
      </c>
      <c r="I456" s="33" t="s">
        <v>38</v>
      </c>
      <c r="J456" s="33" t="s">
        <v>1982</v>
      </c>
      <c r="K456" s="33" t="s">
        <v>1983</v>
      </c>
      <c r="L456" s="33">
        <v>6114960</v>
      </c>
      <c r="M456" s="33">
        <v>0</v>
      </c>
      <c r="N456" s="33">
        <v>0</v>
      </c>
      <c r="O456" s="33">
        <v>38298960</v>
      </c>
      <c r="P456" s="33" t="s">
        <v>41</v>
      </c>
      <c r="Q456" s="33" t="s">
        <v>42</v>
      </c>
      <c r="W456" s="33" t="s">
        <v>43</v>
      </c>
      <c r="X456" s="1" t="s">
        <v>201</v>
      </c>
    </row>
    <row r="457" spans="1:24" x14ac:dyDescent="0.2">
      <c r="A457" s="29" t="s">
        <v>31</v>
      </c>
      <c r="B457" s="29" t="s">
        <v>1984</v>
      </c>
      <c r="C457" s="29" t="s">
        <v>1985</v>
      </c>
      <c r="D457" s="29">
        <f t="shared" si="6"/>
        <v>-1</v>
      </c>
      <c r="E457" s="29" t="s">
        <v>34</v>
      </c>
      <c r="F457" s="29" t="s">
        <v>1863</v>
      </c>
      <c r="G457" s="29" t="s">
        <v>1986</v>
      </c>
      <c r="H457" s="29" t="s">
        <v>37</v>
      </c>
      <c r="I457" s="29" t="s">
        <v>38</v>
      </c>
      <c r="J457" s="29" t="s">
        <v>1731</v>
      </c>
      <c r="K457" s="29" t="s">
        <v>1732</v>
      </c>
      <c r="L457" s="29">
        <v>594331.02</v>
      </c>
      <c r="M457" s="29">
        <v>0</v>
      </c>
      <c r="N457" s="29">
        <v>0</v>
      </c>
      <c r="O457" s="29">
        <v>3722389.02</v>
      </c>
      <c r="P457" s="29" t="s">
        <v>41</v>
      </c>
      <c r="Q457" s="29" t="s">
        <v>42</v>
      </c>
      <c r="T457" s="1" t="s">
        <v>43</v>
      </c>
    </row>
    <row r="458" spans="1:24" x14ac:dyDescent="0.2">
      <c r="A458" s="30" t="s">
        <v>31</v>
      </c>
      <c r="B458" s="30" t="s">
        <v>1987</v>
      </c>
      <c r="C458" s="30" t="s">
        <v>1988</v>
      </c>
      <c r="D458" s="30">
        <f t="shared" si="6"/>
        <v>-1</v>
      </c>
      <c r="E458" s="30" t="s">
        <v>34</v>
      </c>
      <c r="F458" s="30" t="s">
        <v>1863</v>
      </c>
      <c r="G458" s="30" t="s">
        <v>1989</v>
      </c>
      <c r="H458" s="30" t="s">
        <v>37</v>
      </c>
      <c r="I458" s="30" t="s">
        <v>38</v>
      </c>
      <c r="J458" s="30" t="s">
        <v>1990</v>
      </c>
      <c r="K458" s="30" t="s">
        <v>1991</v>
      </c>
      <c r="L458" s="30">
        <v>0</v>
      </c>
      <c r="M458" s="30">
        <v>0</v>
      </c>
      <c r="N458" s="30">
        <v>0</v>
      </c>
      <c r="O458" s="30">
        <v>9418160.4600000009</v>
      </c>
      <c r="P458" s="30" t="s">
        <v>41</v>
      </c>
      <c r="Q458" s="30" t="s">
        <v>42</v>
      </c>
      <c r="S458" s="1" t="s">
        <v>161</v>
      </c>
    </row>
    <row r="459" spans="1:24" x14ac:dyDescent="0.2">
      <c r="A459" s="33" t="s">
        <v>31</v>
      </c>
      <c r="B459" s="33" t="s">
        <v>1992</v>
      </c>
      <c r="C459" s="33" t="s">
        <v>1993</v>
      </c>
      <c r="D459" s="33">
        <f t="shared" ref="D459:D522" si="7">C459-C460</f>
        <v>-1</v>
      </c>
      <c r="E459" s="33" t="s">
        <v>34</v>
      </c>
      <c r="F459" s="33" t="s">
        <v>1863</v>
      </c>
      <c r="G459" s="33" t="s">
        <v>1994</v>
      </c>
      <c r="H459" s="33" t="s">
        <v>37</v>
      </c>
      <c r="I459" s="33" t="s">
        <v>38</v>
      </c>
      <c r="J459" s="33" t="s">
        <v>1894</v>
      </c>
      <c r="K459" s="33" t="s">
        <v>1895</v>
      </c>
      <c r="L459" s="33">
        <v>119903.29</v>
      </c>
      <c r="M459" s="33">
        <v>0</v>
      </c>
      <c r="N459" s="33">
        <v>0</v>
      </c>
      <c r="O459" s="33">
        <v>781084.29</v>
      </c>
      <c r="P459" s="33" t="s">
        <v>41</v>
      </c>
      <c r="Q459" s="33" t="s">
        <v>42</v>
      </c>
      <c r="W459" s="33" t="s">
        <v>43</v>
      </c>
      <c r="X459" s="1" t="s">
        <v>317</v>
      </c>
    </row>
    <row r="460" spans="1:24" x14ac:dyDescent="0.2">
      <c r="A460" s="33" t="s">
        <v>31</v>
      </c>
      <c r="B460" s="33" t="s">
        <v>1995</v>
      </c>
      <c r="C460" s="33" t="s">
        <v>1996</v>
      </c>
      <c r="D460" s="33">
        <f t="shared" si="7"/>
        <v>-1</v>
      </c>
      <c r="E460" s="33" t="s">
        <v>34</v>
      </c>
      <c r="F460" s="33" t="s">
        <v>1863</v>
      </c>
      <c r="G460" s="33" t="s">
        <v>1997</v>
      </c>
      <c r="H460" s="33" t="s">
        <v>37</v>
      </c>
      <c r="I460" s="33" t="s">
        <v>38</v>
      </c>
      <c r="J460" s="33" t="s">
        <v>1873</v>
      </c>
      <c r="K460" s="33" t="s">
        <v>1874</v>
      </c>
      <c r="L460" s="33">
        <v>315162.88</v>
      </c>
      <c r="M460" s="33">
        <v>0</v>
      </c>
      <c r="N460" s="33">
        <v>0</v>
      </c>
      <c r="O460" s="33">
        <v>2014311.88</v>
      </c>
      <c r="P460" s="33" t="s">
        <v>41</v>
      </c>
      <c r="Q460" s="33" t="s">
        <v>42</v>
      </c>
      <c r="W460" s="33" t="s">
        <v>43</v>
      </c>
      <c r="X460" s="1" t="s">
        <v>722</v>
      </c>
    </row>
    <row r="461" spans="1:24" x14ac:dyDescent="0.2">
      <c r="A461" s="33" t="s">
        <v>31</v>
      </c>
      <c r="B461" s="33" t="s">
        <v>1998</v>
      </c>
      <c r="C461" s="33" t="s">
        <v>1999</v>
      </c>
      <c r="D461" s="33">
        <f t="shared" si="7"/>
        <v>-1</v>
      </c>
      <c r="E461" s="33" t="s">
        <v>34</v>
      </c>
      <c r="F461" s="33" t="s">
        <v>1863</v>
      </c>
      <c r="G461" s="33" t="s">
        <v>2000</v>
      </c>
      <c r="H461" s="33" t="s">
        <v>37</v>
      </c>
      <c r="I461" s="33" t="s">
        <v>38</v>
      </c>
      <c r="J461" s="33" t="s">
        <v>1873</v>
      </c>
      <c r="K461" s="33" t="s">
        <v>1874</v>
      </c>
      <c r="L461" s="33">
        <v>1290919.47</v>
      </c>
      <c r="M461" s="33">
        <v>0</v>
      </c>
      <c r="N461" s="33">
        <v>0</v>
      </c>
      <c r="O461" s="33">
        <v>8166647.4699999997</v>
      </c>
      <c r="P461" s="33" t="s">
        <v>41</v>
      </c>
      <c r="Q461" s="33" t="s">
        <v>42</v>
      </c>
      <c r="W461" s="33" t="s">
        <v>161</v>
      </c>
      <c r="X461" s="1" t="s">
        <v>722</v>
      </c>
    </row>
    <row r="462" spans="1:24" x14ac:dyDescent="0.2">
      <c r="A462" s="33" t="s">
        <v>31</v>
      </c>
      <c r="B462" s="33" t="s">
        <v>2001</v>
      </c>
      <c r="C462" s="33" t="s">
        <v>2002</v>
      </c>
      <c r="D462" s="33">
        <f t="shared" si="7"/>
        <v>-1</v>
      </c>
      <c r="E462" s="33" t="s">
        <v>34</v>
      </c>
      <c r="F462" s="33" t="s">
        <v>1863</v>
      </c>
      <c r="G462" s="33" t="s">
        <v>2003</v>
      </c>
      <c r="H462" s="33" t="s">
        <v>37</v>
      </c>
      <c r="I462" s="33" t="s">
        <v>38</v>
      </c>
      <c r="J462" s="33" t="s">
        <v>1218</v>
      </c>
      <c r="K462" s="33" t="s">
        <v>1219</v>
      </c>
      <c r="L462" s="33">
        <v>71250</v>
      </c>
      <c r="M462" s="33">
        <v>0</v>
      </c>
      <c r="N462" s="33">
        <v>0</v>
      </c>
      <c r="O462" s="33">
        <v>446250</v>
      </c>
      <c r="P462" s="33" t="s">
        <v>41</v>
      </c>
      <c r="Q462" s="33" t="s">
        <v>42</v>
      </c>
      <c r="W462" s="33" t="s">
        <v>161</v>
      </c>
      <c r="X462" s="1" t="s">
        <v>2004</v>
      </c>
    </row>
    <row r="463" spans="1:24" x14ac:dyDescent="0.2">
      <c r="A463" s="33" t="s">
        <v>31</v>
      </c>
      <c r="B463" s="33" t="s">
        <v>2005</v>
      </c>
      <c r="C463" s="33" t="s">
        <v>2006</v>
      </c>
      <c r="D463" s="33">
        <f t="shared" si="7"/>
        <v>-1</v>
      </c>
      <c r="E463" s="33" t="s">
        <v>34</v>
      </c>
      <c r="F463" s="33" t="s">
        <v>1863</v>
      </c>
      <c r="G463" s="33" t="s">
        <v>2007</v>
      </c>
      <c r="H463" s="33" t="s">
        <v>37</v>
      </c>
      <c r="I463" s="33" t="s">
        <v>38</v>
      </c>
      <c r="J463" s="33" t="s">
        <v>1510</v>
      </c>
      <c r="K463" s="33" t="s">
        <v>1511</v>
      </c>
      <c r="L463" s="33">
        <v>14440</v>
      </c>
      <c r="M463" s="33">
        <v>0</v>
      </c>
      <c r="N463" s="33">
        <v>0</v>
      </c>
      <c r="O463" s="33">
        <v>90440</v>
      </c>
      <c r="P463" s="33" t="s">
        <v>41</v>
      </c>
      <c r="Q463" s="33" t="s">
        <v>42</v>
      </c>
      <c r="W463" s="33" t="s">
        <v>43</v>
      </c>
      <c r="X463" s="1" t="s">
        <v>195</v>
      </c>
    </row>
    <row r="464" spans="1:24" x14ac:dyDescent="0.2">
      <c r="A464" s="33" t="s">
        <v>31</v>
      </c>
      <c r="B464" s="33" t="s">
        <v>2008</v>
      </c>
      <c r="C464" s="33" t="s">
        <v>2009</v>
      </c>
      <c r="D464" s="33">
        <f t="shared" si="7"/>
        <v>-1</v>
      </c>
      <c r="E464" s="33" t="s">
        <v>34</v>
      </c>
      <c r="F464" s="33" t="s">
        <v>1863</v>
      </c>
      <c r="G464" s="33" t="s">
        <v>2010</v>
      </c>
      <c r="H464" s="33" t="s">
        <v>37</v>
      </c>
      <c r="I464" s="33" t="s">
        <v>38</v>
      </c>
      <c r="J464" s="33" t="s">
        <v>1095</v>
      </c>
      <c r="K464" s="33" t="s">
        <v>1096</v>
      </c>
      <c r="L464" s="33">
        <v>1326200</v>
      </c>
      <c r="M464" s="33">
        <v>0</v>
      </c>
      <c r="N464" s="33">
        <v>0</v>
      </c>
      <c r="O464" s="33">
        <v>8306200</v>
      </c>
      <c r="P464" s="33" t="s">
        <v>41</v>
      </c>
      <c r="Q464" s="33" t="s">
        <v>42</v>
      </c>
      <c r="W464" s="33" t="s">
        <v>43</v>
      </c>
      <c r="X464" s="1" t="s">
        <v>129</v>
      </c>
    </row>
    <row r="465" spans="1:24" x14ac:dyDescent="0.2">
      <c r="A465" s="33" t="s">
        <v>31</v>
      </c>
      <c r="B465" s="33" t="s">
        <v>2011</v>
      </c>
      <c r="C465" s="33" t="s">
        <v>2012</v>
      </c>
      <c r="D465" s="33">
        <f t="shared" si="7"/>
        <v>-1</v>
      </c>
      <c r="E465" s="33" t="s">
        <v>34</v>
      </c>
      <c r="F465" s="33" t="s">
        <v>1863</v>
      </c>
      <c r="G465" s="33" t="s">
        <v>2013</v>
      </c>
      <c r="H465" s="33" t="s">
        <v>37</v>
      </c>
      <c r="I465" s="33" t="s">
        <v>38</v>
      </c>
      <c r="J465" s="33" t="s">
        <v>868</v>
      </c>
      <c r="K465" s="33" t="s">
        <v>869</v>
      </c>
      <c r="L465" s="33">
        <v>28975</v>
      </c>
      <c r="M465" s="33">
        <v>0</v>
      </c>
      <c r="N465" s="33">
        <v>0</v>
      </c>
      <c r="O465" s="33">
        <v>181475</v>
      </c>
      <c r="P465" s="33" t="s">
        <v>41</v>
      </c>
      <c r="Q465" s="33" t="s">
        <v>42</v>
      </c>
      <c r="W465" s="33" t="s">
        <v>161</v>
      </c>
      <c r="X465" s="1" t="s">
        <v>369</v>
      </c>
    </row>
    <row r="466" spans="1:24" x14ac:dyDescent="0.2">
      <c r="A466" s="33" t="s">
        <v>31</v>
      </c>
      <c r="B466" s="33" t="s">
        <v>2014</v>
      </c>
      <c r="C466" s="33" t="s">
        <v>2015</v>
      </c>
      <c r="D466" s="33">
        <f t="shared" si="7"/>
        <v>-1</v>
      </c>
      <c r="E466" s="33" t="s">
        <v>34</v>
      </c>
      <c r="F466" s="33" t="s">
        <v>1863</v>
      </c>
      <c r="G466" s="33" t="s">
        <v>2016</v>
      </c>
      <c r="H466" s="33" t="s">
        <v>37</v>
      </c>
      <c r="I466" s="33" t="s">
        <v>38</v>
      </c>
      <c r="J466" s="33" t="s">
        <v>1310</v>
      </c>
      <c r="K466" s="33" t="s">
        <v>1311</v>
      </c>
      <c r="L466" s="33">
        <v>13242.43</v>
      </c>
      <c r="M466" s="33">
        <v>0</v>
      </c>
      <c r="N466" s="33">
        <v>0</v>
      </c>
      <c r="O466" s="33">
        <v>82939.429999999993</v>
      </c>
      <c r="P466" s="33" t="s">
        <v>41</v>
      </c>
      <c r="Q466" s="33" t="s">
        <v>42</v>
      </c>
      <c r="W466" s="33" t="s">
        <v>43</v>
      </c>
      <c r="X466" s="1" t="s">
        <v>2017</v>
      </c>
    </row>
    <row r="467" spans="1:24" x14ac:dyDescent="0.2">
      <c r="A467" s="33" t="s">
        <v>31</v>
      </c>
      <c r="B467" s="33" t="s">
        <v>2018</v>
      </c>
      <c r="C467" s="33" t="s">
        <v>2019</v>
      </c>
      <c r="D467" s="33">
        <f t="shared" si="7"/>
        <v>-1</v>
      </c>
      <c r="E467" s="33" t="s">
        <v>34</v>
      </c>
      <c r="F467" s="33" t="s">
        <v>1863</v>
      </c>
      <c r="G467" s="33" t="s">
        <v>2020</v>
      </c>
      <c r="H467" s="33" t="s">
        <v>37</v>
      </c>
      <c r="I467" s="33" t="s">
        <v>38</v>
      </c>
      <c r="J467" s="33" t="s">
        <v>2021</v>
      </c>
      <c r="K467" s="33" t="s">
        <v>2022</v>
      </c>
      <c r="L467" s="33">
        <v>91437.5</v>
      </c>
      <c r="M467" s="33">
        <v>0</v>
      </c>
      <c r="N467" s="33">
        <v>0</v>
      </c>
      <c r="O467" s="33">
        <v>572687.5</v>
      </c>
      <c r="P467" s="33" t="s">
        <v>41</v>
      </c>
      <c r="Q467" s="33" t="s">
        <v>42</v>
      </c>
      <c r="W467" s="33" t="s">
        <v>43</v>
      </c>
      <c r="X467" s="1" t="s">
        <v>1040</v>
      </c>
    </row>
    <row r="468" spans="1:24" x14ac:dyDescent="0.2">
      <c r="A468" s="31" t="s">
        <v>31</v>
      </c>
      <c r="B468" s="31" t="s">
        <v>2023</v>
      </c>
      <c r="C468" s="31" t="s">
        <v>2024</v>
      </c>
      <c r="D468" s="31">
        <f t="shared" si="7"/>
        <v>-1</v>
      </c>
      <c r="E468" s="31" t="s">
        <v>34</v>
      </c>
      <c r="F468" s="31" t="s">
        <v>1863</v>
      </c>
      <c r="G468" s="31" t="s">
        <v>2025</v>
      </c>
      <c r="H468" s="31" t="s">
        <v>37</v>
      </c>
      <c r="I468" s="31" t="s">
        <v>38</v>
      </c>
      <c r="J468" s="31" t="s">
        <v>2026</v>
      </c>
      <c r="K468" s="31" t="s">
        <v>2027</v>
      </c>
      <c r="L468" s="31">
        <v>1138033.5</v>
      </c>
      <c r="M468" s="31">
        <v>0</v>
      </c>
      <c r="N468" s="31">
        <v>0</v>
      </c>
      <c r="O468" s="31">
        <v>7127683.5</v>
      </c>
      <c r="P468" s="31" t="s">
        <v>41</v>
      </c>
      <c r="Q468" s="31" t="s">
        <v>42</v>
      </c>
      <c r="U468" s="31" t="s">
        <v>43</v>
      </c>
    </row>
    <row r="469" spans="1:24" x14ac:dyDescent="0.2">
      <c r="A469" s="33" t="s">
        <v>31</v>
      </c>
      <c r="B469" s="33" t="s">
        <v>2028</v>
      </c>
      <c r="C469" s="33" t="s">
        <v>2029</v>
      </c>
      <c r="D469" s="33">
        <f t="shared" si="7"/>
        <v>-1</v>
      </c>
      <c r="E469" s="33" t="s">
        <v>34</v>
      </c>
      <c r="F469" s="33" t="s">
        <v>1863</v>
      </c>
      <c r="G469" s="33" t="s">
        <v>2030</v>
      </c>
      <c r="H469" s="33" t="s">
        <v>37</v>
      </c>
      <c r="I469" s="33" t="s">
        <v>38</v>
      </c>
      <c r="J469" s="33" t="s">
        <v>632</v>
      </c>
      <c r="K469" s="33" t="s">
        <v>633</v>
      </c>
      <c r="L469" s="33">
        <v>547967.6</v>
      </c>
      <c r="M469" s="33">
        <v>0</v>
      </c>
      <c r="N469" s="33">
        <v>0</v>
      </c>
      <c r="O469" s="33">
        <v>3432007.6</v>
      </c>
      <c r="P469" s="33" t="s">
        <v>41</v>
      </c>
      <c r="Q469" s="33" t="s">
        <v>42</v>
      </c>
      <c r="W469" s="33" t="s">
        <v>161</v>
      </c>
      <c r="X469" s="1" t="s">
        <v>237</v>
      </c>
    </row>
    <row r="470" spans="1:24" x14ac:dyDescent="0.2">
      <c r="A470" s="33" t="s">
        <v>31</v>
      </c>
      <c r="B470" s="33" t="s">
        <v>2031</v>
      </c>
      <c r="C470" s="33" t="s">
        <v>2032</v>
      </c>
      <c r="D470" s="33">
        <f t="shared" si="7"/>
        <v>-1</v>
      </c>
      <c r="E470" s="33" t="s">
        <v>34</v>
      </c>
      <c r="F470" s="33" t="s">
        <v>1863</v>
      </c>
      <c r="G470" s="33" t="s">
        <v>2033</v>
      </c>
      <c r="H470" s="33" t="s">
        <v>37</v>
      </c>
      <c r="I470" s="33" t="s">
        <v>38</v>
      </c>
      <c r="J470" s="33" t="s">
        <v>1559</v>
      </c>
      <c r="K470" s="33" t="s">
        <v>1560</v>
      </c>
      <c r="L470" s="33">
        <v>305662.5</v>
      </c>
      <c r="M470" s="33">
        <v>0</v>
      </c>
      <c r="N470" s="33">
        <v>0</v>
      </c>
      <c r="O470" s="33">
        <v>1914412.5</v>
      </c>
      <c r="P470" s="33" t="s">
        <v>41</v>
      </c>
      <c r="Q470" s="33" t="s">
        <v>42</v>
      </c>
      <c r="W470" s="33" t="s">
        <v>43</v>
      </c>
      <c r="X470" s="1" t="s">
        <v>129</v>
      </c>
    </row>
    <row r="471" spans="1:24" x14ac:dyDescent="0.2">
      <c r="A471" s="33" t="s">
        <v>31</v>
      </c>
      <c r="B471" s="33" t="s">
        <v>2034</v>
      </c>
      <c r="C471" s="33" t="s">
        <v>2035</v>
      </c>
      <c r="D471" s="33">
        <f t="shared" si="7"/>
        <v>-1</v>
      </c>
      <c r="E471" s="33" t="s">
        <v>34</v>
      </c>
      <c r="F471" s="33" t="s">
        <v>1863</v>
      </c>
      <c r="G471" s="33" t="s">
        <v>2036</v>
      </c>
      <c r="H471" s="33" t="s">
        <v>37</v>
      </c>
      <c r="I471" s="33" t="s">
        <v>38</v>
      </c>
      <c r="J471" s="33" t="s">
        <v>2037</v>
      </c>
      <c r="K471" s="33" t="s">
        <v>2038</v>
      </c>
      <c r="L471" s="33">
        <v>110374.8</v>
      </c>
      <c r="M471" s="33">
        <v>0</v>
      </c>
      <c r="N471" s="33">
        <v>0</v>
      </c>
      <c r="O471" s="33">
        <v>691294.8</v>
      </c>
      <c r="P471" s="33" t="s">
        <v>41</v>
      </c>
      <c r="Q471" s="33" t="s">
        <v>42</v>
      </c>
      <c r="W471" s="33" t="s">
        <v>43</v>
      </c>
      <c r="X471" s="1" t="s">
        <v>69</v>
      </c>
    </row>
    <row r="472" spans="1:24" x14ac:dyDescent="0.2">
      <c r="A472" s="33" t="s">
        <v>31</v>
      </c>
      <c r="B472" s="33" t="s">
        <v>2039</v>
      </c>
      <c r="C472" s="33" t="s">
        <v>2040</v>
      </c>
      <c r="D472" s="33">
        <f t="shared" si="7"/>
        <v>-1</v>
      </c>
      <c r="E472" s="33" t="s">
        <v>34</v>
      </c>
      <c r="F472" s="33" t="s">
        <v>1863</v>
      </c>
      <c r="G472" s="33" t="s">
        <v>2041</v>
      </c>
      <c r="H472" s="33" t="s">
        <v>37</v>
      </c>
      <c r="I472" s="33" t="s">
        <v>38</v>
      </c>
      <c r="J472" s="33" t="s">
        <v>2037</v>
      </c>
      <c r="K472" s="33" t="s">
        <v>2038</v>
      </c>
      <c r="L472" s="33">
        <v>45636.800000000003</v>
      </c>
      <c r="M472" s="33">
        <v>0</v>
      </c>
      <c r="N472" s="33">
        <v>0</v>
      </c>
      <c r="O472" s="33">
        <v>436956.8</v>
      </c>
      <c r="P472" s="33" t="s">
        <v>41</v>
      </c>
      <c r="Q472" s="33" t="s">
        <v>42</v>
      </c>
      <c r="W472" s="33" t="s">
        <v>43</v>
      </c>
      <c r="X472" s="1" t="s">
        <v>69</v>
      </c>
    </row>
    <row r="473" spans="1:24" x14ac:dyDescent="0.2">
      <c r="A473" s="33" t="s">
        <v>31</v>
      </c>
      <c r="B473" s="33" t="s">
        <v>2042</v>
      </c>
      <c r="C473" s="33" t="s">
        <v>2043</v>
      </c>
      <c r="D473" s="33">
        <f t="shared" si="7"/>
        <v>-1</v>
      </c>
      <c r="E473" s="33" t="s">
        <v>34</v>
      </c>
      <c r="F473" s="33" t="s">
        <v>1863</v>
      </c>
      <c r="G473" s="33" t="s">
        <v>2044</v>
      </c>
      <c r="H473" s="33" t="s">
        <v>37</v>
      </c>
      <c r="I473" s="33" t="s">
        <v>38</v>
      </c>
      <c r="J473" s="33" t="s">
        <v>2045</v>
      </c>
      <c r="K473" s="33" t="s">
        <v>2046</v>
      </c>
      <c r="L473" s="33">
        <v>34526.800000000003</v>
      </c>
      <c r="M473" s="33">
        <v>0</v>
      </c>
      <c r="N473" s="33">
        <v>0</v>
      </c>
      <c r="O473" s="33">
        <v>216246.8</v>
      </c>
      <c r="P473" s="33" t="s">
        <v>41</v>
      </c>
      <c r="Q473" s="33" t="s">
        <v>42</v>
      </c>
      <c r="W473" s="33" t="s">
        <v>161</v>
      </c>
      <c r="X473" s="1" t="s">
        <v>317</v>
      </c>
    </row>
    <row r="474" spans="1:24" x14ac:dyDescent="0.2">
      <c r="A474" s="33" t="s">
        <v>31</v>
      </c>
      <c r="B474" s="33" t="s">
        <v>2047</v>
      </c>
      <c r="C474" s="33" t="s">
        <v>2048</v>
      </c>
      <c r="D474" s="33">
        <f t="shared" si="7"/>
        <v>-1</v>
      </c>
      <c r="E474" s="33" t="s">
        <v>34</v>
      </c>
      <c r="F474" s="33" t="s">
        <v>1863</v>
      </c>
      <c r="G474" s="33" t="s">
        <v>2049</v>
      </c>
      <c r="H474" s="33" t="s">
        <v>37</v>
      </c>
      <c r="I474" s="33" t="s">
        <v>38</v>
      </c>
      <c r="J474" s="33" t="s">
        <v>528</v>
      </c>
      <c r="K474" s="33" t="s">
        <v>529</v>
      </c>
      <c r="L474" s="33">
        <v>60800</v>
      </c>
      <c r="M474" s="33">
        <v>0</v>
      </c>
      <c r="N474" s="33">
        <v>0</v>
      </c>
      <c r="O474" s="33">
        <v>380800</v>
      </c>
      <c r="P474" s="33" t="s">
        <v>41</v>
      </c>
      <c r="Q474" s="33" t="s">
        <v>42</v>
      </c>
      <c r="W474" s="33" t="s">
        <v>43</v>
      </c>
      <c r="X474" s="1" t="s">
        <v>2050</v>
      </c>
    </row>
    <row r="475" spans="1:24" x14ac:dyDescent="0.2">
      <c r="A475" s="33" t="s">
        <v>31</v>
      </c>
      <c r="B475" s="33" t="s">
        <v>2051</v>
      </c>
      <c r="C475" s="33" t="s">
        <v>2052</v>
      </c>
      <c r="D475" s="33">
        <f t="shared" si="7"/>
        <v>-1</v>
      </c>
      <c r="E475" s="33" t="s">
        <v>34</v>
      </c>
      <c r="F475" s="33" t="s">
        <v>1863</v>
      </c>
      <c r="G475" s="33" t="s">
        <v>2053</v>
      </c>
      <c r="H475" s="33" t="s">
        <v>37</v>
      </c>
      <c r="I475" s="33" t="s">
        <v>38</v>
      </c>
      <c r="J475" s="33" t="s">
        <v>642</v>
      </c>
      <c r="K475" s="33" t="s">
        <v>643</v>
      </c>
      <c r="L475" s="33">
        <v>0</v>
      </c>
      <c r="M475" s="33">
        <v>0</v>
      </c>
      <c r="N475" s="33">
        <v>0</v>
      </c>
      <c r="O475" s="33">
        <v>1700000</v>
      </c>
      <c r="P475" s="33" t="s">
        <v>41</v>
      </c>
      <c r="Q475" s="33" t="s">
        <v>42</v>
      </c>
      <c r="W475" s="33" t="s">
        <v>161</v>
      </c>
      <c r="X475" s="1" t="s">
        <v>369</v>
      </c>
    </row>
    <row r="476" spans="1:24" x14ac:dyDescent="0.2">
      <c r="A476" s="28" t="s">
        <v>31</v>
      </c>
      <c r="B476" s="28" t="s">
        <v>2054</v>
      </c>
      <c r="C476" s="28" t="s">
        <v>2055</v>
      </c>
      <c r="D476" s="28">
        <f t="shared" si="7"/>
        <v>-1</v>
      </c>
      <c r="E476" s="28" t="s">
        <v>34</v>
      </c>
      <c r="F476" s="28" t="s">
        <v>1863</v>
      </c>
      <c r="G476" s="28" t="s">
        <v>2056</v>
      </c>
      <c r="H476" s="28" t="s">
        <v>37</v>
      </c>
      <c r="I476" s="28" t="s">
        <v>38</v>
      </c>
      <c r="J476" s="28" t="s">
        <v>2057</v>
      </c>
      <c r="K476" s="28" t="s">
        <v>2058</v>
      </c>
      <c r="L476" s="28">
        <v>276450</v>
      </c>
      <c r="M476" s="28">
        <v>0</v>
      </c>
      <c r="N476" s="28">
        <v>0</v>
      </c>
      <c r="O476" s="28">
        <v>1731450</v>
      </c>
      <c r="P476" s="28" t="s">
        <v>41</v>
      </c>
      <c r="Q476" s="28" t="s">
        <v>42</v>
      </c>
      <c r="R476" s="1" t="s">
        <v>43</v>
      </c>
    </row>
    <row r="477" spans="1:24" x14ac:dyDescent="0.2">
      <c r="A477" s="28" t="s">
        <v>31</v>
      </c>
      <c r="B477" s="28" t="s">
        <v>2059</v>
      </c>
      <c r="C477" s="28" t="s">
        <v>2060</v>
      </c>
      <c r="D477" s="28">
        <f t="shared" si="7"/>
        <v>-1</v>
      </c>
      <c r="E477" s="28" t="s">
        <v>34</v>
      </c>
      <c r="F477" s="28" t="s">
        <v>1863</v>
      </c>
      <c r="G477" s="28" t="s">
        <v>2061</v>
      </c>
      <c r="H477" s="28" t="s">
        <v>37</v>
      </c>
      <c r="I477" s="28" t="s">
        <v>38</v>
      </c>
      <c r="J477" s="28" t="s">
        <v>2062</v>
      </c>
      <c r="K477" s="28" t="s">
        <v>2063</v>
      </c>
      <c r="L477" s="28">
        <v>132720.51</v>
      </c>
      <c r="M477" s="28">
        <v>0</v>
      </c>
      <c r="N477" s="28">
        <v>0</v>
      </c>
      <c r="O477" s="28">
        <v>831249.51</v>
      </c>
      <c r="P477" s="28" t="s">
        <v>41</v>
      </c>
      <c r="Q477" s="28" t="s">
        <v>42</v>
      </c>
      <c r="R477" s="1" t="s">
        <v>43</v>
      </c>
    </row>
    <row r="478" spans="1:24" x14ac:dyDescent="0.2">
      <c r="A478" s="33" t="s">
        <v>31</v>
      </c>
      <c r="B478" s="33" t="s">
        <v>2064</v>
      </c>
      <c r="C478" s="33" t="s">
        <v>2065</v>
      </c>
      <c r="D478" s="33">
        <f t="shared" si="7"/>
        <v>-1</v>
      </c>
      <c r="E478" s="33" t="s">
        <v>34</v>
      </c>
      <c r="F478" s="33" t="s">
        <v>1863</v>
      </c>
      <c r="G478" s="33" t="s">
        <v>2066</v>
      </c>
      <c r="H478" s="33" t="s">
        <v>37</v>
      </c>
      <c r="I478" s="33" t="s">
        <v>38</v>
      </c>
      <c r="J478" s="33" t="s">
        <v>799</v>
      </c>
      <c r="K478" s="33" t="s">
        <v>800</v>
      </c>
      <c r="L478" s="33">
        <v>839800</v>
      </c>
      <c r="M478" s="33">
        <v>0</v>
      </c>
      <c r="N478" s="33">
        <v>0</v>
      </c>
      <c r="O478" s="33">
        <v>5259800</v>
      </c>
      <c r="P478" s="33" t="s">
        <v>41</v>
      </c>
      <c r="Q478" s="33" t="s">
        <v>42</v>
      </c>
      <c r="W478" s="33" t="s">
        <v>161</v>
      </c>
      <c r="X478" s="1" t="s">
        <v>369</v>
      </c>
    </row>
    <row r="479" spans="1:24" x14ac:dyDescent="0.2">
      <c r="A479" s="33" t="s">
        <v>31</v>
      </c>
      <c r="B479" s="33" t="s">
        <v>2067</v>
      </c>
      <c r="C479" s="33" t="s">
        <v>2068</v>
      </c>
      <c r="D479" s="33">
        <f t="shared" si="7"/>
        <v>-1</v>
      </c>
      <c r="E479" s="33" t="s">
        <v>34</v>
      </c>
      <c r="F479" s="33" t="s">
        <v>1863</v>
      </c>
      <c r="G479" s="33" t="s">
        <v>2069</v>
      </c>
      <c r="H479" s="33" t="s">
        <v>37</v>
      </c>
      <c r="I479" s="33" t="s">
        <v>38</v>
      </c>
      <c r="J479" s="33" t="s">
        <v>2070</v>
      </c>
      <c r="K479" s="33" t="s">
        <v>2071</v>
      </c>
      <c r="L479" s="33">
        <v>1216950</v>
      </c>
      <c r="M479" s="33">
        <v>0</v>
      </c>
      <c r="N479" s="33">
        <v>0</v>
      </c>
      <c r="O479" s="33">
        <v>7621950</v>
      </c>
      <c r="P479" s="33" t="s">
        <v>41</v>
      </c>
      <c r="Q479" s="33" t="s">
        <v>42</v>
      </c>
      <c r="W479" s="33" t="s">
        <v>43</v>
      </c>
      <c r="X479" s="1" t="s">
        <v>2072</v>
      </c>
    </row>
    <row r="480" spans="1:24" x14ac:dyDescent="0.2">
      <c r="A480" s="33" t="s">
        <v>31</v>
      </c>
      <c r="B480" s="33" t="s">
        <v>2073</v>
      </c>
      <c r="C480" s="33" t="s">
        <v>2074</v>
      </c>
      <c r="D480" s="33">
        <f t="shared" si="7"/>
        <v>-1</v>
      </c>
      <c r="E480" s="33" t="s">
        <v>34</v>
      </c>
      <c r="F480" s="33" t="s">
        <v>1863</v>
      </c>
      <c r="G480" s="33" t="s">
        <v>2075</v>
      </c>
      <c r="H480" s="33" t="s">
        <v>37</v>
      </c>
      <c r="I480" s="33" t="s">
        <v>38</v>
      </c>
      <c r="J480" s="33" t="s">
        <v>1310</v>
      </c>
      <c r="K480" s="33" t="s">
        <v>1311</v>
      </c>
      <c r="L480" s="33">
        <v>120705.48</v>
      </c>
      <c r="M480" s="33">
        <v>0</v>
      </c>
      <c r="N480" s="33">
        <v>0</v>
      </c>
      <c r="O480" s="33">
        <v>755997.48</v>
      </c>
      <c r="P480" s="33" t="s">
        <v>41</v>
      </c>
      <c r="Q480" s="33" t="s">
        <v>42</v>
      </c>
      <c r="W480" s="33" t="s">
        <v>43</v>
      </c>
      <c r="X480" s="1" t="s">
        <v>226</v>
      </c>
    </row>
    <row r="481" spans="1:24" x14ac:dyDescent="0.2">
      <c r="A481" s="33" t="s">
        <v>31</v>
      </c>
      <c r="B481" s="33" t="s">
        <v>2076</v>
      </c>
      <c r="C481" s="33" t="s">
        <v>2077</v>
      </c>
      <c r="D481" s="33">
        <f t="shared" si="7"/>
        <v>-1</v>
      </c>
      <c r="E481" s="33" t="s">
        <v>34</v>
      </c>
      <c r="F481" s="33" t="s">
        <v>1863</v>
      </c>
      <c r="G481" s="33" t="s">
        <v>2078</v>
      </c>
      <c r="H481" s="33" t="s">
        <v>37</v>
      </c>
      <c r="I481" s="33" t="s">
        <v>38</v>
      </c>
      <c r="J481" s="33" t="s">
        <v>2079</v>
      </c>
      <c r="K481" s="33" t="s">
        <v>2080</v>
      </c>
      <c r="L481" s="33">
        <v>62738</v>
      </c>
      <c r="M481" s="33">
        <v>0</v>
      </c>
      <c r="N481" s="33">
        <v>0</v>
      </c>
      <c r="O481" s="33">
        <v>392938</v>
      </c>
      <c r="P481" s="33" t="s">
        <v>41</v>
      </c>
      <c r="Q481" s="33" t="s">
        <v>42</v>
      </c>
      <c r="V481" s="1" t="s">
        <v>43</v>
      </c>
      <c r="X481" s="1" t="s">
        <v>108</v>
      </c>
    </row>
    <row r="482" spans="1:24" x14ac:dyDescent="0.2">
      <c r="A482" s="33" t="s">
        <v>31</v>
      </c>
      <c r="B482" s="33" t="s">
        <v>2081</v>
      </c>
      <c r="C482" s="33" t="s">
        <v>2082</v>
      </c>
      <c r="D482" s="33">
        <f t="shared" si="7"/>
        <v>-1</v>
      </c>
      <c r="E482" s="33" t="s">
        <v>34</v>
      </c>
      <c r="F482" s="33" t="s">
        <v>1863</v>
      </c>
      <c r="G482" s="33" t="s">
        <v>2083</v>
      </c>
      <c r="H482" s="33" t="s">
        <v>37</v>
      </c>
      <c r="I482" s="33" t="s">
        <v>38</v>
      </c>
      <c r="J482" s="33" t="s">
        <v>2084</v>
      </c>
      <c r="K482" s="33" t="s">
        <v>2085</v>
      </c>
      <c r="L482" s="33">
        <v>508297.5</v>
      </c>
      <c r="M482" s="33">
        <v>0</v>
      </c>
      <c r="N482" s="33">
        <v>0</v>
      </c>
      <c r="O482" s="33">
        <v>3183547.5</v>
      </c>
      <c r="P482" s="33" t="s">
        <v>41</v>
      </c>
      <c r="Q482" s="33" t="s">
        <v>42</v>
      </c>
      <c r="W482" s="33" t="s">
        <v>43</v>
      </c>
      <c r="X482" s="1" t="s">
        <v>710</v>
      </c>
    </row>
    <row r="483" spans="1:24" x14ac:dyDescent="0.2">
      <c r="A483" s="33" t="s">
        <v>31</v>
      </c>
      <c r="B483" s="33" t="s">
        <v>2086</v>
      </c>
      <c r="C483" s="33" t="s">
        <v>2087</v>
      </c>
      <c r="D483" s="33">
        <f t="shared" si="7"/>
        <v>-1</v>
      </c>
      <c r="E483" s="33" t="s">
        <v>34</v>
      </c>
      <c r="F483" s="33" t="s">
        <v>1863</v>
      </c>
      <c r="G483" s="33" t="s">
        <v>2088</v>
      </c>
      <c r="H483" s="33" t="s">
        <v>37</v>
      </c>
      <c r="I483" s="33" t="s">
        <v>38</v>
      </c>
      <c r="J483" s="33" t="s">
        <v>2089</v>
      </c>
      <c r="K483" s="33" t="s">
        <v>2090</v>
      </c>
      <c r="L483" s="33">
        <v>53301.85</v>
      </c>
      <c r="M483" s="33">
        <v>0</v>
      </c>
      <c r="N483" s="33">
        <v>0</v>
      </c>
      <c r="O483" s="33">
        <v>353356.85</v>
      </c>
      <c r="P483" s="33" t="s">
        <v>41</v>
      </c>
      <c r="Q483" s="33" t="s">
        <v>42</v>
      </c>
      <c r="W483" s="33" t="s">
        <v>43</v>
      </c>
      <c r="X483" s="1" t="s">
        <v>459</v>
      </c>
    </row>
    <row r="484" spans="1:24" x14ac:dyDescent="0.2">
      <c r="A484" s="29" t="s">
        <v>31</v>
      </c>
      <c r="B484" s="29" t="s">
        <v>2091</v>
      </c>
      <c r="C484" s="29" t="s">
        <v>2092</v>
      </c>
      <c r="D484" s="29">
        <f t="shared" si="7"/>
        <v>-1</v>
      </c>
      <c r="E484" s="29" t="s">
        <v>34</v>
      </c>
      <c r="F484" s="29" t="s">
        <v>1863</v>
      </c>
      <c r="G484" s="29" t="s">
        <v>2093</v>
      </c>
      <c r="H484" s="29" t="s">
        <v>37</v>
      </c>
      <c r="I484" s="29" t="s">
        <v>38</v>
      </c>
      <c r="J484" s="29" t="s">
        <v>1116</v>
      </c>
      <c r="K484" s="29" t="s">
        <v>1117</v>
      </c>
      <c r="L484" s="29">
        <v>84299.39</v>
      </c>
      <c r="M484" s="29">
        <v>0</v>
      </c>
      <c r="N484" s="29">
        <v>0</v>
      </c>
      <c r="O484" s="29">
        <v>527980.39</v>
      </c>
      <c r="P484" s="29" t="s">
        <v>41</v>
      </c>
      <c r="Q484" s="29" t="s">
        <v>42</v>
      </c>
      <c r="T484" s="1" t="s">
        <v>43</v>
      </c>
    </row>
    <row r="485" spans="1:24" x14ac:dyDescent="0.2">
      <c r="A485" s="28" t="s">
        <v>31</v>
      </c>
      <c r="B485" s="28" t="s">
        <v>2094</v>
      </c>
      <c r="C485" s="28" t="s">
        <v>2095</v>
      </c>
      <c r="D485" s="28">
        <f t="shared" si="7"/>
        <v>-1</v>
      </c>
      <c r="E485" s="28" t="s">
        <v>34</v>
      </c>
      <c r="F485" s="28" t="s">
        <v>1863</v>
      </c>
      <c r="G485" s="28" t="s">
        <v>2096</v>
      </c>
      <c r="H485" s="28" t="s">
        <v>37</v>
      </c>
      <c r="I485" s="28" t="s">
        <v>38</v>
      </c>
      <c r="J485" s="28" t="s">
        <v>244</v>
      </c>
      <c r="K485" s="28" t="s">
        <v>245</v>
      </c>
      <c r="L485" s="28">
        <v>25015.4</v>
      </c>
      <c r="M485" s="28">
        <v>0</v>
      </c>
      <c r="N485" s="28">
        <v>0</v>
      </c>
      <c r="O485" s="28">
        <v>156675.4</v>
      </c>
      <c r="P485" s="28" t="s">
        <v>41</v>
      </c>
      <c r="Q485" s="28" t="s">
        <v>42</v>
      </c>
      <c r="R485" s="1" t="s">
        <v>43</v>
      </c>
    </row>
    <row r="486" spans="1:24" x14ac:dyDescent="0.2">
      <c r="A486" s="1" t="s">
        <v>31</v>
      </c>
      <c r="B486" s="1" t="s">
        <v>2097</v>
      </c>
      <c r="C486" s="1" t="s">
        <v>2098</v>
      </c>
      <c r="D486" s="1">
        <f t="shared" si="7"/>
        <v>-1</v>
      </c>
      <c r="E486" s="1" t="s">
        <v>34</v>
      </c>
      <c r="F486" s="1" t="s">
        <v>1863</v>
      </c>
      <c r="G486" s="1" t="s">
        <v>2099</v>
      </c>
      <c r="H486" s="1" t="s">
        <v>37</v>
      </c>
      <c r="I486" s="1" t="s">
        <v>38</v>
      </c>
      <c r="J486" s="1" t="s">
        <v>2100</v>
      </c>
      <c r="K486" s="1" t="s">
        <v>2101</v>
      </c>
      <c r="L486" s="1">
        <v>51490</v>
      </c>
      <c r="M486" s="1">
        <v>0</v>
      </c>
      <c r="N486" s="1">
        <v>0</v>
      </c>
      <c r="O486" s="1">
        <v>322490</v>
      </c>
      <c r="P486" s="1" t="s">
        <v>41</v>
      </c>
      <c r="Q486" s="1" t="s">
        <v>42</v>
      </c>
      <c r="V486" s="1" t="s">
        <v>43</v>
      </c>
    </row>
    <row r="487" spans="1:24" x14ac:dyDescent="0.2">
      <c r="A487" s="33" t="s">
        <v>31</v>
      </c>
      <c r="B487" s="33" t="s">
        <v>2102</v>
      </c>
      <c r="C487" s="33" t="s">
        <v>2103</v>
      </c>
      <c r="D487" s="33">
        <f t="shared" si="7"/>
        <v>-1</v>
      </c>
      <c r="E487" s="33" t="s">
        <v>34</v>
      </c>
      <c r="F487" s="33" t="s">
        <v>1863</v>
      </c>
      <c r="G487" s="33" t="s">
        <v>2104</v>
      </c>
      <c r="H487" s="33" t="s">
        <v>37</v>
      </c>
      <c r="I487" s="33" t="s">
        <v>38</v>
      </c>
      <c r="J487" s="33" t="s">
        <v>2105</v>
      </c>
      <c r="K487" s="33" t="s">
        <v>2106</v>
      </c>
      <c r="L487" s="33">
        <v>385728.5</v>
      </c>
      <c r="M487" s="33">
        <v>0</v>
      </c>
      <c r="N487" s="33">
        <v>0</v>
      </c>
      <c r="O487" s="33">
        <v>2415878.5</v>
      </c>
      <c r="P487" s="33" t="s">
        <v>41</v>
      </c>
      <c r="Q487" s="33" t="s">
        <v>42</v>
      </c>
      <c r="W487" s="33" t="s">
        <v>161</v>
      </c>
      <c r="X487" s="1" t="s">
        <v>69</v>
      </c>
    </row>
    <row r="488" spans="1:24" x14ac:dyDescent="0.2">
      <c r="A488" s="1" t="s">
        <v>31</v>
      </c>
      <c r="B488" s="1" t="s">
        <v>2107</v>
      </c>
      <c r="C488" s="1" t="s">
        <v>2108</v>
      </c>
      <c r="D488" s="1">
        <f t="shared" si="7"/>
        <v>-1</v>
      </c>
      <c r="E488" s="1" t="s">
        <v>34</v>
      </c>
      <c r="F488" s="1" t="s">
        <v>1863</v>
      </c>
      <c r="G488" s="1" t="s">
        <v>2109</v>
      </c>
      <c r="H488" s="1" t="s">
        <v>37</v>
      </c>
      <c r="I488" s="1" t="s">
        <v>38</v>
      </c>
      <c r="J488" s="1" t="s">
        <v>2110</v>
      </c>
      <c r="K488" s="1" t="s">
        <v>2111</v>
      </c>
      <c r="L488" s="1">
        <v>798000</v>
      </c>
      <c r="M488" s="1">
        <v>0</v>
      </c>
      <c r="N488" s="1">
        <v>0</v>
      </c>
      <c r="O488" s="1">
        <v>4998000</v>
      </c>
      <c r="P488" s="1" t="s">
        <v>41</v>
      </c>
      <c r="Q488" s="1" t="s">
        <v>42</v>
      </c>
      <c r="V488" s="1" t="s">
        <v>43</v>
      </c>
    </row>
    <row r="489" spans="1:24" x14ac:dyDescent="0.2">
      <c r="A489" s="1" t="s">
        <v>31</v>
      </c>
      <c r="B489" s="1" t="s">
        <v>2112</v>
      </c>
      <c r="C489" s="1" t="s">
        <v>2113</v>
      </c>
      <c r="D489" s="1">
        <f t="shared" si="7"/>
        <v>-1</v>
      </c>
      <c r="E489" s="1" t="s">
        <v>34</v>
      </c>
      <c r="F489" s="1" t="s">
        <v>1863</v>
      </c>
      <c r="G489" s="1" t="s">
        <v>2114</v>
      </c>
      <c r="H489" s="1" t="s">
        <v>37</v>
      </c>
      <c r="I489" s="1" t="s">
        <v>38</v>
      </c>
      <c r="J489" s="1" t="s">
        <v>2115</v>
      </c>
      <c r="K489" s="1" t="s">
        <v>2116</v>
      </c>
      <c r="L489" s="1">
        <v>159258.57</v>
      </c>
      <c r="M489" s="1">
        <v>0</v>
      </c>
      <c r="N489" s="1">
        <v>0</v>
      </c>
      <c r="O489" s="1">
        <v>997461.57</v>
      </c>
      <c r="P489" s="1" t="s">
        <v>41</v>
      </c>
      <c r="Q489" s="1" t="s">
        <v>42</v>
      </c>
      <c r="V489" s="1" t="s">
        <v>43</v>
      </c>
    </row>
    <row r="490" spans="1:24" x14ac:dyDescent="0.2">
      <c r="A490" s="1" t="s">
        <v>31</v>
      </c>
      <c r="B490" s="1" t="s">
        <v>2117</v>
      </c>
      <c r="C490" s="1" t="s">
        <v>2118</v>
      </c>
      <c r="D490" s="1">
        <f t="shared" si="7"/>
        <v>-1</v>
      </c>
      <c r="E490" s="1" t="s">
        <v>34</v>
      </c>
      <c r="F490" s="1" t="s">
        <v>1863</v>
      </c>
      <c r="G490" s="1" t="s">
        <v>2119</v>
      </c>
      <c r="H490" s="1" t="s">
        <v>37</v>
      </c>
      <c r="I490" s="1" t="s">
        <v>38</v>
      </c>
      <c r="J490" s="1" t="s">
        <v>2115</v>
      </c>
      <c r="K490" s="1" t="s">
        <v>2116</v>
      </c>
      <c r="L490" s="1">
        <v>161330.9</v>
      </c>
      <c r="M490" s="1">
        <v>0</v>
      </c>
      <c r="N490" s="1">
        <v>0</v>
      </c>
      <c r="O490" s="1">
        <v>1010440.9</v>
      </c>
      <c r="P490" s="1" t="s">
        <v>41</v>
      </c>
      <c r="Q490" s="1" t="s">
        <v>42</v>
      </c>
      <c r="V490" s="1" t="s">
        <v>43</v>
      </c>
    </row>
    <row r="491" spans="1:24" x14ac:dyDescent="0.2">
      <c r="A491" s="33" t="s">
        <v>31</v>
      </c>
      <c r="B491" s="33" t="s">
        <v>2120</v>
      </c>
      <c r="C491" s="33" t="s">
        <v>2121</v>
      </c>
      <c r="D491" s="33">
        <f t="shared" si="7"/>
        <v>-1</v>
      </c>
      <c r="E491" s="33" t="s">
        <v>34</v>
      </c>
      <c r="F491" s="33" t="s">
        <v>1863</v>
      </c>
      <c r="G491" s="33" t="s">
        <v>2122</v>
      </c>
      <c r="H491" s="33" t="s">
        <v>37</v>
      </c>
      <c r="I491" s="33" t="s">
        <v>38</v>
      </c>
      <c r="J491" s="33" t="s">
        <v>2123</v>
      </c>
      <c r="K491" s="33" t="s">
        <v>2124</v>
      </c>
      <c r="L491" s="33">
        <v>2034979.04</v>
      </c>
      <c r="M491" s="33">
        <v>0</v>
      </c>
      <c r="N491" s="33">
        <v>0</v>
      </c>
      <c r="O491" s="33">
        <v>12745395.039999999</v>
      </c>
      <c r="P491" s="33" t="s">
        <v>41</v>
      </c>
      <c r="Q491" s="33" t="s">
        <v>42</v>
      </c>
      <c r="W491" s="33" t="s">
        <v>43</v>
      </c>
      <c r="X491" s="1" t="s">
        <v>173</v>
      </c>
    </row>
    <row r="492" spans="1:24" x14ac:dyDescent="0.2">
      <c r="A492" s="28" t="s">
        <v>31</v>
      </c>
      <c r="B492" s="28" t="s">
        <v>2125</v>
      </c>
      <c r="C492" s="28" t="s">
        <v>2126</v>
      </c>
      <c r="D492" s="28">
        <f t="shared" si="7"/>
        <v>-1</v>
      </c>
      <c r="E492" s="28" t="s">
        <v>34</v>
      </c>
      <c r="F492" s="28" t="s">
        <v>1863</v>
      </c>
      <c r="G492" s="28" t="s">
        <v>2127</v>
      </c>
      <c r="H492" s="28" t="s">
        <v>37</v>
      </c>
      <c r="I492" s="28" t="s">
        <v>38</v>
      </c>
      <c r="J492" s="28" t="s">
        <v>2128</v>
      </c>
      <c r="K492" s="28" t="s">
        <v>2129</v>
      </c>
      <c r="L492" s="28">
        <v>245412.32</v>
      </c>
      <c r="M492" s="28">
        <v>0</v>
      </c>
      <c r="N492" s="28">
        <v>0</v>
      </c>
      <c r="O492" s="28">
        <v>2954460.32</v>
      </c>
      <c r="P492" s="28" t="s">
        <v>41</v>
      </c>
      <c r="Q492" s="28" t="s">
        <v>42</v>
      </c>
      <c r="R492" s="1" t="s">
        <v>43</v>
      </c>
    </row>
    <row r="493" spans="1:24" x14ac:dyDescent="0.2">
      <c r="A493" s="1" t="s">
        <v>31</v>
      </c>
      <c r="B493" s="1" t="s">
        <v>2130</v>
      </c>
      <c r="C493" s="1" t="s">
        <v>2131</v>
      </c>
      <c r="D493" s="1">
        <f t="shared" si="7"/>
        <v>-1</v>
      </c>
      <c r="E493" s="1" t="s">
        <v>34</v>
      </c>
      <c r="F493" s="1" t="s">
        <v>1863</v>
      </c>
      <c r="G493" s="1" t="s">
        <v>2132</v>
      </c>
      <c r="H493" s="1" t="s">
        <v>37</v>
      </c>
      <c r="I493" s="1" t="s">
        <v>38</v>
      </c>
      <c r="J493" s="1" t="s">
        <v>2133</v>
      </c>
      <c r="K493" s="1" t="s">
        <v>2134</v>
      </c>
      <c r="L493" s="1">
        <v>38000</v>
      </c>
      <c r="M493" s="1">
        <v>0</v>
      </c>
      <c r="N493" s="1">
        <v>0</v>
      </c>
      <c r="O493" s="1">
        <v>238000</v>
      </c>
      <c r="P493" s="1" t="s">
        <v>41</v>
      </c>
      <c r="Q493" s="1" t="s">
        <v>42</v>
      </c>
      <c r="V493" s="1" t="s">
        <v>43</v>
      </c>
    </row>
    <row r="494" spans="1:24" x14ac:dyDescent="0.2">
      <c r="A494" s="29" t="s">
        <v>31</v>
      </c>
      <c r="B494" s="29" t="s">
        <v>2135</v>
      </c>
      <c r="C494" s="29" t="s">
        <v>2136</v>
      </c>
      <c r="D494" s="29">
        <f t="shared" si="7"/>
        <v>-1</v>
      </c>
      <c r="E494" s="29" t="s">
        <v>34</v>
      </c>
      <c r="F494" s="29" t="s">
        <v>1863</v>
      </c>
      <c r="G494" s="29" t="s">
        <v>2137</v>
      </c>
      <c r="H494" s="29" t="s">
        <v>37</v>
      </c>
      <c r="I494" s="29" t="s">
        <v>38</v>
      </c>
      <c r="J494" s="29" t="s">
        <v>1856</v>
      </c>
      <c r="K494" s="29" t="s">
        <v>1857</v>
      </c>
      <c r="L494" s="29">
        <v>995372</v>
      </c>
      <c r="M494" s="29">
        <v>0</v>
      </c>
      <c r="N494" s="29">
        <v>0</v>
      </c>
      <c r="O494" s="29">
        <v>6234172</v>
      </c>
      <c r="P494" s="29" t="s">
        <v>41</v>
      </c>
      <c r="Q494" s="29" t="s">
        <v>42</v>
      </c>
      <c r="T494" s="1" t="s">
        <v>161</v>
      </c>
    </row>
    <row r="495" spans="1:24" x14ac:dyDescent="0.2">
      <c r="A495" s="33" t="s">
        <v>31</v>
      </c>
      <c r="B495" s="33" t="s">
        <v>2138</v>
      </c>
      <c r="C495" s="33" t="s">
        <v>2139</v>
      </c>
      <c r="D495" s="33">
        <f t="shared" si="7"/>
        <v>-1</v>
      </c>
      <c r="E495" s="33" t="s">
        <v>34</v>
      </c>
      <c r="F495" s="33" t="s">
        <v>1863</v>
      </c>
      <c r="G495" s="33" t="s">
        <v>2140</v>
      </c>
      <c r="H495" s="33" t="s">
        <v>37</v>
      </c>
      <c r="I495" s="33" t="s">
        <v>38</v>
      </c>
      <c r="J495" s="33" t="s">
        <v>2141</v>
      </c>
      <c r="K495" s="33" t="s">
        <v>2142</v>
      </c>
      <c r="L495" s="33">
        <v>798000</v>
      </c>
      <c r="M495" s="33">
        <v>0</v>
      </c>
      <c r="N495" s="33">
        <v>0</v>
      </c>
      <c r="O495" s="33">
        <v>4998000</v>
      </c>
      <c r="P495" s="33" t="s">
        <v>41</v>
      </c>
      <c r="Q495" s="33" t="s">
        <v>42</v>
      </c>
      <c r="W495" s="33" t="s">
        <v>43</v>
      </c>
      <c r="X495" s="1" t="s">
        <v>791</v>
      </c>
    </row>
    <row r="496" spans="1:24" x14ac:dyDescent="0.2">
      <c r="A496" s="33" t="s">
        <v>31</v>
      </c>
      <c r="B496" s="33" t="s">
        <v>2143</v>
      </c>
      <c r="C496" s="33" t="s">
        <v>2144</v>
      </c>
      <c r="D496" s="33">
        <f t="shared" si="7"/>
        <v>-1</v>
      </c>
      <c r="E496" s="33" t="s">
        <v>34</v>
      </c>
      <c r="F496" s="33" t="s">
        <v>1863</v>
      </c>
      <c r="G496" s="33" t="s">
        <v>2145</v>
      </c>
      <c r="H496" s="33" t="s">
        <v>37</v>
      </c>
      <c r="I496" s="33" t="s">
        <v>38</v>
      </c>
      <c r="J496" s="33" t="s">
        <v>2146</v>
      </c>
      <c r="K496" s="33" t="s">
        <v>2147</v>
      </c>
      <c r="L496" s="33">
        <v>1163497.68</v>
      </c>
      <c r="M496" s="33">
        <v>0</v>
      </c>
      <c r="N496" s="33">
        <v>0</v>
      </c>
      <c r="O496" s="33">
        <v>7287169.6799999997</v>
      </c>
      <c r="P496" s="33" t="s">
        <v>41</v>
      </c>
      <c r="Q496" s="33" t="s">
        <v>42</v>
      </c>
      <c r="W496" s="33" t="s">
        <v>161</v>
      </c>
      <c r="X496" s="1" t="s">
        <v>277</v>
      </c>
    </row>
    <row r="497" spans="1:24" x14ac:dyDescent="0.2">
      <c r="A497" s="33" t="s">
        <v>31</v>
      </c>
      <c r="B497" s="33" t="s">
        <v>2148</v>
      </c>
      <c r="C497" s="33" t="s">
        <v>2149</v>
      </c>
      <c r="D497" s="33">
        <f t="shared" si="7"/>
        <v>-1</v>
      </c>
      <c r="E497" s="33" t="s">
        <v>34</v>
      </c>
      <c r="F497" s="33" t="s">
        <v>1863</v>
      </c>
      <c r="G497" s="33" t="s">
        <v>2150</v>
      </c>
      <c r="H497" s="33" t="s">
        <v>37</v>
      </c>
      <c r="I497" s="33" t="s">
        <v>38</v>
      </c>
      <c r="J497" s="33" t="s">
        <v>2151</v>
      </c>
      <c r="K497" s="33" t="s">
        <v>2152</v>
      </c>
      <c r="L497" s="33">
        <v>375595.8</v>
      </c>
      <c r="M497" s="33">
        <v>0</v>
      </c>
      <c r="N497" s="33">
        <v>0</v>
      </c>
      <c r="O497" s="33">
        <v>2352415.7999999998</v>
      </c>
      <c r="P497" s="33" t="s">
        <v>41</v>
      </c>
      <c r="Q497" s="33" t="s">
        <v>42</v>
      </c>
      <c r="W497" s="33" t="s">
        <v>161</v>
      </c>
      <c r="X497" s="1" t="s">
        <v>1214</v>
      </c>
    </row>
    <row r="498" spans="1:24" x14ac:dyDescent="0.2">
      <c r="A498" s="33" t="s">
        <v>31</v>
      </c>
      <c r="B498" s="33" t="s">
        <v>2153</v>
      </c>
      <c r="C498" s="33" t="s">
        <v>2154</v>
      </c>
      <c r="D498" s="33">
        <f t="shared" si="7"/>
        <v>-1</v>
      </c>
      <c r="E498" s="33" t="s">
        <v>34</v>
      </c>
      <c r="F498" s="33" t="s">
        <v>1863</v>
      </c>
      <c r="G498" s="33" t="s">
        <v>2155</v>
      </c>
      <c r="H498" s="33" t="s">
        <v>37</v>
      </c>
      <c r="I498" s="33" t="s">
        <v>38</v>
      </c>
      <c r="J498" s="33" t="s">
        <v>2146</v>
      </c>
      <c r="K498" s="33" t="s">
        <v>2147</v>
      </c>
      <c r="L498" s="33">
        <v>914115.84</v>
      </c>
      <c r="M498" s="33">
        <v>0</v>
      </c>
      <c r="N498" s="33">
        <v>0</v>
      </c>
      <c r="O498" s="33">
        <v>5725251.8399999999</v>
      </c>
      <c r="P498" s="33" t="s">
        <v>41</v>
      </c>
      <c r="Q498" s="33" t="s">
        <v>42</v>
      </c>
      <c r="W498" s="33" t="s">
        <v>161</v>
      </c>
      <c r="X498" s="1" t="s">
        <v>277</v>
      </c>
    </row>
    <row r="499" spans="1:24" x14ac:dyDescent="0.2">
      <c r="A499" s="33" t="s">
        <v>31</v>
      </c>
      <c r="B499" s="33" t="s">
        <v>2156</v>
      </c>
      <c r="C499" s="33" t="s">
        <v>2157</v>
      </c>
      <c r="D499" s="33">
        <f t="shared" si="7"/>
        <v>-1</v>
      </c>
      <c r="E499" s="33" t="s">
        <v>34</v>
      </c>
      <c r="F499" s="33" t="s">
        <v>1863</v>
      </c>
      <c r="G499" s="33" t="s">
        <v>2158</v>
      </c>
      <c r="H499" s="33" t="s">
        <v>37</v>
      </c>
      <c r="I499" s="33" t="s">
        <v>38</v>
      </c>
      <c r="J499" s="33" t="s">
        <v>2151</v>
      </c>
      <c r="K499" s="33" t="s">
        <v>2152</v>
      </c>
      <c r="L499" s="33">
        <v>313036.78000000003</v>
      </c>
      <c r="M499" s="33">
        <v>0</v>
      </c>
      <c r="N499" s="33">
        <v>0</v>
      </c>
      <c r="O499" s="33">
        <v>1960598.78</v>
      </c>
      <c r="P499" s="33" t="s">
        <v>41</v>
      </c>
      <c r="Q499" s="33" t="s">
        <v>42</v>
      </c>
      <c r="W499" s="33" t="s">
        <v>161</v>
      </c>
      <c r="X499" s="1" t="s">
        <v>1214</v>
      </c>
    </row>
    <row r="500" spans="1:24" x14ac:dyDescent="0.2">
      <c r="A500" s="33" t="s">
        <v>31</v>
      </c>
      <c r="B500" s="33" t="s">
        <v>2159</v>
      </c>
      <c r="C500" s="33" t="s">
        <v>2160</v>
      </c>
      <c r="D500" s="33">
        <f t="shared" si="7"/>
        <v>-1</v>
      </c>
      <c r="E500" s="33" t="s">
        <v>34</v>
      </c>
      <c r="F500" s="33" t="s">
        <v>1863</v>
      </c>
      <c r="G500" s="33" t="s">
        <v>2161</v>
      </c>
      <c r="H500" s="33" t="s">
        <v>37</v>
      </c>
      <c r="I500" s="33" t="s">
        <v>38</v>
      </c>
      <c r="J500" s="33" t="s">
        <v>2162</v>
      </c>
      <c r="K500" s="33" t="s">
        <v>2163</v>
      </c>
      <c r="L500" s="33">
        <v>33630</v>
      </c>
      <c r="M500" s="33">
        <v>0</v>
      </c>
      <c r="N500" s="33">
        <v>0</v>
      </c>
      <c r="O500" s="33">
        <v>210630</v>
      </c>
      <c r="P500" s="33" t="s">
        <v>41</v>
      </c>
      <c r="Q500" s="33" t="s">
        <v>42</v>
      </c>
      <c r="W500" s="33" t="s">
        <v>43</v>
      </c>
      <c r="X500" s="1" t="s">
        <v>399</v>
      </c>
    </row>
    <row r="501" spans="1:24" x14ac:dyDescent="0.2">
      <c r="A501" s="28" t="s">
        <v>31</v>
      </c>
      <c r="B501" s="28" t="s">
        <v>2164</v>
      </c>
      <c r="C501" s="28" t="s">
        <v>2165</v>
      </c>
      <c r="D501" s="28">
        <f t="shared" si="7"/>
        <v>-1</v>
      </c>
      <c r="E501" s="28" t="s">
        <v>34</v>
      </c>
      <c r="F501" s="28" t="s">
        <v>1863</v>
      </c>
      <c r="G501" s="28" t="s">
        <v>2166</v>
      </c>
      <c r="H501" s="28" t="s">
        <v>37</v>
      </c>
      <c r="I501" s="28" t="s">
        <v>38</v>
      </c>
      <c r="J501" s="28" t="s">
        <v>2167</v>
      </c>
      <c r="K501" s="28" t="s">
        <v>2168</v>
      </c>
      <c r="L501" s="28">
        <v>10439035.1</v>
      </c>
      <c r="M501" s="28">
        <v>0</v>
      </c>
      <c r="N501" s="28">
        <v>0</v>
      </c>
      <c r="O501" s="28">
        <v>65381325.100000001</v>
      </c>
      <c r="P501" s="28" t="s">
        <v>41</v>
      </c>
      <c r="Q501" s="28" t="s">
        <v>42</v>
      </c>
      <c r="R501" s="1" t="s">
        <v>43</v>
      </c>
    </row>
    <row r="502" spans="1:24" x14ac:dyDescent="0.2">
      <c r="A502" s="33" t="s">
        <v>31</v>
      </c>
      <c r="B502" s="33" t="s">
        <v>2169</v>
      </c>
      <c r="C502" s="33" t="s">
        <v>2170</v>
      </c>
      <c r="D502" s="33">
        <f t="shared" si="7"/>
        <v>-1</v>
      </c>
      <c r="E502" s="33" t="s">
        <v>34</v>
      </c>
      <c r="F502" s="33" t="s">
        <v>1863</v>
      </c>
      <c r="G502" s="33" t="s">
        <v>2171</v>
      </c>
      <c r="H502" s="33" t="s">
        <v>37</v>
      </c>
      <c r="I502" s="33" t="s">
        <v>38</v>
      </c>
      <c r="J502" s="33" t="s">
        <v>2172</v>
      </c>
      <c r="K502" s="33" t="s">
        <v>2173</v>
      </c>
      <c r="L502" s="33">
        <v>227240</v>
      </c>
      <c r="M502" s="33">
        <v>0</v>
      </c>
      <c r="N502" s="33">
        <v>0</v>
      </c>
      <c r="O502" s="33">
        <v>1423240</v>
      </c>
      <c r="P502" s="33" t="s">
        <v>41</v>
      </c>
      <c r="Q502" s="33" t="s">
        <v>42</v>
      </c>
      <c r="W502" s="33" t="s">
        <v>43</v>
      </c>
      <c r="X502" s="1" t="s">
        <v>129</v>
      </c>
    </row>
    <row r="503" spans="1:24" x14ac:dyDescent="0.2">
      <c r="A503" s="1" t="s">
        <v>31</v>
      </c>
      <c r="B503" s="1" t="s">
        <v>2174</v>
      </c>
      <c r="C503" s="1" t="s">
        <v>2175</v>
      </c>
      <c r="D503" s="1">
        <f t="shared" si="7"/>
        <v>-1</v>
      </c>
      <c r="E503" s="1" t="s">
        <v>34</v>
      </c>
      <c r="F503" s="1" t="s">
        <v>1863</v>
      </c>
      <c r="G503" s="1" t="s">
        <v>2176</v>
      </c>
      <c r="H503" s="1" t="s">
        <v>37</v>
      </c>
      <c r="I503" s="1" t="s">
        <v>38</v>
      </c>
      <c r="J503" s="1" t="s">
        <v>2177</v>
      </c>
      <c r="K503" s="1" t="s">
        <v>2178</v>
      </c>
      <c r="L503" s="1">
        <v>505400</v>
      </c>
      <c r="M503" s="1">
        <v>0</v>
      </c>
      <c r="N503" s="1">
        <v>0</v>
      </c>
      <c r="O503" s="1">
        <v>3165400</v>
      </c>
      <c r="P503" s="1" t="s">
        <v>41</v>
      </c>
      <c r="Q503" s="1" t="s">
        <v>42</v>
      </c>
      <c r="V503" s="1" t="s">
        <v>43</v>
      </c>
    </row>
    <row r="504" spans="1:24" x14ac:dyDescent="0.2">
      <c r="A504" s="33" t="s">
        <v>31</v>
      </c>
      <c r="B504" s="33" t="s">
        <v>2179</v>
      </c>
      <c r="C504" s="33" t="s">
        <v>2180</v>
      </c>
      <c r="D504" s="33">
        <f t="shared" si="7"/>
        <v>-1</v>
      </c>
      <c r="E504" s="33" t="s">
        <v>34</v>
      </c>
      <c r="F504" s="33" t="s">
        <v>1863</v>
      </c>
      <c r="G504" s="33" t="s">
        <v>2181</v>
      </c>
      <c r="H504" s="33" t="s">
        <v>37</v>
      </c>
      <c r="I504" s="33" t="s">
        <v>38</v>
      </c>
      <c r="J504" s="33" t="s">
        <v>2182</v>
      </c>
      <c r="K504" s="33" t="s">
        <v>2183</v>
      </c>
      <c r="L504" s="33">
        <v>96425</v>
      </c>
      <c r="M504" s="33">
        <v>0</v>
      </c>
      <c r="N504" s="33">
        <v>0</v>
      </c>
      <c r="O504" s="33">
        <v>603925</v>
      </c>
      <c r="P504" s="33" t="s">
        <v>41</v>
      </c>
      <c r="Q504" s="33" t="s">
        <v>42</v>
      </c>
      <c r="W504" s="33" t="s">
        <v>43</v>
      </c>
      <c r="X504" s="1" t="s">
        <v>2184</v>
      </c>
    </row>
    <row r="505" spans="1:24" x14ac:dyDescent="0.2">
      <c r="A505" s="33" t="s">
        <v>31</v>
      </c>
      <c r="B505" s="33" t="s">
        <v>2185</v>
      </c>
      <c r="C505" s="33" t="s">
        <v>2186</v>
      </c>
      <c r="D505" s="33">
        <f t="shared" si="7"/>
        <v>-1</v>
      </c>
      <c r="E505" s="33" t="s">
        <v>34</v>
      </c>
      <c r="F505" s="33" t="s">
        <v>1863</v>
      </c>
      <c r="G505" s="33" t="s">
        <v>2187</v>
      </c>
      <c r="H505" s="33" t="s">
        <v>37</v>
      </c>
      <c r="I505" s="33" t="s">
        <v>38</v>
      </c>
      <c r="J505" s="33" t="s">
        <v>2188</v>
      </c>
      <c r="K505" s="33" t="s">
        <v>2189</v>
      </c>
      <c r="L505" s="33">
        <v>724850</v>
      </c>
      <c r="M505" s="33">
        <v>0</v>
      </c>
      <c r="N505" s="33">
        <v>0</v>
      </c>
      <c r="O505" s="33">
        <v>4539850</v>
      </c>
      <c r="P505" s="33" t="s">
        <v>41</v>
      </c>
      <c r="Q505" s="33" t="s">
        <v>42</v>
      </c>
      <c r="W505" s="33" t="s">
        <v>43</v>
      </c>
      <c r="X505" s="1" t="s">
        <v>226</v>
      </c>
    </row>
    <row r="506" spans="1:24" x14ac:dyDescent="0.2">
      <c r="A506" s="33" t="s">
        <v>31</v>
      </c>
      <c r="B506" s="33" t="s">
        <v>2190</v>
      </c>
      <c r="C506" s="33" t="s">
        <v>2191</v>
      </c>
      <c r="D506" s="33">
        <f t="shared" si="7"/>
        <v>-1</v>
      </c>
      <c r="E506" s="33" t="s">
        <v>34</v>
      </c>
      <c r="F506" s="33" t="s">
        <v>1863</v>
      </c>
      <c r="G506" s="33" t="s">
        <v>2192</v>
      </c>
      <c r="H506" s="33" t="s">
        <v>37</v>
      </c>
      <c r="I506" s="33" t="s">
        <v>38</v>
      </c>
      <c r="J506" s="33" t="s">
        <v>1421</v>
      </c>
      <c r="K506" s="33" t="s">
        <v>1422</v>
      </c>
      <c r="L506" s="33">
        <v>143450</v>
      </c>
      <c r="M506" s="33">
        <v>0</v>
      </c>
      <c r="N506" s="33">
        <v>0</v>
      </c>
      <c r="O506" s="33">
        <v>898450</v>
      </c>
      <c r="P506" s="33" t="s">
        <v>41</v>
      </c>
      <c r="Q506" s="33" t="s">
        <v>42</v>
      </c>
      <c r="R506" s="1" t="s">
        <v>43</v>
      </c>
      <c r="X506" s="1" t="s">
        <v>2193</v>
      </c>
    </row>
    <row r="507" spans="1:24" x14ac:dyDescent="0.2">
      <c r="A507" s="1" t="s">
        <v>31</v>
      </c>
      <c r="B507" s="1" t="s">
        <v>2194</v>
      </c>
      <c r="C507" s="1" t="s">
        <v>2195</v>
      </c>
      <c r="D507" s="1">
        <f t="shared" si="7"/>
        <v>-1</v>
      </c>
      <c r="E507" s="1" t="s">
        <v>34</v>
      </c>
      <c r="F507" s="1" t="s">
        <v>2196</v>
      </c>
      <c r="G507" s="1" t="s">
        <v>2197</v>
      </c>
      <c r="H507" s="1" t="s">
        <v>37</v>
      </c>
      <c r="I507" s="1" t="s">
        <v>38</v>
      </c>
      <c r="J507" s="1" t="s">
        <v>2198</v>
      </c>
      <c r="K507" s="1" t="s">
        <v>2199</v>
      </c>
      <c r="L507" s="1">
        <v>5606.52</v>
      </c>
      <c r="M507" s="1">
        <v>0</v>
      </c>
      <c r="N507" s="1">
        <v>0</v>
      </c>
      <c r="O507" s="1">
        <v>35114.519999999997</v>
      </c>
      <c r="P507" s="1" t="s">
        <v>41</v>
      </c>
      <c r="Q507" s="1" t="s">
        <v>42</v>
      </c>
      <c r="V507" s="1" t="s">
        <v>43</v>
      </c>
    </row>
    <row r="508" spans="1:24" x14ac:dyDescent="0.2">
      <c r="A508" s="33" t="s">
        <v>31</v>
      </c>
      <c r="B508" s="33" t="s">
        <v>2200</v>
      </c>
      <c r="C508" s="33" t="s">
        <v>2201</v>
      </c>
      <c r="D508" s="33">
        <f t="shared" si="7"/>
        <v>-1</v>
      </c>
      <c r="E508" s="33" t="s">
        <v>34</v>
      </c>
      <c r="F508" s="33" t="s">
        <v>2196</v>
      </c>
      <c r="G508" s="33" t="s">
        <v>2202</v>
      </c>
      <c r="H508" s="33" t="s">
        <v>37</v>
      </c>
      <c r="I508" s="33" t="s">
        <v>38</v>
      </c>
      <c r="J508" s="33" t="s">
        <v>2203</v>
      </c>
      <c r="K508" s="33" t="s">
        <v>2204</v>
      </c>
      <c r="L508" s="33">
        <v>83581</v>
      </c>
      <c r="M508" s="33">
        <v>0</v>
      </c>
      <c r="N508" s="33">
        <v>0</v>
      </c>
      <c r="O508" s="33">
        <v>523481</v>
      </c>
      <c r="P508" s="33" t="s">
        <v>41</v>
      </c>
      <c r="Q508" s="33" t="s">
        <v>42</v>
      </c>
      <c r="W508" s="33" t="s">
        <v>161</v>
      </c>
      <c r="X508" s="1" t="s">
        <v>69</v>
      </c>
    </row>
    <row r="509" spans="1:24" x14ac:dyDescent="0.2">
      <c r="A509" s="28" t="s">
        <v>31</v>
      </c>
      <c r="B509" s="28" t="s">
        <v>2205</v>
      </c>
      <c r="C509" s="28" t="s">
        <v>2206</v>
      </c>
      <c r="D509" s="28">
        <f t="shared" si="7"/>
        <v>-1</v>
      </c>
      <c r="E509" s="28" t="s">
        <v>34</v>
      </c>
      <c r="F509" s="28" t="s">
        <v>2196</v>
      </c>
      <c r="G509" s="28" t="s">
        <v>2207</v>
      </c>
      <c r="H509" s="28" t="s">
        <v>37</v>
      </c>
      <c r="I509" s="28" t="s">
        <v>38</v>
      </c>
      <c r="J509" s="28" t="s">
        <v>2208</v>
      </c>
      <c r="K509" s="28" t="s">
        <v>2209</v>
      </c>
      <c r="L509" s="28">
        <v>45131.8</v>
      </c>
      <c r="M509" s="28">
        <v>0</v>
      </c>
      <c r="N509" s="28">
        <v>0</v>
      </c>
      <c r="O509" s="28">
        <v>737151.8</v>
      </c>
      <c r="P509" s="28" t="s">
        <v>41</v>
      </c>
      <c r="Q509" s="28" t="s">
        <v>42</v>
      </c>
      <c r="R509" s="1" t="s">
        <v>161</v>
      </c>
    </row>
    <row r="510" spans="1:24" x14ac:dyDescent="0.2">
      <c r="A510" s="33" t="s">
        <v>31</v>
      </c>
      <c r="B510" s="33" t="s">
        <v>2210</v>
      </c>
      <c r="C510" s="33" t="s">
        <v>2211</v>
      </c>
      <c r="D510" s="33">
        <f t="shared" si="7"/>
        <v>-1</v>
      </c>
      <c r="E510" s="33" t="s">
        <v>34</v>
      </c>
      <c r="F510" s="33" t="s">
        <v>2196</v>
      </c>
      <c r="G510" s="33" t="s">
        <v>2212</v>
      </c>
      <c r="H510" s="33" t="s">
        <v>37</v>
      </c>
      <c r="I510" s="33" t="s">
        <v>38</v>
      </c>
      <c r="J510" s="33" t="s">
        <v>1779</v>
      </c>
      <c r="K510" s="33" t="s">
        <v>1780</v>
      </c>
      <c r="L510" s="33">
        <v>63222.5</v>
      </c>
      <c r="M510" s="33">
        <v>0</v>
      </c>
      <c r="N510" s="33">
        <v>0</v>
      </c>
      <c r="O510" s="33">
        <v>395972.5</v>
      </c>
      <c r="P510" s="33" t="s">
        <v>41</v>
      </c>
      <c r="Q510" s="33" t="s">
        <v>42</v>
      </c>
      <c r="W510" s="1" t="s">
        <v>43</v>
      </c>
      <c r="X510" s="1" t="s">
        <v>69</v>
      </c>
    </row>
    <row r="511" spans="1:24" x14ac:dyDescent="0.2">
      <c r="A511" s="33" t="s">
        <v>31</v>
      </c>
      <c r="B511" s="33" t="s">
        <v>2213</v>
      </c>
      <c r="C511" s="33" t="s">
        <v>2214</v>
      </c>
      <c r="D511" s="33">
        <f t="shared" si="7"/>
        <v>-1</v>
      </c>
      <c r="E511" s="33" t="s">
        <v>34</v>
      </c>
      <c r="F511" s="33" t="s">
        <v>2196</v>
      </c>
      <c r="G511" s="33" t="s">
        <v>2215</v>
      </c>
      <c r="H511" s="33" t="s">
        <v>37</v>
      </c>
      <c r="I511" s="33" t="s">
        <v>38</v>
      </c>
      <c r="J511" s="33" t="s">
        <v>1773</v>
      </c>
      <c r="K511" s="33" t="s">
        <v>1774</v>
      </c>
      <c r="L511" s="33">
        <v>5700</v>
      </c>
      <c r="M511" s="33">
        <v>0</v>
      </c>
      <c r="N511" s="33">
        <v>0</v>
      </c>
      <c r="O511" s="33">
        <v>35700</v>
      </c>
      <c r="P511" s="33" t="s">
        <v>41</v>
      </c>
      <c r="Q511" s="33" t="s">
        <v>42</v>
      </c>
      <c r="W511" s="1" t="s">
        <v>43</v>
      </c>
      <c r="X511" s="1" t="s">
        <v>69</v>
      </c>
    </row>
    <row r="512" spans="1:24" x14ac:dyDescent="0.2">
      <c r="A512" s="33" t="s">
        <v>31</v>
      </c>
      <c r="B512" s="33" t="s">
        <v>2216</v>
      </c>
      <c r="C512" s="33" t="s">
        <v>2217</v>
      </c>
      <c r="D512" s="33">
        <f t="shared" si="7"/>
        <v>-1</v>
      </c>
      <c r="E512" s="33" t="s">
        <v>34</v>
      </c>
      <c r="F512" s="33" t="s">
        <v>2196</v>
      </c>
      <c r="G512" s="33" t="s">
        <v>2218</v>
      </c>
      <c r="H512" s="33" t="s">
        <v>37</v>
      </c>
      <c r="I512" s="33" t="s">
        <v>38</v>
      </c>
      <c r="J512" s="33" t="s">
        <v>2219</v>
      </c>
      <c r="K512" s="33" t="s">
        <v>2220</v>
      </c>
      <c r="L512" s="33">
        <v>85500</v>
      </c>
      <c r="M512" s="33">
        <v>0</v>
      </c>
      <c r="N512" s="33">
        <v>0</v>
      </c>
      <c r="O512" s="33">
        <v>535500</v>
      </c>
      <c r="P512" s="33" t="s">
        <v>41</v>
      </c>
      <c r="Q512" s="33" t="s">
        <v>42</v>
      </c>
      <c r="W512" s="33" t="s">
        <v>43</v>
      </c>
      <c r="X512" s="1" t="s">
        <v>173</v>
      </c>
    </row>
    <row r="513" spans="1:24" x14ac:dyDescent="0.2">
      <c r="A513" s="1" t="s">
        <v>31</v>
      </c>
      <c r="B513" s="1" t="s">
        <v>2221</v>
      </c>
      <c r="C513" s="1" t="s">
        <v>2222</v>
      </c>
      <c r="D513" s="1">
        <f t="shared" si="7"/>
        <v>-1</v>
      </c>
      <c r="E513" s="1" t="s">
        <v>34</v>
      </c>
      <c r="F513" s="1" t="s">
        <v>2196</v>
      </c>
      <c r="G513" s="1" t="s">
        <v>2223</v>
      </c>
      <c r="H513" s="1" t="s">
        <v>37</v>
      </c>
      <c r="I513" s="1" t="s">
        <v>38</v>
      </c>
      <c r="J513" s="1" t="s">
        <v>2224</v>
      </c>
      <c r="K513" s="1" t="s">
        <v>2225</v>
      </c>
      <c r="L513" s="1">
        <v>142500</v>
      </c>
      <c r="M513" s="1">
        <v>0</v>
      </c>
      <c r="N513" s="1">
        <v>0</v>
      </c>
      <c r="O513" s="1">
        <v>892500</v>
      </c>
      <c r="P513" s="1" t="s">
        <v>41</v>
      </c>
      <c r="Q513" s="1" t="s">
        <v>42</v>
      </c>
      <c r="V513" s="1" t="s">
        <v>43</v>
      </c>
    </row>
    <row r="514" spans="1:24" x14ac:dyDescent="0.2">
      <c r="A514" s="33" t="s">
        <v>31</v>
      </c>
      <c r="B514" s="33" t="s">
        <v>2226</v>
      </c>
      <c r="C514" s="33" t="s">
        <v>2227</v>
      </c>
      <c r="D514" s="33">
        <f t="shared" si="7"/>
        <v>-1</v>
      </c>
      <c r="E514" s="33" t="s">
        <v>34</v>
      </c>
      <c r="F514" s="33" t="s">
        <v>2196</v>
      </c>
      <c r="G514" s="33" t="s">
        <v>2228</v>
      </c>
      <c r="H514" s="33" t="s">
        <v>37</v>
      </c>
      <c r="I514" s="33" t="s">
        <v>38</v>
      </c>
      <c r="J514" s="33" t="s">
        <v>2229</v>
      </c>
      <c r="K514" s="33" t="s">
        <v>2230</v>
      </c>
      <c r="L514" s="33">
        <v>380000</v>
      </c>
      <c r="M514" s="33">
        <v>0</v>
      </c>
      <c r="N514" s="33">
        <v>0</v>
      </c>
      <c r="O514" s="33">
        <v>2380000</v>
      </c>
      <c r="P514" s="33" t="s">
        <v>41</v>
      </c>
      <c r="Q514" s="33" t="s">
        <v>42</v>
      </c>
      <c r="W514" s="33" t="s">
        <v>43</v>
      </c>
      <c r="X514" s="1" t="s">
        <v>69</v>
      </c>
    </row>
    <row r="515" spans="1:24" x14ac:dyDescent="0.2">
      <c r="A515" s="33" t="s">
        <v>31</v>
      </c>
      <c r="B515" s="33" t="s">
        <v>2231</v>
      </c>
      <c r="C515" s="33" t="s">
        <v>2232</v>
      </c>
      <c r="D515" s="33">
        <f t="shared" si="7"/>
        <v>-1</v>
      </c>
      <c r="E515" s="33" t="s">
        <v>34</v>
      </c>
      <c r="F515" s="33" t="s">
        <v>2196</v>
      </c>
      <c r="G515" s="33" t="s">
        <v>2233</v>
      </c>
      <c r="H515" s="33" t="s">
        <v>37</v>
      </c>
      <c r="I515" s="33" t="s">
        <v>38</v>
      </c>
      <c r="J515" s="33" t="s">
        <v>1421</v>
      </c>
      <c r="K515" s="33" t="s">
        <v>1422</v>
      </c>
      <c r="L515" s="33">
        <v>1906840</v>
      </c>
      <c r="M515" s="33">
        <v>0</v>
      </c>
      <c r="N515" s="33">
        <v>0</v>
      </c>
      <c r="O515" s="33">
        <v>11942840</v>
      </c>
      <c r="P515" s="33" t="s">
        <v>41</v>
      </c>
      <c r="Q515" s="33" t="s">
        <v>42</v>
      </c>
      <c r="R515" s="1" t="s">
        <v>43</v>
      </c>
      <c r="X515" s="1" t="s">
        <v>2193</v>
      </c>
    </row>
    <row r="516" spans="1:24" x14ac:dyDescent="0.2">
      <c r="A516" s="1" t="s">
        <v>31</v>
      </c>
      <c r="B516" s="1" t="s">
        <v>2234</v>
      </c>
      <c r="C516" s="1" t="s">
        <v>2235</v>
      </c>
      <c r="D516" s="1">
        <f t="shared" si="7"/>
        <v>-1</v>
      </c>
      <c r="E516" s="1" t="s">
        <v>34</v>
      </c>
      <c r="F516" s="1" t="s">
        <v>2196</v>
      </c>
      <c r="G516" s="1" t="s">
        <v>2236</v>
      </c>
      <c r="H516" s="1" t="s">
        <v>37</v>
      </c>
      <c r="I516" s="1" t="s">
        <v>38</v>
      </c>
      <c r="J516" s="1" t="s">
        <v>2237</v>
      </c>
      <c r="K516" s="1" t="s">
        <v>2238</v>
      </c>
      <c r="L516" s="1">
        <v>513000</v>
      </c>
      <c r="M516" s="1">
        <v>0</v>
      </c>
      <c r="N516" s="1">
        <v>0</v>
      </c>
      <c r="O516" s="1">
        <v>3213000</v>
      </c>
      <c r="P516" s="1" t="s">
        <v>41</v>
      </c>
      <c r="Q516" s="1" t="s">
        <v>42</v>
      </c>
      <c r="V516" s="1" t="s">
        <v>43</v>
      </c>
    </row>
    <row r="517" spans="1:24" x14ac:dyDescent="0.2">
      <c r="A517" s="28" t="s">
        <v>31</v>
      </c>
      <c r="B517" s="28" t="s">
        <v>2239</v>
      </c>
      <c r="C517" s="28" t="s">
        <v>2240</v>
      </c>
      <c r="D517" s="28">
        <f t="shared" si="7"/>
        <v>-1</v>
      </c>
      <c r="E517" s="28" t="s">
        <v>34</v>
      </c>
      <c r="F517" s="28" t="s">
        <v>2196</v>
      </c>
      <c r="G517" s="28" t="s">
        <v>2241</v>
      </c>
      <c r="H517" s="28" t="s">
        <v>37</v>
      </c>
      <c r="I517" s="28" t="s">
        <v>38</v>
      </c>
      <c r="J517" s="28" t="s">
        <v>2242</v>
      </c>
      <c r="K517" s="28" t="s">
        <v>2243</v>
      </c>
      <c r="L517" s="28">
        <v>33126.5</v>
      </c>
      <c r="M517" s="28">
        <v>0</v>
      </c>
      <c r="N517" s="28">
        <v>0</v>
      </c>
      <c r="O517" s="28">
        <v>207476.5</v>
      </c>
      <c r="P517" s="28" t="s">
        <v>41</v>
      </c>
      <c r="Q517" s="28" t="s">
        <v>42</v>
      </c>
      <c r="R517" s="1" t="s">
        <v>43</v>
      </c>
    </row>
    <row r="518" spans="1:24" x14ac:dyDescent="0.2">
      <c r="A518" s="29" t="s">
        <v>31</v>
      </c>
      <c r="B518" s="29" t="s">
        <v>2244</v>
      </c>
      <c r="C518" s="29" t="s">
        <v>2245</v>
      </c>
      <c r="D518" s="29">
        <f t="shared" si="7"/>
        <v>-1</v>
      </c>
      <c r="E518" s="29" t="s">
        <v>34</v>
      </c>
      <c r="F518" s="29" t="s">
        <v>2196</v>
      </c>
      <c r="G518" s="29" t="s">
        <v>2246</v>
      </c>
      <c r="H518" s="29" t="s">
        <v>37</v>
      </c>
      <c r="I518" s="29" t="s">
        <v>38</v>
      </c>
      <c r="J518" s="29" t="s">
        <v>2247</v>
      </c>
      <c r="K518" s="29" t="s">
        <v>2248</v>
      </c>
      <c r="L518" s="29">
        <v>779000</v>
      </c>
      <c r="M518" s="29">
        <v>0</v>
      </c>
      <c r="N518" s="29">
        <v>0</v>
      </c>
      <c r="O518" s="29">
        <v>4879000</v>
      </c>
      <c r="P518" s="29" t="s">
        <v>41</v>
      </c>
      <c r="Q518" s="29" t="s">
        <v>42</v>
      </c>
      <c r="T518" s="1" t="s">
        <v>161</v>
      </c>
    </row>
    <row r="519" spans="1:24" x14ac:dyDescent="0.2">
      <c r="A519" s="29" t="s">
        <v>31</v>
      </c>
      <c r="B519" s="29" t="s">
        <v>2249</v>
      </c>
      <c r="C519" s="29" t="s">
        <v>2250</v>
      </c>
      <c r="D519" s="29">
        <f t="shared" si="7"/>
        <v>-1</v>
      </c>
      <c r="E519" s="29" t="s">
        <v>34</v>
      </c>
      <c r="F519" s="29" t="s">
        <v>2196</v>
      </c>
      <c r="G519" s="29" t="s">
        <v>2251</v>
      </c>
      <c r="H519" s="29" t="s">
        <v>37</v>
      </c>
      <c r="I519" s="29" t="s">
        <v>38</v>
      </c>
      <c r="J519" s="29" t="s">
        <v>2247</v>
      </c>
      <c r="K519" s="29" t="s">
        <v>2248</v>
      </c>
      <c r="L519" s="29">
        <v>85500</v>
      </c>
      <c r="M519" s="29">
        <v>0</v>
      </c>
      <c r="N519" s="29">
        <v>0</v>
      </c>
      <c r="O519" s="29">
        <v>535500</v>
      </c>
      <c r="P519" s="29" t="s">
        <v>41</v>
      </c>
      <c r="Q519" s="29" t="s">
        <v>42</v>
      </c>
      <c r="T519" s="1" t="s">
        <v>161</v>
      </c>
    </row>
    <row r="520" spans="1:24" x14ac:dyDescent="0.2">
      <c r="A520" s="29" t="s">
        <v>31</v>
      </c>
      <c r="B520" s="29" t="s">
        <v>2252</v>
      </c>
      <c r="C520" s="29" t="s">
        <v>2253</v>
      </c>
      <c r="D520" s="29">
        <f t="shared" si="7"/>
        <v>-1</v>
      </c>
      <c r="E520" s="29" t="s">
        <v>34</v>
      </c>
      <c r="F520" s="29" t="s">
        <v>2196</v>
      </c>
      <c r="G520" s="29" t="s">
        <v>2254</v>
      </c>
      <c r="H520" s="29" t="s">
        <v>37</v>
      </c>
      <c r="I520" s="29" t="s">
        <v>38</v>
      </c>
      <c r="J520" s="29" t="s">
        <v>550</v>
      </c>
      <c r="K520" s="29" t="s">
        <v>551</v>
      </c>
      <c r="L520" s="29">
        <v>6080</v>
      </c>
      <c r="M520" s="29">
        <v>0</v>
      </c>
      <c r="N520" s="29">
        <v>0</v>
      </c>
      <c r="O520" s="29">
        <v>38080</v>
      </c>
      <c r="P520" s="29" t="s">
        <v>41</v>
      </c>
      <c r="Q520" s="29" t="s">
        <v>42</v>
      </c>
      <c r="T520" s="1" t="s">
        <v>161</v>
      </c>
    </row>
    <row r="521" spans="1:24" x14ac:dyDescent="0.2">
      <c r="A521" s="29" t="s">
        <v>31</v>
      </c>
      <c r="B521" s="29" t="s">
        <v>2255</v>
      </c>
      <c r="C521" s="29" t="s">
        <v>2256</v>
      </c>
      <c r="D521" s="29">
        <f t="shared" si="7"/>
        <v>-1</v>
      </c>
      <c r="E521" s="29" t="s">
        <v>34</v>
      </c>
      <c r="F521" s="29" t="s">
        <v>2196</v>
      </c>
      <c r="G521" s="29" t="s">
        <v>2257</v>
      </c>
      <c r="H521" s="29" t="s">
        <v>37</v>
      </c>
      <c r="I521" s="29" t="s">
        <v>38</v>
      </c>
      <c r="J521" s="29" t="s">
        <v>550</v>
      </c>
      <c r="K521" s="29" t="s">
        <v>551</v>
      </c>
      <c r="L521" s="29">
        <v>7448</v>
      </c>
      <c r="M521" s="29">
        <v>0</v>
      </c>
      <c r="N521" s="29">
        <v>0</v>
      </c>
      <c r="O521" s="29">
        <v>46648</v>
      </c>
      <c r="P521" s="29" t="s">
        <v>41</v>
      </c>
      <c r="Q521" s="29" t="s">
        <v>42</v>
      </c>
      <c r="T521" s="1" t="s">
        <v>161</v>
      </c>
    </row>
    <row r="522" spans="1:24" x14ac:dyDescent="0.2">
      <c r="A522" s="29" t="s">
        <v>31</v>
      </c>
      <c r="B522" s="29" t="s">
        <v>2258</v>
      </c>
      <c r="C522" s="29" t="s">
        <v>2259</v>
      </c>
      <c r="D522" s="29">
        <f t="shared" si="7"/>
        <v>-1</v>
      </c>
      <c r="E522" s="29" t="s">
        <v>34</v>
      </c>
      <c r="F522" s="29" t="s">
        <v>2196</v>
      </c>
      <c r="G522" s="29" t="s">
        <v>2260</v>
      </c>
      <c r="H522" s="29" t="s">
        <v>37</v>
      </c>
      <c r="I522" s="29" t="s">
        <v>38</v>
      </c>
      <c r="J522" s="29" t="s">
        <v>550</v>
      </c>
      <c r="K522" s="29" t="s">
        <v>551</v>
      </c>
      <c r="L522" s="29">
        <v>31312</v>
      </c>
      <c r="M522" s="29">
        <v>0</v>
      </c>
      <c r="N522" s="29">
        <v>0</v>
      </c>
      <c r="O522" s="29">
        <v>196112</v>
      </c>
      <c r="P522" s="29" t="s">
        <v>41</v>
      </c>
      <c r="Q522" s="29" t="s">
        <v>42</v>
      </c>
      <c r="T522" s="1" t="s">
        <v>161</v>
      </c>
    </row>
    <row r="523" spans="1:24" x14ac:dyDescent="0.2">
      <c r="A523" s="29" t="s">
        <v>31</v>
      </c>
      <c r="B523" s="29" t="s">
        <v>2261</v>
      </c>
      <c r="C523" s="29" t="s">
        <v>2262</v>
      </c>
      <c r="D523" s="29">
        <f t="shared" ref="D523:D586" si="8">C523-C524</f>
        <v>-1</v>
      </c>
      <c r="E523" s="29" t="s">
        <v>34</v>
      </c>
      <c r="F523" s="29" t="s">
        <v>2196</v>
      </c>
      <c r="G523" s="29" t="s">
        <v>2263</v>
      </c>
      <c r="H523" s="29" t="s">
        <v>37</v>
      </c>
      <c r="I523" s="29" t="s">
        <v>38</v>
      </c>
      <c r="J523" s="29" t="s">
        <v>550</v>
      </c>
      <c r="K523" s="29" t="s">
        <v>551</v>
      </c>
      <c r="L523" s="29">
        <v>32946</v>
      </c>
      <c r="M523" s="29">
        <v>0</v>
      </c>
      <c r="N523" s="29">
        <v>0</v>
      </c>
      <c r="O523" s="29">
        <v>206346</v>
      </c>
      <c r="P523" s="29" t="s">
        <v>41</v>
      </c>
      <c r="Q523" s="29" t="s">
        <v>42</v>
      </c>
      <c r="T523" s="1" t="s">
        <v>161</v>
      </c>
    </row>
    <row r="524" spans="1:24" x14ac:dyDescent="0.2">
      <c r="A524" s="33" t="s">
        <v>31</v>
      </c>
      <c r="B524" s="33" t="s">
        <v>2264</v>
      </c>
      <c r="C524" s="33" t="s">
        <v>2265</v>
      </c>
      <c r="D524" s="33">
        <f t="shared" si="8"/>
        <v>-1</v>
      </c>
      <c r="E524" s="33" t="s">
        <v>34</v>
      </c>
      <c r="F524" s="33" t="s">
        <v>2196</v>
      </c>
      <c r="G524" s="33" t="s">
        <v>2266</v>
      </c>
      <c r="H524" s="33" t="s">
        <v>37</v>
      </c>
      <c r="I524" s="33" t="s">
        <v>38</v>
      </c>
      <c r="J524" s="33" t="s">
        <v>632</v>
      </c>
      <c r="K524" s="33" t="s">
        <v>633</v>
      </c>
      <c r="L524" s="33">
        <v>99565.89</v>
      </c>
      <c r="M524" s="33">
        <v>0</v>
      </c>
      <c r="N524" s="33">
        <v>0</v>
      </c>
      <c r="O524" s="33">
        <v>623596.89</v>
      </c>
      <c r="P524" s="33" t="s">
        <v>41</v>
      </c>
      <c r="Q524" s="33" t="s">
        <v>42</v>
      </c>
      <c r="W524" s="33" t="s">
        <v>43</v>
      </c>
      <c r="X524" s="1" t="s">
        <v>201</v>
      </c>
    </row>
    <row r="525" spans="1:24" x14ac:dyDescent="0.2">
      <c r="A525" s="29" t="s">
        <v>31</v>
      </c>
      <c r="B525" s="29" t="s">
        <v>2267</v>
      </c>
      <c r="C525" s="29" t="s">
        <v>2268</v>
      </c>
      <c r="D525" s="29">
        <f t="shared" si="8"/>
        <v>-1</v>
      </c>
      <c r="E525" s="29" t="s">
        <v>34</v>
      </c>
      <c r="F525" s="29" t="s">
        <v>2196</v>
      </c>
      <c r="G525" s="29" t="s">
        <v>2269</v>
      </c>
      <c r="H525" s="29" t="s">
        <v>37</v>
      </c>
      <c r="I525" s="29" t="s">
        <v>38</v>
      </c>
      <c r="J525" s="29" t="s">
        <v>1116</v>
      </c>
      <c r="K525" s="29" t="s">
        <v>1117</v>
      </c>
      <c r="L525" s="29">
        <v>188375.5</v>
      </c>
      <c r="M525" s="29">
        <v>0</v>
      </c>
      <c r="N525" s="29">
        <v>0</v>
      </c>
      <c r="O525" s="29">
        <v>1179825.5</v>
      </c>
      <c r="P525" s="29" t="s">
        <v>41</v>
      </c>
      <c r="Q525" s="29" t="s">
        <v>42</v>
      </c>
      <c r="T525" s="1" t="s">
        <v>43</v>
      </c>
    </row>
    <row r="526" spans="1:24" x14ac:dyDescent="0.2">
      <c r="A526" s="33" t="s">
        <v>31</v>
      </c>
      <c r="B526" s="33" t="s">
        <v>2270</v>
      </c>
      <c r="C526" s="33" t="s">
        <v>2271</v>
      </c>
      <c r="D526" s="33">
        <f t="shared" si="8"/>
        <v>-1</v>
      </c>
      <c r="E526" s="33" t="s">
        <v>34</v>
      </c>
      <c r="F526" s="33" t="s">
        <v>2196</v>
      </c>
      <c r="G526" s="33" t="s">
        <v>2272</v>
      </c>
      <c r="H526" s="33" t="s">
        <v>37</v>
      </c>
      <c r="I526" s="33" t="s">
        <v>38</v>
      </c>
      <c r="J526" s="33" t="s">
        <v>658</v>
      </c>
      <c r="K526" s="33" t="s">
        <v>659</v>
      </c>
      <c r="L526" s="33">
        <v>2008224</v>
      </c>
      <c r="M526" s="33">
        <v>0</v>
      </c>
      <c r="N526" s="33">
        <v>0</v>
      </c>
      <c r="O526" s="33">
        <v>12577824</v>
      </c>
      <c r="P526" s="33" t="s">
        <v>41</v>
      </c>
      <c r="Q526" s="33" t="s">
        <v>42</v>
      </c>
      <c r="W526" s="33" t="s">
        <v>161</v>
      </c>
      <c r="X526" s="1" t="s">
        <v>791</v>
      </c>
    </row>
    <row r="527" spans="1:24" x14ac:dyDescent="0.2">
      <c r="A527" s="33" t="s">
        <v>31</v>
      </c>
      <c r="B527" s="33" t="s">
        <v>2273</v>
      </c>
      <c r="C527" s="33" t="s">
        <v>2274</v>
      </c>
      <c r="D527" s="33">
        <f t="shared" si="8"/>
        <v>-1</v>
      </c>
      <c r="E527" s="33" t="s">
        <v>34</v>
      </c>
      <c r="F527" s="33" t="s">
        <v>2196</v>
      </c>
      <c r="G527" s="33" t="s">
        <v>2275</v>
      </c>
      <c r="H527" s="33" t="s">
        <v>37</v>
      </c>
      <c r="I527" s="33" t="s">
        <v>38</v>
      </c>
      <c r="J527" s="33" t="s">
        <v>2276</v>
      </c>
      <c r="K527" s="33" t="s">
        <v>2277</v>
      </c>
      <c r="L527" s="33">
        <v>83600</v>
      </c>
      <c r="M527" s="33">
        <v>0</v>
      </c>
      <c r="N527" s="33">
        <v>0</v>
      </c>
      <c r="O527" s="33">
        <v>523600</v>
      </c>
      <c r="P527" s="33" t="s">
        <v>41</v>
      </c>
      <c r="Q527" s="33" t="s">
        <v>42</v>
      </c>
      <c r="W527" s="33" t="s">
        <v>161</v>
      </c>
      <c r="X527" s="1" t="s">
        <v>2278</v>
      </c>
    </row>
    <row r="528" spans="1:24" x14ac:dyDescent="0.2">
      <c r="A528" s="30" t="s">
        <v>31</v>
      </c>
      <c r="B528" s="30" t="s">
        <v>2279</v>
      </c>
      <c r="C528" s="30" t="s">
        <v>2280</v>
      </c>
      <c r="D528" s="30">
        <f t="shared" si="8"/>
        <v>-1</v>
      </c>
      <c r="E528" s="30" t="s">
        <v>34</v>
      </c>
      <c r="F528" s="30" t="s">
        <v>2196</v>
      </c>
      <c r="G528" s="30" t="s">
        <v>2281</v>
      </c>
      <c r="H528" s="30" t="s">
        <v>37</v>
      </c>
      <c r="I528" s="30" t="s">
        <v>38</v>
      </c>
      <c r="J528" s="30" t="s">
        <v>2282</v>
      </c>
      <c r="K528" s="30" t="s">
        <v>2283</v>
      </c>
      <c r="L528" s="30">
        <v>649800</v>
      </c>
      <c r="M528" s="30">
        <v>0</v>
      </c>
      <c r="N528" s="30">
        <v>0</v>
      </c>
      <c r="O528" s="30">
        <v>4069800</v>
      </c>
      <c r="P528" s="30" t="s">
        <v>41</v>
      </c>
      <c r="Q528" s="30" t="s">
        <v>42</v>
      </c>
      <c r="S528" s="1" t="s">
        <v>43</v>
      </c>
    </row>
    <row r="529" spans="1:24" x14ac:dyDescent="0.2">
      <c r="A529" s="33" t="s">
        <v>31</v>
      </c>
      <c r="B529" s="33" t="s">
        <v>2284</v>
      </c>
      <c r="C529" s="33" t="s">
        <v>2285</v>
      </c>
      <c r="D529" s="33">
        <f t="shared" si="8"/>
        <v>-1</v>
      </c>
      <c r="E529" s="33" t="s">
        <v>34</v>
      </c>
      <c r="F529" s="33" t="s">
        <v>2196</v>
      </c>
      <c r="G529" s="33" t="s">
        <v>2286</v>
      </c>
      <c r="H529" s="33" t="s">
        <v>37</v>
      </c>
      <c r="I529" s="33" t="s">
        <v>38</v>
      </c>
      <c r="J529" s="33" t="s">
        <v>1593</v>
      </c>
      <c r="K529" s="33" t="s">
        <v>1594</v>
      </c>
      <c r="L529" s="33">
        <v>72580</v>
      </c>
      <c r="M529" s="33">
        <v>0</v>
      </c>
      <c r="N529" s="33">
        <v>0</v>
      </c>
      <c r="O529" s="33">
        <v>454580</v>
      </c>
      <c r="P529" s="33" t="s">
        <v>41</v>
      </c>
      <c r="Q529" s="33" t="s">
        <v>42</v>
      </c>
      <c r="W529" s="33" t="s">
        <v>43</v>
      </c>
      <c r="X529" s="1" t="s">
        <v>237</v>
      </c>
    </row>
    <row r="530" spans="1:24" x14ac:dyDescent="0.2">
      <c r="A530" s="33" t="s">
        <v>31</v>
      </c>
      <c r="B530" s="33" t="s">
        <v>2287</v>
      </c>
      <c r="C530" s="33" t="s">
        <v>2288</v>
      </c>
      <c r="D530" s="33">
        <f t="shared" si="8"/>
        <v>-1</v>
      </c>
      <c r="E530" s="33" t="s">
        <v>34</v>
      </c>
      <c r="F530" s="33" t="s">
        <v>2196</v>
      </c>
      <c r="G530" s="33" t="s">
        <v>2289</v>
      </c>
      <c r="H530" s="33" t="s">
        <v>37</v>
      </c>
      <c r="I530" s="33" t="s">
        <v>38</v>
      </c>
      <c r="J530" s="33" t="s">
        <v>2290</v>
      </c>
      <c r="K530" s="33" t="s">
        <v>2291</v>
      </c>
      <c r="L530" s="33">
        <v>27930</v>
      </c>
      <c r="M530" s="33">
        <v>0</v>
      </c>
      <c r="N530" s="33">
        <v>0</v>
      </c>
      <c r="O530" s="33">
        <v>174930</v>
      </c>
      <c r="P530" s="33" t="s">
        <v>41</v>
      </c>
      <c r="Q530" s="33" t="s">
        <v>42</v>
      </c>
      <c r="W530" s="33" t="s">
        <v>43</v>
      </c>
      <c r="X530" s="1" t="s">
        <v>784</v>
      </c>
    </row>
    <row r="531" spans="1:24" x14ac:dyDescent="0.2">
      <c r="A531" s="33" t="s">
        <v>31</v>
      </c>
      <c r="B531" s="33" t="s">
        <v>2292</v>
      </c>
      <c r="C531" s="33" t="s">
        <v>2293</v>
      </c>
      <c r="D531" s="33">
        <f t="shared" si="8"/>
        <v>-1</v>
      </c>
      <c r="E531" s="33" t="s">
        <v>34</v>
      </c>
      <c r="F531" s="33" t="s">
        <v>2196</v>
      </c>
      <c r="G531" s="33" t="s">
        <v>2294</v>
      </c>
      <c r="H531" s="33" t="s">
        <v>37</v>
      </c>
      <c r="I531" s="33" t="s">
        <v>38</v>
      </c>
      <c r="J531" s="33" t="s">
        <v>2295</v>
      </c>
      <c r="K531" s="33" t="s">
        <v>2296</v>
      </c>
      <c r="L531" s="33">
        <v>60301.63</v>
      </c>
      <c r="M531" s="33">
        <v>0</v>
      </c>
      <c r="N531" s="33">
        <v>0</v>
      </c>
      <c r="O531" s="33">
        <v>377678.63</v>
      </c>
      <c r="P531" s="33" t="s">
        <v>41</v>
      </c>
      <c r="Q531" s="33" t="s">
        <v>42</v>
      </c>
      <c r="W531" s="33" t="s">
        <v>43</v>
      </c>
      <c r="X531" s="1" t="s">
        <v>742</v>
      </c>
    </row>
    <row r="532" spans="1:24" x14ac:dyDescent="0.2">
      <c r="A532" s="33" t="s">
        <v>31</v>
      </c>
      <c r="B532" s="33" t="s">
        <v>2297</v>
      </c>
      <c r="C532" s="33" t="s">
        <v>2298</v>
      </c>
      <c r="D532" s="33">
        <f t="shared" si="8"/>
        <v>-1</v>
      </c>
      <c r="E532" s="33" t="s">
        <v>34</v>
      </c>
      <c r="F532" s="33" t="s">
        <v>2196</v>
      </c>
      <c r="G532" s="33" t="s">
        <v>2299</v>
      </c>
      <c r="H532" s="33" t="s">
        <v>37</v>
      </c>
      <c r="I532" s="33" t="s">
        <v>38</v>
      </c>
      <c r="J532" s="33" t="s">
        <v>528</v>
      </c>
      <c r="K532" s="33" t="s">
        <v>529</v>
      </c>
      <c r="L532" s="33">
        <v>225150</v>
      </c>
      <c r="M532" s="33">
        <v>0</v>
      </c>
      <c r="N532" s="33">
        <v>0</v>
      </c>
      <c r="O532" s="33">
        <v>1410150</v>
      </c>
      <c r="P532" s="33" t="s">
        <v>41</v>
      </c>
      <c r="Q532" s="33" t="s">
        <v>42</v>
      </c>
      <c r="W532" s="33" t="s">
        <v>43</v>
      </c>
      <c r="X532" s="1" t="s">
        <v>716</v>
      </c>
    </row>
    <row r="533" spans="1:24" x14ac:dyDescent="0.2">
      <c r="A533" s="1" t="s">
        <v>31</v>
      </c>
      <c r="B533" s="1" t="s">
        <v>2300</v>
      </c>
      <c r="C533" s="1" t="s">
        <v>2301</v>
      </c>
      <c r="D533" s="1">
        <f t="shared" si="8"/>
        <v>-1</v>
      </c>
      <c r="E533" s="1" t="s">
        <v>34</v>
      </c>
      <c r="F533" s="1" t="s">
        <v>2196</v>
      </c>
      <c r="G533" s="1" t="s">
        <v>2302</v>
      </c>
      <c r="H533" s="1" t="s">
        <v>37</v>
      </c>
      <c r="I533" s="1" t="s">
        <v>38</v>
      </c>
      <c r="J533" s="1" t="s">
        <v>2303</v>
      </c>
      <c r="K533" s="1" t="s">
        <v>2304</v>
      </c>
      <c r="L533" s="1">
        <v>267140</v>
      </c>
      <c r="M533" s="1">
        <v>0</v>
      </c>
      <c r="N533" s="1">
        <v>0</v>
      </c>
      <c r="O533" s="1">
        <v>1673140</v>
      </c>
      <c r="P533" s="1" t="s">
        <v>41</v>
      </c>
      <c r="Q533" s="1" t="s">
        <v>42</v>
      </c>
      <c r="V533" s="1" t="s">
        <v>43</v>
      </c>
    </row>
    <row r="534" spans="1:24" x14ac:dyDescent="0.2">
      <c r="A534" s="33" t="s">
        <v>31</v>
      </c>
      <c r="B534" s="33" t="s">
        <v>2305</v>
      </c>
      <c r="C534" s="33" t="s">
        <v>2306</v>
      </c>
      <c r="D534" s="33">
        <f t="shared" si="8"/>
        <v>-1</v>
      </c>
      <c r="E534" s="33" t="s">
        <v>34</v>
      </c>
      <c r="F534" s="33" t="s">
        <v>2196</v>
      </c>
      <c r="G534" s="33" t="s">
        <v>2307</v>
      </c>
      <c r="H534" s="33" t="s">
        <v>37</v>
      </c>
      <c r="I534" s="33" t="s">
        <v>38</v>
      </c>
      <c r="J534" s="33" t="s">
        <v>2308</v>
      </c>
      <c r="K534" s="33" t="s">
        <v>2309</v>
      </c>
      <c r="L534" s="33">
        <v>171000</v>
      </c>
      <c r="M534" s="33">
        <v>0</v>
      </c>
      <c r="N534" s="33">
        <v>0</v>
      </c>
      <c r="O534" s="33">
        <v>1071000</v>
      </c>
      <c r="P534" s="33" t="s">
        <v>41</v>
      </c>
      <c r="Q534" s="33" t="s">
        <v>42</v>
      </c>
      <c r="W534" s="33" t="s">
        <v>161</v>
      </c>
      <c r="X534" s="1" t="s">
        <v>226</v>
      </c>
    </row>
    <row r="535" spans="1:24" x14ac:dyDescent="0.2">
      <c r="A535" s="33" t="s">
        <v>31</v>
      </c>
      <c r="B535" s="33" t="s">
        <v>2310</v>
      </c>
      <c r="C535" s="33" t="s">
        <v>2311</v>
      </c>
      <c r="D535" s="33">
        <f t="shared" si="8"/>
        <v>-1</v>
      </c>
      <c r="E535" s="33" t="s">
        <v>34</v>
      </c>
      <c r="F535" s="33" t="s">
        <v>2196</v>
      </c>
      <c r="G535" s="33" t="s">
        <v>2312</v>
      </c>
      <c r="H535" s="33" t="s">
        <v>37</v>
      </c>
      <c r="I535" s="33" t="s">
        <v>38</v>
      </c>
      <c r="J535" s="33" t="s">
        <v>2313</v>
      </c>
      <c r="K535" s="33" t="s">
        <v>2314</v>
      </c>
      <c r="L535" s="33">
        <v>58900</v>
      </c>
      <c r="M535" s="33">
        <v>0</v>
      </c>
      <c r="N535" s="33">
        <v>0</v>
      </c>
      <c r="O535" s="33">
        <v>368900</v>
      </c>
      <c r="P535" s="33" t="s">
        <v>41</v>
      </c>
      <c r="Q535" s="33" t="s">
        <v>42</v>
      </c>
      <c r="W535" s="33" t="s">
        <v>43</v>
      </c>
      <c r="X535" s="1" t="s">
        <v>195</v>
      </c>
    </row>
    <row r="536" spans="1:24" x14ac:dyDescent="0.2">
      <c r="A536" s="33" t="s">
        <v>31</v>
      </c>
      <c r="B536" s="33" t="s">
        <v>2315</v>
      </c>
      <c r="C536" s="33" t="s">
        <v>2316</v>
      </c>
      <c r="D536" s="33">
        <f t="shared" si="8"/>
        <v>-1</v>
      </c>
      <c r="E536" s="33" t="s">
        <v>34</v>
      </c>
      <c r="F536" s="33" t="s">
        <v>2196</v>
      </c>
      <c r="G536" s="33" t="s">
        <v>2317</v>
      </c>
      <c r="H536" s="33" t="s">
        <v>37</v>
      </c>
      <c r="I536" s="33" t="s">
        <v>38</v>
      </c>
      <c r="J536" s="33" t="s">
        <v>2318</v>
      </c>
      <c r="K536" s="33" t="s">
        <v>2319</v>
      </c>
      <c r="L536" s="33">
        <v>974700</v>
      </c>
      <c r="M536" s="33">
        <v>0</v>
      </c>
      <c r="N536" s="33">
        <v>0</v>
      </c>
      <c r="O536" s="33">
        <v>6104700</v>
      </c>
      <c r="P536" s="33" t="s">
        <v>41</v>
      </c>
      <c r="Q536" s="33" t="s">
        <v>42</v>
      </c>
      <c r="W536" s="33" t="s">
        <v>161</v>
      </c>
      <c r="X536" s="1" t="s">
        <v>524</v>
      </c>
    </row>
    <row r="537" spans="1:24" x14ac:dyDescent="0.2">
      <c r="A537" s="29" t="s">
        <v>31</v>
      </c>
      <c r="B537" s="29" t="s">
        <v>2320</v>
      </c>
      <c r="C537" s="29" t="s">
        <v>2321</v>
      </c>
      <c r="D537" s="29">
        <f t="shared" si="8"/>
        <v>-1</v>
      </c>
      <c r="E537" s="29" t="s">
        <v>34</v>
      </c>
      <c r="F537" s="29" t="s">
        <v>2196</v>
      </c>
      <c r="G537" s="29" t="s">
        <v>2322</v>
      </c>
      <c r="H537" s="29" t="s">
        <v>37</v>
      </c>
      <c r="I537" s="29" t="s">
        <v>38</v>
      </c>
      <c r="J537" s="29" t="s">
        <v>610</v>
      </c>
      <c r="K537" s="29" t="s">
        <v>611</v>
      </c>
      <c r="L537" s="29">
        <v>19000</v>
      </c>
      <c r="M537" s="29">
        <v>0</v>
      </c>
      <c r="N537" s="29">
        <v>0</v>
      </c>
      <c r="O537" s="29">
        <v>119000</v>
      </c>
      <c r="P537" s="29" t="s">
        <v>41</v>
      </c>
      <c r="Q537" s="29" t="s">
        <v>42</v>
      </c>
      <c r="T537" s="1" t="s">
        <v>43</v>
      </c>
    </row>
    <row r="538" spans="1:24" x14ac:dyDescent="0.2">
      <c r="A538" s="33" t="s">
        <v>31</v>
      </c>
      <c r="B538" s="33" t="s">
        <v>2323</v>
      </c>
      <c r="C538" s="33" t="s">
        <v>2324</v>
      </c>
      <c r="D538" s="33">
        <f t="shared" si="8"/>
        <v>-1</v>
      </c>
      <c r="E538" s="33" t="s">
        <v>34</v>
      </c>
      <c r="F538" s="33" t="s">
        <v>2196</v>
      </c>
      <c r="G538" s="33" t="s">
        <v>2325</v>
      </c>
      <c r="H538" s="33" t="s">
        <v>37</v>
      </c>
      <c r="I538" s="33" t="s">
        <v>38</v>
      </c>
      <c r="J538" s="33" t="s">
        <v>2326</v>
      </c>
      <c r="K538" s="33" t="s">
        <v>2327</v>
      </c>
      <c r="L538" s="33">
        <v>9222.6</v>
      </c>
      <c r="M538" s="33">
        <v>0</v>
      </c>
      <c r="N538" s="33">
        <v>0</v>
      </c>
      <c r="O538" s="33">
        <v>57762.6</v>
      </c>
      <c r="P538" s="33" t="s">
        <v>41</v>
      </c>
      <c r="Q538" s="33" t="s">
        <v>42</v>
      </c>
      <c r="W538" s="33" t="s">
        <v>161</v>
      </c>
      <c r="X538" s="1" t="s">
        <v>317</v>
      </c>
    </row>
    <row r="539" spans="1:24" x14ac:dyDescent="0.2">
      <c r="A539" s="33" t="s">
        <v>31</v>
      </c>
      <c r="B539" s="33" t="s">
        <v>2328</v>
      </c>
      <c r="C539" s="33" t="s">
        <v>2329</v>
      </c>
      <c r="D539" s="33">
        <f t="shared" si="8"/>
        <v>-1</v>
      </c>
      <c r="E539" s="33" t="s">
        <v>34</v>
      </c>
      <c r="F539" s="33" t="s">
        <v>2196</v>
      </c>
      <c r="G539" s="33" t="s">
        <v>2330</v>
      </c>
      <c r="H539" s="33" t="s">
        <v>37</v>
      </c>
      <c r="I539" s="33" t="s">
        <v>38</v>
      </c>
      <c r="J539" s="33" t="s">
        <v>2331</v>
      </c>
      <c r="K539" s="33" t="s">
        <v>2332</v>
      </c>
      <c r="L539" s="33">
        <v>8831.2000000000007</v>
      </c>
      <c r="M539" s="33">
        <v>0</v>
      </c>
      <c r="N539" s="33">
        <v>0</v>
      </c>
      <c r="O539" s="33">
        <v>55311.199999999997</v>
      </c>
      <c r="P539" s="33" t="s">
        <v>41</v>
      </c>
      <c r="Q539" s="33" t="s">
        <v>42</v>
      </c>
      <c r="W539" s="33" t="s">
        <v>161</v>
      </c>
      <c r="X539" s="1" t="s">
        <v>1681</v>
      </c>
    </row>
    <row r="540" spans="1:24" x14ac:dyDescent="0.2">
      <c r="A540" s="33" t="s">
        <v>31</v>
      </c>
      <c r="B540" s="33" t="s">
        <v>2333</v>
      </c>
      <c r="C540" s="33" t="s">
        <v>2334</v>
      </c>
      <c r="D540" s="33">
        <f t="shared" si="8"/>
        <v>-1</v>
      </c>
      <c r="E540" s="33" t="s">
        <v>34</v>
      </c>
      <c r="F540" s="33" t="s">
        <v>2196</v>
      </c>
      <c r="G540" s="33" t="s">
        <v>2335</v>
      </c>
      <c r="H540" s="33" t="s">
        <v>37</v>
      </c>
      <c r="I540" s="33" t="s">
        <v>38</v>
      </c>
      <c r="J540" s="33" t="s">
        <v>2336</v>
      </c>
      <c r="K540" s="33" t="s">
        <v>2337</v>
      </c>
      <c r="L540" s="33">
        <v>15188.6</v>
      </c>
      <c r="M540" s="33">
        <v>0</v>
      </c>
      <c r="N540" s="33">
        <v>0</v>
      </c>
      <c r="O540" s="33">
        <v>95128.6</v>
      </c>
      <c r="P540" s="33" t="s">
        <v>41</v>
      </c>
      <c r="Q540" s="33" t="s">
        <v>42</v>
      </c>
      <c r="W540" s="33" t="s">
        <v>161</v>
      </c>
      <c r="X540" s="1" t="s">
        <v>201</v>
      </c>
    </row>
    <row r="541" spans="1:24" x14ac:dyDescent="0.2">
      <c r="A541" s="33" t="s">
        <v>31</v>
      </c>
      <c r="B541" s="33" t="s">
        <v>2338</v>
      </c>
      <c r="C541" s="33" t="s">
        <v>2339</v>
      </c>
      <c r="D541" s="33">
        <f t="shared" si="8"/>
        <v>-1</v>
      </c>
      <c r="E541" s="33" t="s">
        <v>34</v>
      </c>
      <c r="F541" s="33" t="s">
        <v>2196</v>
      </c>
      <c r="G541" s="33" t="s">
        <v>2340</v>
      </c>
      <c r="H541" s="33" t="s">
        <v>37</v>
      </c>
      <c r="I541" s="33" t="s">
        <v>38</v>
      </c>
      <c r="J541" s="33" t="s">
        <v>2341</v>
      </c>
      <c r="K541" s="33" t="s">
        <v>2342</v>
      </c>
      <c r="L541" s="33">
        <v>8626494</v>
      </c>
      <c r="M541" s="33">
        <v>0</v>
      </c>
      <c r="N541" s="33">
        <v>0</v>
      </c>
      <c r="O541" s="33">
        <v>54029094</v>
      </c>
      <c r="P541" s="33" t="s">
        <v>41</v>
      </c>
      <c r="Q541" s="33" t="s">
        <v>42</v>
      </c>
      <c r="W541" s="33" t="s">
        <v>43</v>
      </c>
      <c r="X541" s="1" t="s">
        <v>317</v>
      </c>
    </row>
    <row r="542" spans="1:24" x14ac:dyDescent="0.2">
      <c r="A542" s="33" t="s">
        <v>31</v>
      </c>
      <c r="B542" s="33" t="s">
        <v>2343</v>
      </c>
      <c r="C542" s="33" t="s">
        <v>2344</v>
      </c>
      <c r="D542" s="33">
        <f t="shared" si="8"/>
        <v>-1</v>
      </c>
      <c r="E542" s="33" t="s">
        <v>34</v>
      </c>
      <c r="F542" s="33" t="s">
        <v>2196</v>
      </c>
      <c r="G542" s="33" t="s">
        <v>2325</v>
      </c>
      <c r="H542" s="33" t="s">
        <v>37</v>
      </c>
      <c r="I542" s="33" t="s">
        <v>38</v>
      </c>
      <c r="J542" s="33" t="s">
        <v>2345</v>
      </c>
      <c r="K542" s="33" t="s">
        <v>2346</v>
      </c>
      <c r="L542" s="33">
        <v>116698</v>
      </c>
      <c r="M542" s="33">
        <v>0</v>
      </c>
      <c r="N542" s="33">
        <v>0</v>
      </c>
      <c r="O542" s="33">
        <v>730898</v>
      </c>
      <c r="P542" s="33" t="s">
        <v>41</v>
      </c>
      <c r="Q542" s="33" t="s">
        <v>42</v>
      </c>
      <c r="W542" s="33" t="s">
        <v>161</v>
      </c>
      <c r="X542" s="1" t="s">
        <v>742</v>
      </c>
    </row>
    <row r="543" spans="1:24" x14ac:dyDescent="0.2">
      <c r="A543" s="33" t="s">
        <v>31</v>
      </c>
      <c r="B543" s="33" t="s">
        <v>2347</v>
      </c>
      <c r="C543" s="33" t="s">
        <v>2348</v>
      </c>
      <c r="D543" s="33">
        <f t="shared" si="8"/>
        <v>-1</v>
      </c>
      <c r="E543" s="33" t="s">
        <v>34</v>
      </c>
      <c r="F543" s="33" t="s">
        <v>2196</v>
      </c>
      <c r="G543" s="33" t="s">
        <v>2349</v>
      </c>
      <c r="H543" s="33" t="s">
        <v>37</v>
      </c>
      <c r="I543" s="33" t="s">
        <v>38</v>
      </c>
      <c r="J543" s="33" t="s">
        <v>2350</v>
      </c>
      <c r="K543" s="33" t="s">
        <v>2351</v>
      </c>
      <c r="L543" s="33">
        <v>575510</v>
      </c>
      <c r="M543" s="33">
        <v>0</v>
      </c>
      <c r="N543" s="33">
        <v>0</v>
      </c>
      <c r="O543" s="33">
        <v>3604510</v>
      </c>
      <c r="P543" s="33" t="s">
        <v>41</v>
      </c>
      <c r="Q543" s="33" t="s">
        <v>42</v>
      </c>
      <c r="R543" s="1" t="s">
        <v>43</v>
      </c>
      <c r="X543" s="1" t="s">
        <v>2193</v>
      </c>
    </row>
    <row r="544" spans="1:24" x14ac:dyDescent="0.2">
      <c r="A544" s="31" t="s">
        <v>31</v>
      </c>
      <c r="B544" s="31" t="s">
        <v>2352</v>
      </c>
      <c r="C544" s="31">
        <v>105157</v>
      </c>
      <c r="D544" s="31">
        <f t="shared" si="8"/>
        <v>-1</v>
      </c>
      <c r="E544" s="31" t="s">
        <v>34</v>
      </c>
      <c r="F544" s="31" t="s">
        <v>2196</v>
      </c>
      <c r="G544" s="31" t="s">
        <v>2353</v>
      </c>
      <c r="H544" s="31" t="s">
        <v>37</v>
      </c>
      <c r="I544" s="31" t="s">
        <v>38</v>
      </c>
      <c r="J544" s="31" t="s">
        <v>1670</v>
      </c>
      <c r="K544" s="31" t="s">
        <v>1671</v>
      </c>
      <c r="L544" s="31">
        <v>113620</v>
      </c>
      <c r="M544" s="31">
        <v>0</v>
      </c>
      <c r="N544" s="31">
        <v>0</v>
      </c>
      <c r="O544" s="31">
        <v>711620</v>
      </c>
      <c r="P544" s="31" t="s">
        <v>41</v>
      </c>
      <c r="Q544" s="31" t="s">
        <v>42</v>
      </c>
      <c r="U544" s="31" t="s">
        <v>43</v>
      </c>
    </row>
    <row r="545" spans="1:24" x14ac:dyDescent="0.2">
      <c r="A545" s="33" t="s">
        <v>31</v>
      </c>
      <c r="B545" s="33" t="s">
        <v>2354</v>
      </c>
      <c r="C545" s="33" t="s">
        <v>2355</v>
      </c>
      <c r="D545" s="33">
        <f t="shared" si="8"/>
        <v>-1</v>
      </c>
      <c r="E545" s="33" t="s">
        <v>34</v>
      </c>
      <c r="F545" s="33" t="s">
        <v>2196</v>
      </c>
      <c r="G545" s="33" t="s">
        <v>2356</v>
      </c>
      <c r="H545" s="33" t="s">
        <v>37</v>
      </c>
      <c r="I545" s="33" t="s">
        <v>38</v>
      </c>
      <c r="J545" s="33" t="s">
        <v>1670</v>
      </c>
      <c r="K545" s="33" t="s">
        <v>1671</v>
      </c>
      <c r="L545" s="33">
        <v>1937905</v>
      </c>
      <c r="M545" s="33">
        <v>0</v>
      </c>
      <c r="N545" s="33">
        <v>0</v>
      </c>
      <c r="O545" s="33">
        <v>12137405</v>
      </c>
      <c r="P545" s="33" t="s">
        <v>41</v>
      </c>
      <c r="Q545" s="33" t="s">
        <v>42</v>
      </c>
      <c r="W545" s="33" t="s">
        <v>43</v>
      </c>
      <c r="X545" s="1" t="s">
        <v>129</v>
      </c>
    </row>
    <row r="546" spans="1:24" x14ac:dyDescent="0.2">
      <c r="A546" s="29" t="s">
        <v>31</v>
      </c>
      <c r="B546" s="29" t="s">
        <v>2357</v>
      </c>
      <c r="C546" s="29" t="s">
        <v>2358</v>
      </c>
      <c r="D546" s="29">
        <f t="shared" si="8"/>
        <v>-1</v>
      </c>
      <c r="E546" s="29" t="s">
        <v>34</v>
      </c>
      <c r="F546" s="29" t="s">
        <v>2196</v>
      </c>
      <c r="G546" s="29" t="s">
        <v>2359</v>
      </c>
      <c r="H546" s="29" t="s">
        <v>37</v>
      </c>
      <c r="I546" s="29" t="s">
        <v>38</v>
      </c>
      <c r="J546" s="29" t="s">
        <v>2360</v>
      </c>
      <c r="K546" s="29" t="s">
        <v>2361</v>
      </c>
      <c r="L546" s="29">
        <v>101270</v>
      </c>
      <c r="M546" s="29">
        <v>0</v>
      </c>
      <c r="N546" s="29">
        <v>0</v>
      </c>
      <c r="O546" s="29">
        <v>700270</v>
      </c>
      <c r="P546" s="29" t="s">
        <v>41</v>
      </c>
      <c r="Q546" s="29" t="s">
        <v>42</v>
      </c>
      <c r="T546" s="1" t="s">
        <v>43</v>
      </c>
    </row>
    <row r="547" spans="1:24" x14ac:dyDescent="0.2">
      <c r="A547" s="33" t="s">
        <v>31</v>
      </c>
      <c r="B547" s="33" t="s">
        <v>2362</v>
      </c>
      <c r="C547" s="33" t="s">
        <v>2363</v>
      </c>
      <c r="D547" s="33">
        <f t="shared" si="8"/>
        <v>-1</v>
      </c>
      <c r="E547" s="33" t="s">
        <v>34</v>
      </c>
      <c r="F547" s="33" t="s">
        <v>2196</v>
      </c>
      <c r="G547" s="33" t="s">
        <v>2364</v>
      </c>
      <c r="H547" s="33" t="s">
        <v>37</v>
      </c>
      <c r="I547" s="33" t="s">
        <v>38</v>
      </c>
      <c r="J547" s="33" t="s">
        <v>1393</v>
      </c>
      <c r="K547" s="33" t="s">
        <v>1394</v>
      </c>
      <c r="L547" s="33">
        <v>745370</v>
      </c>
      <c r="M547" s="33">
        <v>0</v>
      </c>
      <c r="N547" s="33">
        <v>0</v>
      </c>
      <c r="O547" s="33">
        <v>4668370</v>
      </c>
      <c r="P547" s="33" t="s">
        <v>41</v>
      </c>
      <c r="Q547" s="33" t="s">
        <v>42</v>
      </c>
      <c r="W547" s="33" t="s">
        <v>43</v>
      </c>
      <c r="X547" s="1" t="s">
        <v>226</v>
      </c>
    </row>
    <row r="548" spans="1:24" x14ac:dyDescent="0.2">
      <c r="A548" s="33" t="s">
        <v>31</v>
      </c>
      <c r="B548" s="33" t="s">
        <v>2365</v>
      </c>
      <c r="C548" s="33" t="s">
        <v>2366</v>
      </c>
      <c r="D548" s="33">
        <f t="shared" si="8"/>
        <v>-1</v>
      </c>
      <c r="E548" s="33" t="s">
        <v>34</v>
      </c>
      <c r="F548" s="33" t="s">
        <v>2196</v>
      </c>
      <c r="G548" s="33" t="s">
        <v>2367</v>
      </c>
      <c r="H548" s="33" t="s">
        <v>37</v>
      </c>
      <c r="I548" s="33" t="s">
        <v>38</v>
      </c>
      <c r="J548" s="33" t="s">
        <v>2368</v>
      </c>
      <c r="K548" s="33" t="s">
        <v>2369</v>
      </c>
      <c r="L548" s="33">
        <v>16150</v>
      </c>
      <c r="M548" s="33">
        <v>0</v>
      </c>
      <c r="N548" s="33">
        <v>0</v>
      </c>
      <c r="O548" s="33">
        <v>101150</v>
      </c>
      <c r="P548" s="33" t="s">
        <v>41</v>
      </c>
      <c r="Q548" s="33" t="s">
        <v>42</v>
      </c>
      <c r="W548" s="33" t="s">
        <v>43</v>
      </c>
      <c r="X548" s="1" t="s">
        <v>69</v>
      </c>
    </row>
    <row r="549" spans="1:24" x14ac:dyDescent="0.2">
      <c r="A549" s="33" t="s">
        <v>31</v>
      </c>
      <c r="B549" s="33" t="s">
        <v>2370</v>
      </c>
      <c r="C549" s="33" t="s">
        <v>2371</v>
      </c>
      <c r="D549" s="33">
        <f t="shared" si="8"/>
        <v>-1</v>
      </c>
      <c r="E549" s="33" t="s">
        <v>34</v>
      </c>
      <c r="F549" s="33" t="s">
        <v>2196</v>
      </c>
      <c r="G549" s="33" t="s">
        <v>2372</v>
      </c>
      <c r="H549" s="33" t="s">
        <v>37</v>
      </c>
      <c r="I549" s="33" t="s">
        <v>38</v>
      </c>
      <c r="J549" s="33" t="s">
        <v>652</v>
      </c>
      <c r="K549" s="33" t="s">
        <v>653</v>
      </c>
      <c r="L549" s="33">
        <v>70300</v>
      </c>
      <c r="M549" s="33">
        <v>0</v>
      </c>
      <c r="N549" s="33">
        <v>0</v>
      </c>
      <c r="O549" s="33">
        <v>440300</v>
      </c>
      <c r="P549" s="33" t="s">
        <v>41</v>
      </c>
      <c r="Q549" s="33" t="s">
        <v>42</v>
      </c>
      <c r="W549" s="33" t="s">
        <v>43</v>
      </c>
      <c r="X549" s="1" t="s">
        <v>722</v>
      </c>
    </row>
    <row r="550" spans="1:24" x14ac:dyDescent="0.2">
      <c r="A550" s="33" t="s">
        <v>31</v>
      </c>
      <c r="B550" s="33" t="s">
        <v>2373</v>
      </c>
      <c r="C550" s="33" t="s">
        <v>2374</v>
      </c>
      <c r="D550" s="33">
        <f t="shared" si="8"/>
        <v>-1</v>
      </c>
      <c r="E550" s="33" t="s">
        <v>34</v>
      </c>
      <c r="F550" s="33" t="s">
        <v>2196</v>
      </c>
      <c r="G550" s="33" t="s">
        <v>2375</v>
      </c>
      <c r="H550" s="33" t="s">
        <v>37</v>
      </c>
      <c r="I550" s="33" t="s">
        <v>38</v>
      </c>
      <c r="J550" s="33" t="s">
        <v>620</v>
      </c>
      <c r="K550" s="33" t="s">
        <v>621</v>
      </c>
      <c r="L550" s="33">
        <v>66500</v>
      </c>
      <c r="M550" s="33">
        <v>0</v>
      </c>
      <c r="N550" s="33">
        <v>0</v>
      </c>
      <c r="O550" s="33">
        <v>416500</v>
      </c>
      <c r="P550" s="33" t="s">
        <v>41</v>
      </c>
      <c r="Q550" s="33" t="s">
        <v>42</v>
      </c>
      <c r="W550" s="33" t="s">
        <v>161</v>
      </c>
      <c r="X550" s="1" t="s">
        <v>622</v>
      </c>
    </row>
    <row r="551" spans="1:24" x14ac:dyDescent="0.2">
      <c r="A551" s="33" t="s">
        <v>31</v>
      </c>
      <c r="B551" s="33" t="s">
        <v>2376</v>
      </c>
      <c r="C551" s="33" t="s">
        <v>2377</v>
      </c>
      <c r="D551" s="33">
        <f t="shared" si="8"/>
        <v>-1</v>
      </c>
      <c r="E551" s="33" t="s">
        <v>34</v>
      </c>
      <c r="F551" s="33" t="s">
        <v>2196</v>
      </c>
      <c r="G551" s="33" t="s">
        <v>2378</v>
      </c>
      <c r="H551" s="33" t="s">
        <v>37</v>
      </c>
      <c r="I551" s="33" t="s">
        <v>38</v>
      </c>
      <c r="J551" s="33" t="s">
        <v>2177</v>
      </c>
      <c r="K551" s="33" t="s">
        <v>2178</v>
      </c>
      <c r="L551" s="33">
        <v>48450</v>
      </c>
      <c r="M551" s="33">
        <v>0</v>
      </c>
      <c r="N551" s="33">
        <v>0</v>
      </c>
      <c r="O551" s="33">
        <v>303450</v>
      </c>
      <c r="P551" s="33" t="s">
        <v>41</v>
      </c>
      <c r="Q551" s="33" t="s">
        <v>42</v>
      </c>
      <c r="W551" s="33" t="s">
        <v>43</v>
      </c>
      <c r="X551" s="1" t="s">
        <v>784</v>
      </c>
    </row>
    <row r="552" spans="1:24" x14ac:dyDescent="0.2">
      <c r="A552" s="33" t="s">
        <v>31</v>
      </c>
      <c r="B552" s="33" t="s">
        <v>2379</v>
      </c>
      <c r="C552" s="33" t="s">
        <v>2380</v>
      </c>
      <c r="D552" s="33">
        <f t="shared" si="8"/>
        <v>-1</v>
      </c>
      <c r="E552" s="33" t="s">
        <v>34</v>
      </c>
      <c r="F552" s="33" t="s">
        <v>2196</v>
      </c>
      <c r="G552" s="33" t="s">
        <v>2381</v>
      </c>
      <c r="H552" s="33" t="s">
        <v>37</v>
      </c>
      <c r="I552" s="33" t="s">
        <v>38</v>
      </c>
      <c r="J552" s="33" t="s">
        <v>2382</v>
      </c>
      <c r="K552" s="33" t="s">
        <v>2383</v>
      </c>
      <c r="L552" s="33">
        <v>1891515.1</v>
      </c>
      <c r="M552" s="33">
        <v>0</v>
      </c>
      <c r="N552" s="33">
        <v>0</v>
      </c>
      <c r="O552" s="33">
        <v>21985805.100000001</v>
      </c>
      <c r="P552" s="33" t="s">
        <v>41</v>
      </c>
      <c r="Q552" s="33" t="s">
        <v>42</v>
      </c>
      <c r="W552" s="33" t="s">
        <v>161</v>
      </c>
      <c r="X552" s="1" t="s">
        <v>2384</v>
      </c>
    </row>
    <row r="553" spans="1:24" x14ac:dyDescent="0.2">
      <c r="A553" s="33" t="s">
        <v>31</v>
      </c>
      <c r="B553" s="33" t="s">
        <v>2385</v>
      </c>
      <c r="C553" s="33" t="s">
        <v>2386</v>
      </c>
      <c r="D553" s="33">
        <f t="shared" si="8"/>
        <v>-1</v>
      </c>
      <c r="E553" s="33" t="s">
        <v>34</v>
      </c>
      <c r="F553" s="33" t="s">
        <v>2196</v>
      </c>
      <c r="G553" s="33" t="s">
        <v>2387</v>
      </c>
      <c r="H553" s="33" t="s">
        <v>37</v>
      </c>
      <c r="I553" s="33" t="s">
        <v>38</v>
      </c>
      <c r="J553" s="33" t="s">
        <v>2382</v>
      </c>
      <c r="K553" s="33" t="s">
        <v>2383</v>
      </c>
      <c r="L553" s="33">
        <v>105231.5</v>
      </c>
      <c r="M553" s="33">
        <v>0</v>
      </c>
      <c r="N553" s="33">
        <v>0</v>
      </c>
      <c r="O553" s="33">
        <v>659081.5</v>
      </c>
      <c r="P553" s="33" t="s">
        <v>41</v>
      </c>
      <c r="Q553" s="33" t="s">
        <v>42</v>
      </c>
      <c r="W553" s="33" t="s">
        <v>161</v>
      </c>
      <c r="X553" s="1" t="s">
        <v>2384</v>
      </c>
    </row>
    <row r="554" spans="1:24" x14ac:dyDescent="0.2">
      <c r="A554" s="28" t="s">
        <v>31</v>
      </c>
      <c r="B554" s="28" t="s">
        <v>2388</v>
      </c>
      <c r="C554" s="28" t="s">
        <v>2389</v>
      </c>
      <c r="D554" s="28">
        <f t="shared" si="8"/>
        <v>-1</v>
      </c>
      <c r="E554" s="28" t="s">
        <v>34</v>
      </c>
      <c r="F554" s="28" t="s">
        <v>2196</v>
      </c>
      <c r="G554" s="28" t="s">
        <v>2390</v>
      </c>
      <c r="H554" s="28" t="s">
        <v>37</v>
      </c>
      <c r="I554" s="28" t="s">
        <v>38</v>
      </c>
      <c r="J554" s="28" t="s">
        <v>2391</v>
      </c>
      <c r="K554" s="28" t="s">
        <v>2392</v>
      </c>
      <c r="L554" s="28">
        <v>1307200</v>
      </c>
      <c r="M554" s="28">
        <v>0</v>
      </c>
      <c r="N554" s="28">
        <v>0</v>
      </c>
      <c r="O554" s="28">
        <v>8187200</v>
      </c>
      <c r="P554" s="28" t="s">
        <v>41</v>
      </c>
      <c r="Q554" s="28" t="s">
        <v>42</v>
      </c>
      <c r="R554" s="1" t="s">
        <v>43</v>
      </c>
    </row>
    <row r="555" spans="1:24" x14ac:dyDescent="0.2">
      <c r="A555" s="33" t="s">
        <v>31</v>
      </c>
      <c r="B555" s="33" t="s">
        <v>2393</v>
      </c>
      <c r="C555" s="33" t="s">
        <v>2394</v>
      </c>
      <c r="D555" s="33">
        <f t="shared" si="8"/>
        <v>-1</v>
      </c>
      <c r="E555" s="33" t="s">
        <v>34</v>
      </c>
      <c r="F555" s="33" t="s">
        <v>2196</v>
      </c>
      <c r="G555" s="33" t="s">
        <v>2395</v>
      </c>
      <c r="H555" s="33" t="s">
        <v>37</v>
      </c>
      <c r="I555" s="33" t="s">
        <v>38</v>
      </c>
      <c r="J555" s="33" t="s">
        <v>1064</v>
      </c>
      <c r="K555" s="33" t="s">
        <v>1065</v>
      </c>
      <c r="L555" s="33">
        <v>0</v>
      </c>
      <c r="M555" s="33">
        <v>0</v>
      </c>
      <c r="N555" s="33">
        <v>0</v>
      </c>
      <c r="O555" s="33">
        <v>345000</v>
      </c>
      <c r="P555" s="33" t="s">
        <v>41</v>
      </c>
      <c r="Q555" s="33" t="s">
        <v>42</v>
      </c>
      <c r="W555" s="33" t="s">
        <v>43</v>
      </c>
      <c r="X555" s="1" t="s">
        <v>226</v>
      </c>
    </row>
    <row r="556" spans="1:24" x14ac:dyDescent="0.2">
      <c r="A556" s="33" t="s">
        <v>31</v>
      </c>
      <c r="B556" s="33" t="s">
        <v>2396</v>
      </c>
      <c r="C556" s="33" t="s">
        <v>2397</v>
      </c>
      <c r="D556" s="33">
        <f t="shared" si="8"/>
        <v>-1</v>
      </c>
      <c r="E556" s="33" t="s">
        <v>34</v>
      </c>
      <c r="F556" s="33" t="s">
        <v>2196</v>
      </c>
      <c r="G556" s="33" t="s">
        <v>2398</v>
      </c>
      <c r="H556" s="33" t="s">
        <v>37</v>
      </c>
      <c r="I556" s="33" t="s">
        <v>38</v>
      </c>
      <c r="J556" s="33" t="s">
        <v>2399</v>
      </c>
      <c r="K556" s="33" t="s">
        <v>2400</v>
      </c>
      <c r="L556" s="33">
        <v>463600</v>
      </c>
      <c r="M556" s="33">
        <v>0</v>
      </c>
      <c r="N556" s="33">
        <v>0</v>
      </c>
      <c r="O556" s="33">
        <v>2903600</v>
      </c>
      <c r="P556" s="33" t="s">
        <v>41</v>
      </c>
      <c r="Q556" s="33" t="s">
        <v>42</v>
      </c>
      <c r="W556" s="33" t="s">
        <v>43</v>
      </c>
      <c r="X556" s="1" t="s">
        <v>317</v>
      </c>
    </row>
    <row r="557" spans="1:24" x14ac:dyDescent="0.2">
      <c r="A557" s="1" t="s">
        <v>31</v>
      </c>
      <c r="B557" s="1" t="s">
        <v>2401</v>
      </c>
      <c r="C557" s="1" t="s">
        <v>2402</v>
      </c>
      <c r="D557" s="1">
        <f t="shared" si="8"/>
        <v>-1</v>
      </c>
      <c r="E557" s="1" t="s">
        <v>34</v>
      </c>
      <c r="F557" s="1" t="s">
        <v>2196</v>
      </c>
      <c r="G557" s="1" t="s">
        <v>2403</v>
      </c>
      <c r="H557" s="1" t="s">
        <v>37</v>
      </c>
      <c r="I557" s="1" t="s">
        <v>38</v>
      </c>
      <c r="J557" s="1" t="s">
        <v>2404</v>
      </c>
      <c r="K557" s="1" t="s">
        <v>2405</v>
      </c>
      <c r="L557" s="1">
        <v>61750</v>
      </c>
      <c r="M557" s="1">
        <v>0</v>
      </c>
      <c r="N557" s="1">
        <v>0</v>
      </c>
      <c r="O557" s="1">
        <v>386750</v>
      </c>
      <c r="P557" s="1" t="s">
        <v>41</v>
      </c>
      <c r="Q557" s="1" t="s">
        <v>42</v>
      </c>
      <c r="V557" s="1" t="s">
        <v>43</v>
      </c>
    </row>
    <row r="558" spans="1:24" x14ac:dyDescent="0.2">
      <c r="A558" s="33" t="s">
        <v>31</v>
      </c>
      <c r="B558" s="33" t="s">
        <v>2406</v>
      </c>
      <c r="C558" s="33" t="s">
        <v>2407</v>
      </c>
      <c r="D558" s="33">
        <f t="shared" si="8"/>
        <v>-1</v>
      </c>
      <c r="E558" s="33" t="s">
        <v>34</v>
      </c>
      <c r="F558" s="33" t="s">
        <v>2196</v>
      </c>
      <c r="G558" s="33" t="s">
        <v>2408</v>
      </c>
      <c r="H558" s="33" t="s">
        <v>37</v>
      </c>
      <c r="I558" s="33" t="s">
        <v>38</v>
      </c>
      <c r="J558" s="33" t="s">
        <v>2409</v>
      </c>
      <c r="K558" s="33" t="s">
        <v>2410</v>
      </c>
      <c r="L558" s="33">
        <v>1558000</v>
      </c>
      <c r="M558" s="33">
        <v>0</v>
      </c>
      <c r="N558" s="33">
        <v>0</v>
      </c>
      <c r="O558" s="33">
        <v>9758000</v>
      </c>
      <c r="P558" s="33" t="s">
        <v>41</v>
      </c>
      <c r="Q558" s="33" t="s">
        <v>42</v>
      </c>
      <c r="W558" s="33" t="s">
        <v>43</v>
      </c>
      <c r="X558" s="1" t="s">
        <v>459</v>
      </c>
    </row>
    <row r="559" spans="1:24" x14ac:dyDescent="0.2">
      <c r="A559" s="33" t="s">
        <v>31</v>
      </c>
      <c r="B559" s="33" t="s">
        <v>2411</v>
      </c>
      <c r="C559" s="33" t="s">
        <v>2412</v>
      </c>
      <c r="D559" s="33">
        <f t="shared" si="8"/>
        <v>-1</v>
      </c>
      <c r="E559" s="33" t="s">
        <v>34</v>
      </c>
      <c r="F559" s="33" t="s">
        <v>2196</v>
      </c>
      <c r="G559" s="33" t="s">
        <v>2413</v>
      </c>
      <c r="H559" s="33" t="s">
        <v>37</v>
      </c>
      <c r="I559" s="33" t="s">
        <v>38</v>
      </c>
      <c r="J559" s="33" t="s">
        <v>1373</v>
      </c>
      <c r="K559" s="33" t="s">
        <v>1374</v>
      </c>
      <c r="L559" s="33">
        <v>300675</v>
      </c>
      <c r="M559" s="33">
        <v>0</v>
      </c>
      <c r="N559" s="33">
        <v>0</v>
      </c>
      <c r="O559" s="33">
        <v>1883175</v>
      </c>
      <c r="P559" s="33" t="s">
        <v>41</v>
      </c>
      <c r="Q559" s="33" t="s">
        <v>42</v>
      </c>
      <c r="W559" s="33" t="s">
        <v>43</v>
      </c>
      <c r="X559" s="1" t="s">
        <v>317</v>
      </c>
    </row>
    <row r="560" spans="1:24" x14ac:dyDescent="0.2">
      <c r="A560" s="33" t="s">
        <v>31</v>
      </c>
      <c r="B560" s="33" t="s">
        <v>2414</v>
      </c>
      <c r="C560" s="33" t="s">
        <v>2415</v>
      </c>
      <c r="D560" s="33">
        <f t="shared" si="8"/>
        <v>-1</v>
      </c>
      <c r="E560" s="33" t="s">
        <v>34</v>
      </c>
      <c r="F560" s="33" t="s">
        <v>2196</v>
      </c>
      <c r="G560" s="33" t="s">
        <v>2416</v>
      </c>
      <c r="H560" s="33" t="s">
        <v>37</v>
      </c>
      <c r="I560" s="33" t="s">
        <v>38</v>
      </c>
      <c r="J560" s="33" t="s">
        <v>2417</v>
      </c>
      <c r="K560" s="33" t="s">
        <v>2418</v>
      </c>
      <c r="L560" s="33">
        <v>794274.67</v>
      </c>
      <c r="M560" s="33">
        <v>0</v>
      </c>
      <c r="N560" s="33">
        <v>0</v>
      </c>
      <c r="O560" s="33">
        <v>5479667.6699999999</v>
      </c>
      <c r="P560" s="33" t="s">
        <v>41</v>
      </c>
      <c r="Q560" s="33" t="s">
        <v>42</v>
      </c>
      <c r="W560" s="33" t="s">
        <v>43</v>
      </c>
      <c r="X560" s="1" t="s">
        <v>784</v>
      </c>
    </row>
    <row r="561" spans="1:24" x14ac:dyDescent="0.2">
      <c r="A561" s="33" t="s">
        <v>31</v>
      </c>
      <c r="B561" s="33" t="s">
        <v>2419</v>
      </c>
      <c r="C561" s="33" t="s">
        <v>2420</v>
      </c>
      <c r="D561" s="33">
        <f t="shared" si="8"/>
        <v>-1</v>
      </c>
      <c r="E561" s="33" t="s">
        <v>34</v>
      </c>
      <c r="F561" s="33" t="s">
        <v>2196</v>
      </c>
      <c r="G561" s="33" t="s">
        <v>2421</v>
      </c>
      <c r="H561" s="33" t="s">
        <v>37</v>
      </c>
      <c r="I561" s="33" t="s">
        <v>38</v>
      </c>
      <c r="J561" s="33" t="s">
        <v>2417</v>
      </c>
      <c r="K561" s="33" t="s">
        <v>2418</v>
      </c>
      <c r="L561" s="33">
        <v>794274.67</v>
      </c>
      <c r="M561" s="33">
        <v>0</v>
      </c>
      <c r="N561" s="33">
        <v>0</v>
      </c>
      <c r="O561" s="33">
        <v>5479667.6699999999</v>
      </c>
      <c r="P561" s="33" t="s">
        <v>41</v>
      </c>
      <c r="Q561" s="33" t="s">
        <v>42</v>
      </c>
      <c r="W561" s="33" t="s">
        <v>43</v>
      </c>
      <c r="X561" s="1" t="s">
        <v>784</v>
      </c>
    </row>
    <row r="562" spans="1:24" x14ac:dyDescent="0.2">
      <c r="A562" s="33" t="s">
        <v>31</v>
      </c>
      <c r="B562" s="33" t="s">
        <v>2422</v>
      </c>
      <c r="C562" s="33" t="s">
        <v>2423</v>
      </c>
      <c r="D562" s="33">
        <f t="shared" si="8"/>
        <v>-1</v>
      </c>
      <c r="E562" s="33" t="s">
        <v>34</v>
      </c>
      <c r="F562" s="33" t="s">
        <v>2196</v>
      </c>
      <c r="G562" s="33" t="s">
        <v>2424</v>
      </c>
      <c r="H562" s="33" t="s">
        <v>37</v>
      </c>
      <c r="I562" s="33" t="s">
        <v>38</v>
      </c>
      <c r="J562" s="33" t="s">
        <v>2425</v>
      </c>
      <c r="K562" s="33" t="s">
        <v>2426</v>
      </c>
      <c r="L562" s="33">
        <v>0</v>
      </c>
      <c r="M562" s="33">
        <v>0</v>
      </c>
      <c r="N562" s="33">
        <v>0</v>
      </c>
      <c r="O562" s="33">
        <v>505000</v>
      </c>
      <c r="P562" s="33" t="s">
        <v>41</v>
      </c>
      <c r="Q562" s="33" t="s">
        <v>42</v>
      </c>
      <c r="W562" s="33" t="s">
        <v>43</v>
      </c>
      <c r="X562" s="1" t="s">
        <v>784</v>
      </c>
    </row>
    <row r="563" spans="1:24" x14ac:dyDescent="0.2">
      <c r="A563" s="33" t="s">
        <v>31</v>
      </c>
      <c r="B563" s="33" t="s">
        <v>2427</v>
      </c>
      <c r="C563" s="33" t="s">
        <v>2428</v>
      </c>
      <c r="D563" s="33">
        <f t="shared" si="8"/>
        <v>-1</v>
      </c>
      <c r="E563" s="33" t="s">
        <v>34</v>
      </c>
      <c r="F563" s="33" t="s">
        <v>2196</v>
      </c>
      <c r="G563" s="33" t="s">
        <v>2429</v>
      </c>
      <c r="H563" s="33" t="s">
        <v>37</v>
      </c>
      <c r="I563" s="33" t="s">
        <v>38</v>
      </c>
      <c r="J563" s="33" t="s">
        <v>2430</v>
      </c>
      <c r="K563" s="33" t="s">
        <v>2431</v>
      </c>
      <c r="L563" s="33">
        <v>0</v>
      </c>
      <c r="M563" s="33">
        <v>0</v>
      </c>
      <c r="N563" s="33">
        <v>0</v>
      </c>
      <c r="O563" s="33">
        <v>45466527.600000001</v>
      </c>
      <c r="P563" s="33" t="s">
        <v>41</v>
      </c>
      <c r="Q563" s="33" t="s">
        <v>42</v>
      </c>
      <c r="W563" s="33" t="s">
        <v>43</v>
      </c>
      <c r="X563" s="1" t="s">
        <v>1719</v>
      </c>
    </row>
    <row r="564" spans="1:24" x14ac:dyDescent="0.2">
      <c r="A564" s="33" t="s">
        <v>31</v>
      </c>
      <c r="B564" s="33" t="s">
        <v>2432</v>
      </c>
      <c r="C564" s="33" t="s">
        <v>2433</v>
      </c>
      <c r="D564" s="33">
        <f t="shared" si="8"/>
        <v>-1</v>
      </c>
      <c r="E564" s="33" t="s">
        <v>34</v>
      </c>
      <c r="F564" s="33" t="s">
        <v>2196</v>
      </c>
      <c r="G564" s="33" t="s">
        <v>2434</v>
      </c>
      <c r="H564" s="33" t="s">
        <v>37</v>
      </c>
      <c r="I564" s="33" t="s">
        <v>38</v>
      </c>
      <c r="J564" s="33" t="s">
        <v>1421</v>
      </c>
      <c r="K564" s="33" t="s">
        <v>1422</v>
      </c>
      <c r="L564" s="33">
        <v>1191300</v>
      </c>
      <c r="M564" s="33">
        <v>0</v>
      </c>
      <c r="N564" s="33">
        <v>0</v>
      </c>
      <c r="O564" s="33">
        <v>7461300</v>
      </c>
      <c r="P564" s="33" t="s">
        <v>41</v>
      </c>
      <c r="Q564" s="33" t="s">
        <v>42</v>
      </c>
      <c r="R564" s="1" t="s">
        <v>43</v>
      </c>
      <c r="X564" s="1" t="s">
        <v>2193</v>
      </c>
    </row>
    <row r="565" spans="1:24" x14ac:dyDescent="0.2">
      <c r="A565" s="33" t="s">
        <v>31</v>
      </c>
      <c r="B565" s="33" t="s">
        <v>2435</v>
      </c>
      <c r="C565" s="33" t="s">
        <v>2436</v>
      </c>
      <c r="D565" s="33">
        <f t="shared" si="8"/>
        <v>-1</v>
      </c>
      <c r="E565" s="33" t="s">
        <v>34</v>
      </c>
      <c r="F565" s="33" t="s">
        <v>2196</v>
      </c>
      <c r="G565" s="33" t="s">
        <v>2437</v>
      </c>
      <c r="H565" s="33" t="s">
        <v>37</v>
      </c>
      <c r="I565" s="33" t="s">
        <v>38</v>
      </c>
      <c r="J565" s="33" t="s">
        <v>2438</v>
      </c>
      <c r="K565" s="33" t="s">
        <v>2439</v>
      </c>
      <c r="L565" s="33">
        <v>68301.23</v>
      </c>
      <c r="M565" s="33">
        <v>0</v>
      </c>
      <c r="N565" s="33">
        <v>0</v>
      </c>
      <c r="O565" s="33">
        <v>453830.23</v>
      </c>
      <c r="P565" s="33" t="s">
        <v>41</v>
      </c>
      <c r="Q565" s="33" t="s">
        <v>42</v>
      </c>
      <c r="W565" s="33" t="s">
        <v>43</v>
      </c>
    </row>
    <row r="566" spans="1:24" x14ac:dyDescent="0.2">
      <c r="A566" s="33" t="s">
        <v>31</v>
      </c>
      <c r="B566" s="33" t="s">
        <v>2440</v>
      </c>
      <c r="C566" s="33" t="s">
        <v>2441</v>
      </c>
      <c r="D566" s="33">
        <f t="shared" si="8"/>
        <v>-1</v>
      </c>
      <c r="E566" s="33" t="s">
        <v>34</v>
      </c>
      <c r="F566" s="33" t="s">
        <v>2196</v>
      </c>
      <c r="G566" s="33" t="s">
        <v>2442</v>
      </c>
      <c r="H566" s="33" t="s">
        <v>37</v>
      </c>
      <c r="I566" s="33" t="s">
        <v>38</v>
      </c>
      <c r="J566" s="33" t="s">
        <v>2443</v>
      </c>
      <c r="K566" s="33" t="s">
        <v>2444</v>
      </c>
      <c r="L566" s="33">
        <v>3803138.04</v>
      </c>
      <c r="M566" s="33">
        <v>0</v>
      </c>
      <c r="N566" s="33">
        <v>0</v>
      </c>
      <c r="O566" s="33">
        <v>23819654.039999999</v>
      </c>
      <c r="P566" s="33" t="s">
        <v>41</v>
      </c>
      <c r="Q566" s="33" t="s">
        <v>42</v>
      </c>
      <c r="S566" s="1" t="s">
        <v>43</v>
      </c>
      <c r="X566" s="1" t="s">
        <v>84</v>
      </c>
    </row>
    <row r="567" spans="1:24" x14ac:dyDescent="0.2">
      <c r="A567" s="33" t="s">
        <v>31</v>
      </c>
      <c r="B567" s="33" t="s">
        <v>2445</v>
      </c>
      <c r="C567" s="33" t="s">
        <v>2446</v>
      </c>
      <c r="D567" s="33">
        <f t="shared" si="8"/>
        <v>-1</v>
      </c>
      <c r="E567" s="33" t="s">
        <v>34</v>
      </c>
      <c r="F567" s="33" t="s">
        <v>2196</v>
      </c>
      <c r="G567" s="33" t="s">
        <v>2447</v>
      </c>
      <c r="H567" s="33" t="s">
        <v>37</v>
      </c>
      <c r="I567" s="33" t="s">
        <v>38</v>
      </c>
      <c r="J567" s="33" t="s">
        <v>2443</v>
      </c>
      <c r="K567" s="33" t="s">
        <v>2444</v>
      </c>
      <c r="L567" s="33">
        <v>16107091.92</v>
      </c>
      <c r="M567" s="33">
        <v>0</v>
      </c>
      <c r="N567" s="33">
        <v>0</v>
      </c>
      <c r="O567" s="33">
        <v>100881259.92</v>
      </c>
      <c r="P567" s="33" t="s">
        <v>41</v>
      </c>
      <c r="Q567" s="33" t="s">
        <v>42</v>
      </c>
      <c r="S567" s="1" t="s">
        <v>43</v>
      </c>
      <c r="X567" s="1" t="s">
        <v>84</v>
      </c>
    </row>
    <row r="568" spans="1:24" x14ac:dyDescent="0.2">
      <c r="A568" s="33" t="s">
        <v>31</v>
      </c>
      <c r="B568" s="33" t="s">
        <v>2448</v>
      </c>
      <c r="C568" s="33" t="s">
        <v>2449</v>
      </c>
      <c r="D568" s="33">
        <f t="shared" si="8"/>
        <v>-1</v>
      </c>
      <c r="E568" s="33" t="s">
        <v>34</v>
      </c>
      <c r="F568" s="33" t="s">
        <v>2196</v>
      </c>
      <c r="G568" s="33" t="s">
        <v>2450</v>
      </c>
      <c r="H568" s="33" t="s">
        <v>37</v>
      </c>
      <c r="I568" s="33" t="s">
        <v>38</v>
      </c>
      <c r="J568" s="33" t="s">
        <v>2443</v>
      </c>
      <c r="K568" s="33" t="s">
        <v>2444</v>
      </c>
      <c r="L568" s="33">
        <v>16107091.92</v>
      </c>
      <c r="M568" s="33">
        <v>0</v>
      </c>
      <c r="N568" s="33">
        <v>0</v>
      </c>
      <c r="O568" s="33">
        <v>100881259.92</v>
      </c>
      <c r="P568" s="33" t="s">
        <v>41</v>
      </c>
      <c r="Q568" s="33" t="s">
        <v>42</v>
      </c>
      <c r="S568" s="1" t="s">
        <v>43</v>
      </c>
      <c r="X568" s="1" t="s">
        <v>84</v>
      </c>
    </row>
    <row r="569" spans="1:24" x14ac:dyDescent="0.2">
      <c r="A569" s="28" t="s">
        <v>2451</v>
      </c>
      <c r="B569" s="28" t="s">
        <v>2452</v>
      </c>
      <c r="C569" s="28" t="s">
        <v>2453</v>
      </c>
      <c r="D569" s="28">
        <f t="shared" si="8"/>
        <v>-1</v>
      </c>
      <c r="E569" s="28" t="s">
        <v>34</v>
      </c>
      <c r="F569" s="28" t="s">
        <v>2196</v>
      </c>
      <c r="G569" s="28" t="s">
        <v>2454</v>
      </c>
      <c r="H569" s="28" t="s">
        <v>37</v>
      </c>
      <c r="I569" s="28" t="s">
        <v>38</v>
      </c>
      <c r="J569" s="28" t="s">
        <v>2128</v>
      </c>
      <c r="K569" s="28" t="s">
        <v>2129</v>
      </c>
      <c r="L569" s="28">
        <v>573593.66</v>
      </c>
      <c r="M569" s="28">
        <v>0</v>
      </c>
      <c r="N569" s="28">
        <v>0</v>
      </c>
      <c r="O569" s="28">
        <v>3592507.66</v>
      </c>
      <c r="P569" s="28" t="s">
        <v>41</v>
      </c>
      <c r="Q569" s="28" t="s">
        <v>42</v>
      </c>
      <c r="R569" s="1" t="s">
        <v>43</v>
      </c>
    </row>
    <row r="570" spans="1:24" x14ac:dyDescent="0.2">
      <c r="A570" s="28" t="s">
        <v>31</v>
      </c>
      <c r="B570" s="28" t="s">
        <v>2455</v>
      </c>
      <c r="C570" s="28" t="s">
        <v>2456</v>
      </c>
      <c r="D570" s="28">
        <f t="shared" si="8"/>
        <v>-1</v>
      </c>
      <c r="E570" s="28" t="s">
        <v>34</v>
      </c>
      <c r="F570" s="28" t="s">
        <v>2196</v>
      </c>
      <c r="G570" s="28" t="s">
        <v>2457</v>
      </c>
      <c r="H570" s="28" t="s">
        <v>37</v>
      </c>
      <c r="I570" s="28" t="s">
        <v>38</v>
      </c>
      <c r="J570" s="28" t="s">
        <v>1074</v>
      </c>
      <c r="K570" s="28" t="s">
        <v>1075</v>
      </c>
      <c r="L570" s="28">
        <v>340247.06</v>
      </c>
      <c r="M570" s="28">
        <v>0</v>
      </c>
      <c r="N570" s="28">
        <v>0</v>
      </c>
      <c r="O570" s="28">
        <v>2131021.06</v>
      </c>
      <c r="P570" s="28" t="s">
        <v>41</v>
      </c>
      <c r="Q570" s="28" t="s">
        <v>42</v>
      </c>
      <c r="R570" s="1" t="s">
        <v>43</v>
      </c>
    </row>
    <row r="571" spans="1:24" x14ac:dyDescent="0.2">
      <c r="A571" s="28" t="s">
        <v>31</v>
      </c>
      <c r="B571" s="28" t="s">
        <v>2458</v>
      </c>
      <c r="C571" s="28" t="s">
        <v>2459</v>
      </c>
      <c r="D571" s="28">
        <f t="shared" si="8"/>
        <v>-1</v>
      </c>
      <c r="E571" s="28" t="s">
        <v>34</v>
      </c>
      <c r="F571" s="28" t="s">
        <v>2196</v>
      </c>
      <c r="G571" s="28" t="s">
        <v>2460</v>
      </c>
      <c r="H571" s="28" t="s">
        <v>37</v>
      </c>
      <c r="I571" s="28" t="s">
        <v>38</v>
      </c>
      <c r="J571" s="28" t="s">
        <v>1250</v>
      </c>
      <c r="K571" s="28" t="s">
        <v>1251</v>
      </c>
      <c r="L571" s="28">
        <v>848093.88</v>
      </c>
      <c r="M571" s="28">
        <v>0</v>
      </c>
      <c r="N571" s="28">
        <v>0</v>
      </c>
      <c r="O571" s="28">
        <v>5311745.88</v>
      </c>
      <c r="P571" s="28" t="s">
        <v>41</v>
      </c>
      <c r="Q571" s="28" t="s">
        <v>42</v>
      </c>
      <c r="R571" s="1" t="s">
        <v>43</v>
      </c>
    </row>
    <row r="572" spans="1:24" x14ac:dyDescent="0.2">
      <c r="A572" s="33" t="s">
        <v>31</v>
      </c>
      <c r="B572" s="33" t="s">
        <v>2461</v>
      </c>
      <c r="C572" s="33" t="s">
        <v>2462</v>
      </c>
      <c r="D572" s="33">
        <f t="shared" si="8"/>
        <v>-1</v>
      </c>
      <c r="E572" s="33" t="s">
        <v>34</v>
      </c>
      <c r="F572" s="33" t="s">
        <v>2196</v>
      </c>
      <c r="G572" s="33" t="s">
        <v>2463</v>
      </c>
      <c r="H572" s="33" t="s">
        <v>37</v>
      </c>
      <c r="I572" s="33" t="s">
        <v>38</v>
      </c>
      <c r="J572" s="33" t="s">
        <v>2464</v>
      </c>
      <c r="K572" s="33" t="s">
        <v>2465</v>
      </c>
      <c r="L572" s="33">
        <v>53200</v>
      </c>
      <c r="M572" s="33">
        <v>0</v>
      </c>
      <c r="N572" s="33">
        <v>0</v>
      </c>
      <c r="O572" s="33">
        <v>333200</v>
      </c>
      <c r="P572" s="33" t="s">
        <v>41</v>
      </c>
      <c r="Q572" s="33" t="s">
        <v>42</v>
      </c>
      <c r="W572" s="33" t="s">
        <v>43</v>
      </c>
      <c r="X572" s="1" t="s">
        <v>459</v>
      </c>
    </row>
    <row r="573" spans="1:24" x14ac:dyDescent="0.2">
      <c r="A573" s="28" t="s">
        <v>31</v>
      </c>
      <c r="B573" s="28" t="s">
        <v>2466</v>
      </c>
      <c r="C573" s="28" t="s">
        <v>2467</v>
      </c>
      <c r="D573" s="28">
        <f t="shared" si="8"/>
        <v>-1</v>
      </c>
      <c r="E573" s="28" t="s">
        <v>34</v>
      </c>
      <c r="F573" s="28" t="s">
        <v>2196</v>
      </c>
      <c r="G573" s="28" t="s">
        <v>2468</v>
      </c>
      <c r="H573" s="28" t="s">
        <v>37</v>
      </c>
      <c r="I573" s="28" t="s">
        <v>38</v>
      </c>
      <c r="J573" s="28" t="s">
        <v>2469</v>
      </c>
      <c r="K573" s="28" t="s">
        <v>2470</v>
      </c>
      <c r="L573" s="28">
        <v>6175760</v>
      </c>
      <c r="M573" s="28">
        <v>0</v>
      </c>
      <c r="N573" s="28">
        <v>0</v>
      </c>
      <c r="O573" s="28">
        <v>38679760</v>
      </c>
      <c r="P573" s="28" t="s">
        <v>41</v>
      </c>
      <c r="Q573" s="28" t="s">
        <v>42</v>
      </c>
      <c r="R573" s="1" t="s">
        <v>43</v>
      </c>
    </row>
    <row r="574" spans="1:24" x14ac:dyDescent="0.2">
      <c r="A574" s="33" t="s">
        <v>31</v>
      </c>
      <c r="B574" s="33" t="s">
        <v>2471</v>
      </c>
      <c r="C574" s="33" t="s">
        <v>2472</v>
      </c>
      <c r="D574" s="33">
        <f t="shared" si="8"/>
        <v>-1</v>
      </c>
      <c r="E574" s="33" t="s">
        <v>34</v>
      </c>
      <c r="F574" s="33" t="s">
        <v>2196</v>
      </c>
      <c r="G574" s="33" t="s">
        <v>2473</v>
      </c>
      <c r="H574" s="33" t="s">
        <v>37</v>
      </c>
      <c r="I574" s="33" t="s">
        <v>38</v>
      </c>
      <c r="J574" s="33" t="s">
        <v>397</v>
      </c>
      <c r="K574" s="33" t="s">
        <v>398</v>
      </c>
      <c r="L574" s="33">
        <v>0</v>
      </c>
      <c r="M574" s="33">
        <v>0</v>
      </c>
      <c r="N574" s="33">
        <v>0</v>
      </c>
      <c r="O574" s="33">
        <v>3555000</v>
      </c>
      <c r="P574" s="33" t="s">
        <v>41</v>
      </c>
      <c r="Q574" s="33" t="s">
        <v>42</v>
      </c>
      <c r="W574" s="33" t="s">
        <v>43</v>
      </c>
      <c r="X574" s="1" t="s">
        <v>439</v>
      </c>
    </row>
    <row r="575" spans="1:24" x14ac:dyDescent="0.2">
      <c r="A575" s="33" t="s">
        <v>31</v>
      </c>
      <c r="B575" s="33" t="s">
        <v>2474</v>
      </c>
      <c r="C575" s="33" t="s">
        <v>2475</v>
      </c>
      <c r="D575" s="33">
        <f t="shared" si="8"/>
        <v>-1</v>
      </c>
      <c r="E575" s="33" t="s">
        <v>34</v>
      </c>
      <c r="F575" s="33" t="s">
        <v>2196</v>
      </c>
      <c r="G575" s="33" t="s">
        <v>2476</v>
      </c>
      <c r="H575" s="33" t="s">
        <v>37</v>
      </c>
      <c r="I575" s="33" t="s">
        <v>38</v>
      </c>
      <c r="J575" s="33" t="s">
        <v>2477</v>
      </c>
      <c r="K575" s="33" t="s">
        <v>2478</v>
      </c>
      <c r="L575" s="33">
        <v>360002.5</v>
      </c>
      <c r="M575" s="33">
        <v>0</v>
      </c>
      <c r="N575" s="33">
        <v>0</v>
      </c>
      <c r="O575" s="33">
        <v>2254752.5</v>
      </c>
      <c r="P575" s="33" t="s">
        <v>41</v>
      </c>
      <c r="Q575" s="33" t="s">
        <v>42</v>
      </c>
      <c r="W575" s="33" t="s">
        <v>161</v>
      </c>
      <c r="X575" s="1" t="s">
        <v>2278</v>
      </c>
    </row>
    <row r="576" spans="1:24" x14ac:dyDescent="0.2">
      <c r="A576" s="28" t="s">
        <v>31</v>
      </c>
      <c r="B576" s="28" t="s">
        <v>2479</v>
      </c>
      <c r="C576" s="28" t="s">
        <v>2480</v>
      </c>
      <c r="D576" s="28">
        <f t="shared" si="8"/>
        <v>-1</v>
      </c>
      <c r="E576" s="28" t="s">
        <v>34</v>
      </c>
      <c r="F576" s="28" t="s">
        <v>2481</v>
      </c>
      <c r="G576" s="28" t="s">
        <v>2482</v>
      </c>
      <c r="H576" s="28" t="s">
        <v>37</v>
      </c>
      <c r="I576" s="28" t="s">
        <v>38</v>
      </c>
      <c r="J576" s="28" t="s">
        <v>52</v>
      </c>
      <c r="K576" s="28" t="s">
        <v>53</v>
      </c>
      <c r="L576" s="28">
        <v>3372500</v>
      </c>
      <c r="M576" s="28">
        <v>0</v>
      </c>
      <c r="N576" s="28">
        <v>0</v>
      </c>
      <c r="O576" s="28">
        <v>21122500</v>
      </c>
      <c r="P576" s="28" t="s">
        <v>41</v>
      </c>
      <c r="Q576" s="28" t="s">
        <v>42</v>
      </c>
      <c r="R576" s="1" t="s">
        <v>43</v>
      </c>
    </row>
    <row r="577" spans="1:24" x14ac:dyDescent="0.2">
      <c r="A577" s="28" t="s">
        <v>31</v>
      </c>
      <c r="B577" s="28" t="s">
        <v>2483</v>
      </c>
      <c r="C577" s="28" t="s">
        <v>2484</v>
      </c>
      <c r="D577" s="28">
        <f t="shared" si="8"/>
        <v>-1</v>
      </c>
      <c r="E577" s="28" t="s">
        <v>34</v>
      </c>
      <c r="F577" s="28" t="s">
        <v>2481</v>
      </c>
      <c r="G577" s="28" t="s">
        <v>2485</v>
      </c>
      <c r="H577" s="28" t="s">
        <v>37</v>
      </c>
      <c r="I577" s="28" t="s">
        <v>38</v>
      </c>
      <c r="J577" s="28" t="s">
        <v>57</v>
      </c>
      <c r="K577" s="28" t="s">
        <v>58</v>
      </c>
      <c r="L577" s="28">
        <v>3372500</v>
      </c>
      <c r="M577" s="28">
        <v>0</v>
      </c>
      <c r="N577" s="28">
        <v>0</v>
      </c>
      <c r="O577" s="28">
        <v>21122500</v>
      </c>
      <c r="P577" s="28" t="s">
        <v>41</v>
      </c>
      <c r="Q577" s="28" t="s">
        <v>42</v>
      </c>
      <c r="R577" s="1" t="s">
        <v>43</v>
      </c>
    </row>
    <row r="578" spans="1:24" x14ac:dyDescent="0.2">
      <c r="A578" s="28" t="s">
        <v>31</v>
      </c>
      <c r="B578" s="28" t="s">
        <v>2486</v>
      </c>
      <c r="C578" s="28" t="s">
        <v>2487</v>
      </c>
      <c r="D578" s="28">
        <f t="shared" si="8"/>
        <v>-1</v>
      </c>
      <c r="E578" s="28" t="s">
        <v>34</v>
      </c>
      <c r="F578" s="28" t="s">
        <v>2481</v>
      </c>
      <c r="G578" s="28" t="s">
        <v>2488</v>
      </c>
      <c r="H578" s="28" t="s">
        <v>37</v>
      </c>
      <c r="I578" s="28" t="s">
        <v>38</v>
      </c>
      <c r="J578" s="28" t="s">
        <v>2489</v>
      </c>
      <c r="K578" s="28" t="s">
        <v>2490</v>
      </c>
      <c r="L578" s="28">
        <v>3372500</v>
      </c>
      <c r="M578" s="28">
        <v>0</v>
      </c>
      <c r="N578" s="28">
        <v>0</v>
      </c>
      <c r="O578" s="28">
        <v>21122500</v>
      </c>
      <c r="P578" s="28" t="s">
        <v>41</v>
      </c>
      <c r="Q578" s="28" t="s">
        <v>42</v>
      </c>
      <c r="R578" s="1" t="s">
        <v>43</v>
      </c>
    </row>
    <row r="579" spans="1:24" x14ac:dyDescent="0.2">
      <c r="A579" s="29" t="s">
        <v>31</v>
      </c>
      <c r="B579" s="29" t="s">
        <v>2491</v>
      </c>
      <c r="C579" s="29" t="s">
        <v>2492</v>
      </c>
      <c r="D579" s="29">
        <f t="shared" si="8"/>
        <v>-1</v>
      </c>
      <c r="E579" s="29" t="s">
        <v>34</v>
      </c>
      <c r="F579" s="29" t="s">
        <v>2481</v>
      </c>
      <c r="G579" s="29" t="s">
        <v>2493</v>
      </c>
      <c r="H579" s="29" t="s">
        <v>37</v>
      </c>
      <c r="I579" s="29" t="s">
        <v>38</v>
      </c>
      <c r="J579" s="29" t="s">
        <v>62</v>
      </c>
      <c r="K579" s="29" t="s">
        <v>63</v>
      </c>
      <c r="L579" s="29">
        <v>3372500</v>
      </c>
      <c r="M579" s="29">
        <v>0</v>
      </c>
      <c r="N579" s="29">
        <v>0</v>
      </c>
      <c r="O579" s="29">
        <v>21122500</v>
      </c>
      <c r="P579" s="29" t="s">
        <v>41</v>
      </c>
      <c r="Q579" s="29" t="s">
        <v>42</v>
      </c>
      <c r="T579" s="1" t="s">
        <v>43</v>
      </c>
    </row>
    <row r="580" spans="1:24" x14ac:dyDescent="0.2">
      <c r="A580" s="30" t="s">
        <v>31</v>
      </c>
      <c r="B580" s="30" t="s">
        <v>2494</v>
      </c>
      <c r="C580" s="30" t="s">
        <v>2495</v>
      </c>
      <c r="D580" s="30">
        <f t="shared" si="8"/>
        <v>-1</v>
      </c>
      <c r="E580" s="30" t="s">
        <v>34</v>
      </c>
      <c r="F580" s="30" t="s">
        <v>2481</v>
      </c>
      <c r="G580" s="30" t="s">
        <v>2496</v>
      </c>
      <c r="H580" s="30" t="s">
        <v>37</v>
      </c>
      <c r="I580" s="30" t="s">
        <v>38</v>
      </c>
      <c r="J580" s="30" t="s">
        <v>143</v>
      </c>
      <c r="K580" s="30" t="s">
        <v>144</v>
      </c>
      <c r="L580" s="30">
        <v>239051.16</v>
      </c>
      <c r="M580" s="30">
        <v>0</v>
      </c>
      <c r="N580" s="30">
        <v>0</v>
      </c>
      <c r="O580" s="30">
        <v>1497215.16</v>
      </c>
      <c r="P580" s="30" t="s">
        <v>41</v>
      </c>
      <c r="Q580" s="30" t="s">
        <v>42</v>
      </c>
      <c r="S580" s="1" t="s">
        <v>43</v>
      </c>
    </row>
    <row r="581" spans="1:24" x14ac:dyDescent="0.2">
      <c r="A581" s="28" t="s">
        <v>31</v>
      </c>
      <c r="B581" s="28" t="s">
        <v>2497</v>
      </c>
      <c r="C581" s="28" t="s">
        <v>2498</v>
      </c>
      <c r="D581" s="28">
        <f t="shared" si="8"/>
        <v>-1</v>
      </c>
      <c r="E581" s="28" t="s">
        <v>34</v>
      </c>
      <c r="F581" s="28" t="s">
        <v>2481</v>
      </c>
      <c r="G581" s="28" t="s">
        <v>2499</v>
      </c>
      <c r="H581" s="28" t="s">
        <v>37</v>
      </c>
      <c r="I581" s="28" t="s">
        <v>38</v>
      </c>
      <c r="J581" s="28" t="s">
        <v>2350</v>
      </c>
      <c r="K581" s="28" t="s">
        <v>2351</v>
      </c>
      <c r="L581" s="28">
        <v>487540</v>
      </c>
      <c r="M581" s="28">
        <v>0</v>
      </c>
      <c r="N581" s="28">
        <v>0</v>
      </c>
      <c r="O581" s="28">
        <v>3053540</v>
      </c>
      <c r="P581" s="28" t="s">
        <v>41</v>
      </c>
      <c r="Q581" s="28" t="s">
        <v>42</v>
      </c>
      <c r="R581" s="1" t="s">
        <v>43</v>
      </c>
    </row>
    <row r="582" spans="1:24" x14ac:dyDescent="0.2">
      <c r="A582" s="33" t="s">
        <v>31</v>
      </c>
      <c r="B582" s="33" t="s">
        <v>2500</v>
      </c>
      <c r="C582" s="33" t="s">
        <v>2501</v>
      </c>
      <c r="D582" s="33">
        <f t="shared" si="8"/>
        <v>-1</v>
      </c>
      <c r="E582" s="33" t="s">
        <v>34</v>
      </c>
      <c r="F582" s="33" t="s">
        <v>2481</v>
      </c>
      <c r="G582" s="33" t="s">
        <v>2502</v>
      </c>
      <c r="H582" s="33" t="s">
        <v>37</v>
      </c>
      <c r="I582" s="33" t="s">
        <v>38</v>
      </c>
      <c r="J582" s="33" t="s">
        <v>1320</v>
      </c>
      <c r="K582" s="33" t="s">
        <v>1321</v>
      </c>
      <c r="L582" s="33">
        <v>2982582</v>
      </c>
      <c r="M582" s="33">
        <v>0</v>
      </c>
      <c r="N582" s="33">
        <v>0</v>
      </c>
      <c r="O582" s="33">
        <v>18680382</v>
      </c>
      <c r="P582" s="33" t="s">
        <v>41</v>
      </c>
      <c r="Q582" s="33" t="s">
        <v>42</v>
      </c>
      <c r="W582" s="33" t="s">
        <v>43</v>
      </c>
      <c r="X582" s="1" t="s">
        <v>1097</v>
      </c>
    </row>
    <row r="583" spans="1:24" x14ac:dyDescent="0.2">
      <c r="A583" s="33" t="s">
        <v>31</v>
      </c>
      <c r="B583" s="33" t="s">
        <v>2503</v>
      </c>
      <c r="C583" s="33" t="s">
        <v>2504</v>
      </c>
      <c r="D583" s="33">
        <f t="shared" si="8"/>
        <v>-1</v>
      </c>
      <c r="E583" s="33" t="s">
        <v>34</v>
      </c>
      <c r="F583" s="33" t="s">
        <v>2481</v>
      </c>
      <c r="G583" s="33" t="s">
        <v>2505</v>
      </c>
      <c r="H583" s="33" t="s">
        <v>37</v>
      </c>
      <c r="I583" s="33" t="s">
        <v>38</v>
      </c>
      <c r="J583" s="33" t="s">
        <v>2506</v>
      </c>
      <c r="K583" s="33" t="s">
        <v>2507</v>
      </c>
      <c r="L583" s="33">
        <v>3392070</v>
      </c>
      <c r="M583" s="33">
        <v>0</v>
      </c>
      <c r="N583" s="33">
        <v>0</v>
      </c>
      <c r="O583" s="33">
        <v>21245070</v>
      </c>
      <c r="P583" s="33" t="s">
        <v>41</v>
      </c>
      <c r="Q583" s="33" t="s">
        <v>42</v>
      </c>
      <c r="W583" s="33" t="s">
        <v>43</v>
      </c>
      <c r="X583" s="1" t="s">
        <v>439</v>
      </c>
    </row>
    <row r="584" spans="1:24" x14ac:dyDescent="0.2">
      <c r="A584" s="1" t="s">
        <v>31</v>
      </c>
      <c r="B584" s="1" t="s">
        <v>2508</v>
      </c>
      <c r="C584" s="1">
        <v>105197</v>
      </c>
      <c r="D584" s="1">
        <f t="shared" si="8"/>
        <v>-1</v>
      </c>
      <c r="E584" s="1" t="s">
        <v>34</v>
      </c>
      <c r="F584" s="1" t="s">
        <v>2481</v>
      </c>
      <c r="G584" s="1" t="s">
        <v>2509</v>
      </c>
      <c r="H584" s="1" t="s">
        <v>37</v>
      </c>
      <c r="I584" s="1" t="s">
        <v>38</v>
      </c>
      <c r="J584" s="1" t="s">
        <v>740</v>
      </c>
      <c r="K584" s="1" t="s">
        <v>741</v>
      </c>
      <c r="L584" s="1">
        <v>0</v>
      </c>
      <c r="M584" s="1">
        <v>0</v>
      </c>
      <c r="N584" s="1">
        <v>0</v>
      </c>
      <c r="O584" s="1">
        <v>1721000</v>
      </c>
      <c r="P584" s="1" t="s">
        <v>41</v>
      </c>
      <c r="Q584" s="1" t="s">
        <v>42</v>
      </c>
      <c r="V584" s="1" t="s">
        <v>43</v>
      </c>
    </row>
    <row r="585" spans="1:24" x14ac:dyDescent="0.2">
      <c r="A585" s="28" t="s">
        <v>31</v>
      </c>
      <c r="B585" s="28" t="s">
        <v>2510</v>
      </c>
      <c r="C585" s="28" t="s">
        <v>2511</v>
      </c>
      <c r="D585" s="28">
        <f t="shared" si="8"/>
        <v>-1</v>
      </c>
      <c r="E585" s="28" t="s">
        <v>34</v>
      </c>
      <c r="F585" s="28" t="s">
        <v>2481</v>
      </c>
      <c r="G585" s="28" t="s">
        <v>2512</v>
      </c>
      <c r="H585" s="28" t="s">
        <v>37</v>
      </c>
      <c r="I585" s="28" t="s">
        <v>38</v>
      </c>
      <c r="J585" s="28" t="s">
        <v>2057</v>
      </c>
      <c r="K585" s="28" t="s">
        <v>2058</v>
      </c>
      <c r="L585" s="28">
        <v>57950</v>
      </c>
      <c r="M585" s="28">
        <v>0</v>
      </c>
      <c r="N585" s="28">
        <v>0</v>
      </c>
      <c r="O585" s="28">
        <v>362950</v>
      </c>
      <c r="P585" s="28" t="s">
        <v>41</v>
      </c>
      <c r="Q585" s="28" t="s">
        <v>42</v>
      </c>
      <c r="R585" s="1" t="s">
        <v>43</v>
      </c>
    </row>
    <row r="586" spans="1:24" x14ac:dyDescent="0.2">
      <c r="A586" s="33" t="s">
        <v>31</v>
      </c>
      <c r="B586" s="33" t="s">
        <v>2513</v>
      </c>
      <c r="C586" s="33" t="s">
        <v>2514</v>
      </c>
      <c r="D586" s="33">
        <f t="shared" si="8"/>
        <v>-1</v>
      </c>
      <c r="E586" s="33" t="s">
        <v>34</v>
      </c>
      <c r="F586" s="33" t="s">
        <v>2481</v>
      </c>
      <c r="G586" s="33" t="s">
        <v>2515</v>
      </c>
      <c r="H586" s="33" t="s">
        <v>37</v>
      </c>
      <c r="I586" s="33" t="s">
        <v>38</v>
      </c>
      <c r="J586" s="33" t="s">
        <v>2516</v>
      </c>
      <c r="K586" s="33" t="s">
        <v>2517</v>
      </c>
      <c r="L586" s="33">
        <v>20178.060000000001</v>
      </c>
      <c r="M586" s="33">
        <v>0</v>
      </c>
      <c r="N586" s="33">
        <v>0</v>
      </c>
      <c r="O586" s="33">
        <v>161432.06</v>
      </c>
      <c r="P586" s="33" t="s">
        <v>41</v>
      </c>
      <c r="Q586" s="33" t="s">
        <v>42</v>
      </c>
      <c r="W586" s="33" t="s">
        <v>43</v>
      </c>
      <c r="X586" s="1" t="s">
        <v>277</v>
      </c>
    </row>
    <row r="587" spans="1:24" x14ac:dyDescent="0.2">
      <c r="A587" s="29" t="s">
        <v>31</v>
      </c>
      <c r="B587" s="29" t="s">
        <v>2518</v>
      </c>
      <c r="C587" s="29" t="s">
        <v>2519</v>
      </c>
      <c r="D587" s="29">
        <f t="shared" ref="D587:D650" si="9">C587-C588</f>
        <v>-1</v>
      </c>
      <c r="E587" s="29" t="s">
        <v>34</v>
      </c>
      <c r="F587" s="29" t="s">
        <v>2481</v>
      </c>
      <c r="G587" s="29" t="s">
        <v>2520</v>
      </c>
      <c r="H587" s="29" t="s">
        <v>37</v>
      </c>
      <c r="I587" s="29" t="s">
        <v>38</v>
      </c>
      <c r="J587" s="29" t="s">
        <v>550</v>
      </c>
      <c r="K587" s="29" t="s">
        <v>551</v>
      </c>
      <c r="L587" s="29">
        <v>13433</v>
      </c>
      <c r="M587" s="29">
        <v>0</v>
      </c>
      <c r="N587" s="29">
        <v>0</v>
      </c>
      <c r="O587" s="29">
        <v>84133</v>
      </c>
      <c r="P587" s="29" t="s">
        <v>41</v>
      </c>
      <c r="Q587" s="29" t="s">
        <v>42</v>
      </c>
      <c r="T587" s="1" t="s">
        <v>161</v>
      </c>
    </row>
    <row r="588" spans="1:24" x14ac:dyDescent="0.2">
      <c r="A588" s="33" t="s">
        <v>31</v>
      </c>
      <c r="B588" s="33" t="s">
        <v>2521</v>
      </c>
      <c r="C588" s="33" t="s">
        <v>2522</v>
      </c>
      <c r="D588" s="33">
        <f t="shared" si="9"/>
        <v>-1</v>
      </c>
      <c r="E588" s="33" t="s">
        <v>34</v>
      </c>
      <c r="F588" s="33" t="s">
        <v>2481</v>
      </c>
      <c r="G588" s="33" t="s">
        <v>2523</v>
      </c>
      <c r="H588" s="33" t="s">
        <v>37</v>
      </c>
      <c r="I588" s="33" t="s">
        <v>38</v>
      </c>
      <c r="J588" s="33" t="s">
        <v>2524</v>
      </c>
      <c r="K588" s="33" t="s">
        <v>2525</v>
      </c>
      <c r="L588" s="33">
        <v>27808.400000000001</v>
      </c>
      <c r="M588" s="33">
        <v>0</v>
      </c>
      <c r="N588" s="33">
        <v>0</v>
      </c>
      <c r="O588" s="33">
        <v>174168.4</v>
      </c>
      <c r="P588" s="33" t="s">
        <v>41</v>
      </c>
      <c r="Q588" s="33" t="s">
        <v>42</v>
      </c>
      <c r="W588" s="33" t="s">
        <v>43</v>
      </c>
      <c r="X588" s="1" t="s">
        <v>263</v>
      </c>
    </row>
    <row r="589" spans="1:24" x14ac:dyDescent="0.2">
      <c r="A589" s="33" t="s">
        <v>31</v>
      </c>
      <c r="B589" s="33" t="s">
        <v>2526</v>
      </c>
      <c r="C589" s="33" t="s">
        <v>2527</v>
      </c>
      <c r="D589" s="33">
        <f t="shared" si="9"/>
        <v>-1</v>
      </c>
      <c r="E589" s="33" t="s">
        <v>34</v>
      </c>
      <c r="F589" s="33" t="s">
        <v>2481</v>
      </c>
      <c r="G589" s="33" t="s">
        <v>2528</v>
      </c>
      <c r="H589" s="33" t="s">
        <v>37</v>
      </c>
      <c r="I589" s="33" t="s">
        <v>38</v>
      </c>
      <c r="J589" s="33" t="s">
        <v>935</v>
      </c>
      <c r="K589" s="33" t="s">
        <v>936</v>
      </c>
      <c r="L589" s="33">
        <v>354695.5</v>
      </c>
      <c r="M589" s="33">
        <v>0</v>
      </c>
      <c r="N589" s="33">
        <v>0</v>
      </c>
      <c r="O589" s="33">
        <v>3138645.5</v>
      </c>
      <c r="P589" s="33" t="s">
        <v>41</v>
      </c>
      <c r="Q589" s="33" t="s">
        <v>42</v>
      </c>
      <c r="W589" s="33" t="s">
        <v>161</v>
      </c>
      <c r="X589" s="1" t="s">
        <v>2384</v>
      </c>
    </row>
    <row r="590" spans="1:24" x14ac:dyDescent="0.2">
      <c r="A590" s="29" t="s">
        <v>31</v>
      </c>
      <c r="B590" s="29" t="s">
        <v>2529</v>
      </c>
      <c r="C590" s="29" t="s">
        <v>2530</v>
      </c>
      <c r="D590" s="29">
        <f t="shared" si="9"/>
        <v>-1</v>
      </c>
      <c r="E590" s="29" t="s">
        <v>34</v>
      </c>
      <c r="F590" s="29" t="s">
        <v>2481</v>
      </c>
      <c r="G590" s="29" t="s">
        <v>2531</v>
      </c>
      <c r="H590" s="29" t="s">
        <v>37</v>
      </c>
      <c r="I590" s="29" t="s">
        <v>38</v>
      </c>
      <c r="J590" s="29" t="s">
        <v>2532</v>
      </c>
      <c r="K590" s="29" t="s">
        <v>2533</v>
      </c>
      <c r="L590" s="29">
        <v>785650</v>
      </c>
      <c r="M590" s="29">
        <v>0</v>
      </c>
      <c r="N590" s="29">
        <v>0</v>
      </c>
      <c r="O590" s="29">
        <v>4920650</v>
      </c>
      <c r="P590" s="29" t="s">
        <v>41</v>
      </c>
      <c r="Q590" s="29" t="s">
        <v>42</v>
      </c>
      <c r="T590" s="1" t="s">
        <v>43</v>
      </c>
    </row>
    <row r="591" spans="1:24" x14ac:dyDescent="0.2">
      <c r="A591" s="33" t="s">
        <v>31</v>
      </c>
      <c r="B591" s="33" t="s">
        <v>2534</v>
      </c>
      <c r="C591" s="33" t="s">
        <v>2535</v>
      </c>
      <c r="D591" s="33">
        <f t="shared" si="9"/>
        <v>-1</v>
      </c>
      <c r="E591" s="33" t="s">
        <v>34</v>
      </c>
      <c r="F591" s="33" t="s">
        <v>2481</v>
      </c>
      <c r="G591" s="33" t="s">
        <v>2536</v>
      </c>
      <c r="H591" s="33" t="s">
        <v>37</v>
      </c>
      <c r="I591" s="33" t="s">
        <v>38</v>
      </c>
      <c r="J591" s="33" t="s">
        <v>403</v>
      </c>
      <c r="K591" s="33" t="s">
        <v>404</v>
      </c>
      <c r="L591" s="33">
        <v>0</v>
      </c>
      <c r="M591" s="33">
        <v>0</v>
      </c>
      <c r="N591" s="33">
        <v>0</v>
      </c>
      <c r="O591" s="33">
        <v>455000</v>
      </c>
      <c r="P591" s="33" t="s">
        <v>41</v>
      </c>
      <c r="Q591" s="33" t="s">
        <v>42</v>
      </c>
      <c r="W591" s="33" t="s">
        <v>43</v>
      </c>
      <c r="X591" s="1" t="s">
        <v>317</v>
      </c>
    </row>
    <row r="592" spans="1:24" x14ac:dyDescent="0.2">
      <c r="A592" s="33" t="s">
        <v>31</v>
      </c>
      <c r="B592" s="33" t="s">
        <v>2537</v>
      </c>
      <c r="C592" s="33" t="s">
        <v>2538</v>
      </c>
      <c r="D592" s="33">
        <f t="shared" si="9"/>
        <v>-1</v>
      </c>
      <c r="E592" s="33" t="s">
        <v>34</v>
      </c>
      <c r="F592" s="33" t="s">
        <v>2481</v>
      </c>
      <c r="G592" s="33" t="s">
        <v>2539</v>
      </c>
      <c r="H592" s="33" t="s">
        <v>37</v>
      </c>
      <c r="I592" s="33" t="s">
        <v>38</v>
      </c>
      <c r="J592" s="33" t="s">
        <v>2540</v>
      </c>
      <c r="K592" s="33" t="s">
        <v>2541</v>
      </c>
      <c r="L592" s="33">
        <v>671650</v>
      </c>
      <c r="M592" s="33">
        <v>0</v>
      </c>
      <c r="N592" s="33">
        <v>0</v>
      </c>
      <c r="O592" s="33">
        <v>4206650</v>
      </c>
      <c r="P592" s="33" t="s">
        <v>41</v>
      </c>
      <c r="Q592" s="33" t="s">
        <v>42</v>
      </c>
      <c r="W592" s="33" t="s">
        <v>43</v>
      </c>
      <c r="X592" s="1" t="s">
        <v>784</v>
      </c>
    </row>
    <row r="593" spans="1:24" x14ac:dyDescent="0.2">
      <c r="A593" s="33" t="s">
        <v>31</v>
      </c>
      <c r="B593" s="33" t="s">
        <v>2542</v>
      </c>
      <c r="C593" s="33" t="s">
        <v>2543</v>
      </c>
      <c r="D593" s="33">
        <f t="shared" si="9"/>
        <v>-1</v>
      </c>
      <c r="E593" s="33" t="s">
        <v>34</v>
      </c>
      <c r="F593" s="33" t="s">
        <v>2481</v>
      </c>
      <c r="G593" s="33" t="s">
        <v>2544</v>
      </c>
      <c r="H593" s="33" t="s">
        <v>37</v>
      </c>
      <c r="I593" s="33" t="s">
        <v>38</v>
      </c>
      <c r="J593" s="33" t="s">
        <v>510</v>
      </c>
      <c r="K593" s="33" t="s">
        <v>511</v>
      </c>
      <c r="L593" s="33">
        <v>130055.4</v>
      </c>
      <c r="M593" s="33">
        <v>0</v>
      </c>
      <c r="N593" s="33">
        <v>0</v>
      </c>
      <c r="O593" s="33">
        <v>1367910.3999999999</v>
      </c>
      <c r="P593" s="33" t="s">
        <v>41</v>
      </c>
      <c r="Q593" s="33" t="s">
        <v>42</v>
      </c>
      <c r="W593" s="33" t="s">
        <v>43</v>
      </c>
      <c r="X593" s="1" t="s">
        <v>2545</v>
      </c>
    </row>
    <row r="594" spans="1:24" x14ac:dyDescent="0.2">
      <c r="A594" s="1" t="s">
        <v>31</v>
      </c>
      <c r="B594" s="1" t="s">
        <v>2546</v>
      </c>
      <c r="C594" s="1" t="s">
        <v>2547</v>
      </c>
      <c r="D594" s="1">
        <f t="shared" si="9"/>
        <v>-1</v>
      </c>
      <c r="E594" s="1" t="s">
        <v>34</v>
      </c>
      <c r="F594" s="1" t="s">
        <v>2481</v>
      </c>
      <c r="G594" s="1" t="s">
        <v>2548</v>
      </c>
      <c r="H594" s="1" t="s">
        <v>37</v>
      </c>
      <c r="I594" s="1" t="s">
        <v>38</v>
      </c>
      <c r="J594" s="1" t="s">
        <v>2549</v>
      </c>
      <c r="K594" s="1" t="s">
        <v>2550</v>
      </c>
      <c r="L594" s="1">
        <v>51300</v>
      </c>
      <c r="M594" s="1">
        <v>0</v>
      </c>
      <c r="N594" s="1">
        <v>0</v>
      </c>
      <c r="O594" s="1">
        <v>321300</v>
      </c>
      <c r="P594" s="1" t="s">
        <v>41</v>
      </c>
      <c r="Q594" s="1" t="s">
        <v>42</v>
      </c>
      <c r="V594" s="1" t="s">
        <v>43</v>
      </c>
    </row>
    <row r="595" spans="1:24" x14ac:dyDescent="0.2">
      <c r="A595" s="33" t="s">
        <v>31</v>
      </c>
      <c r="B595" s="33" t="s">
        <v>2551</v>
      </c>
      <c r="C595" s="33" t="s">
        <v>2552</v>
      </c>
      <c r="D595" s="33">
        <f t="shared" si="9"/>
        <v>-1</v>
      </c>
      <c r="E595" s="33" t="s">
        <v>34</v>
      </c>
      <c r="F595" s="33" t="s">
        <v>2481</v>
      </c>
      <c r="G595" s="33" t="s">
        <v>2553</v>
      </c>
      <c r="H595" s="33" t="s">
        <v>37</v>
      </c>
      <c r="I595" s="33" t="s">
        <v>38</v>
      </c>
      <c r="J595" s="33" t="s">
        <v>2554</v>
      </c>
      <c r="K595" s="33" t="s">
        <v>2555</v>
      </c>
      <c r="L595" s="33">
        <v>272559.65999999997</v>
      </c>
      <c r="M595" s="33">
        <v>0</v>
      </c>
      <c r="N595" s="33">
        <v>0</v>
      </c>
      <c r="O595" s="33">
        <v>1707084.16</v>
      </c>
      <c r="P595" s="33" t="s">
        <v>41</v>
      </c>
      <c r="Q595" s="33" t="s">
        <v>42</v>
      </c>
      <c r="W595" s="33" t="s">
        <v>43</v>
      </c>
      <c r="X595" s="1" t="s">
        <v>195</v>
      </c>
    </row>
    <row r="596" spans="1:24" x14ac:dyDescent="0.2">
      <c r="A596" s="33" t="s">
        <v>31</v>
      </c>
      <c r="B596" s="33" t="s">
        <v>2556</v>
      </c>
      <c r="C596" s="33" t="s">
        <v>2557</v>
      </c>
      <c r="D596" s="33">
        <f t="shared" si="9"/>
        <v>-1</v>
      </c>
      <c r="E596" s="33" t="s">
        <v>34</v>
      </c>
      <c r="F596" s="33" t="s">
        <v>2481</v>
      </c>
      <c r="G596" s="33" t="s">
        <v>2558</v>
      </c>
      <c r="H596" s="33" t="s">
        <v>37</v>
      </c>
      <c r="I596" s="33" t="s">
        <v>38</v>
      </c>
      <c r="J596" s="33" t="s">
        <v>224</v>
      </c>
      <c r="K596" s="33" t="s">
        <v>225</v>
      </c>
      <c r="L596" s="33">
        <v>148580</v>
      </c>
      <c r="M596" s="33">
        <v>0</v>
      </c>
      <c r="N596" s="33">
        <v>0</v>
      </c>
      <c r="O596" s="33">
        <v>930580</v>
      </c>
      <c r="P596" s="33" t="s">
        <v>41</v>
      </c>
      <c r="Q596" s="33" t="s">
        <v>42</v>
      </c>
      <c r="W596" s="33" t="s">
        <v>161</v>
      </c>
      <c r="X596" s="1" t="s">
        <v>226</v>
      </c>
    </row>
    <row r="597" spans="1:24" x14ac:dyDescent="0.2">
      <c r="A597" s="33" t="s">
        <v>31</v>
      </c>
      <c r="B597" s="33" t="s">
        <v>2559</v>
      </c>
      <c r="C597" s="33" t="s">
        <v>2560</v>
      </c>
      <c r="D597" s="33">
        <f t="shared" si="9"/>
        <v>-1</v>
      </c>
      <c r="E597" s="33" t="s">
        <v>34</v>
      </c>
      <c r="F597" s="33" t="s">
        <v>2481</v>
      </c>
      <c r="G597" s="33" t="s">
        <v>2561</v>
      </c>
      <c r="H597" s="33" t="s">
        <v>37</v>
      </c>
      <c r="I597" s="33" t="s">
        <v>38</v>
      </c>
      <c r="J597" s="33" t="s">
        <v>2562</v>
      </c>
      <c r="K597" s="33" t="s">
        <v>2563</v>
      </c>
      <c r="L597" s="33">
        <v>1510500</v>
      </c>
      <c r="M597" s="33">
        <v>0</v>
      </c>
      <c r="N597" s="33">
        <v>0</v>
      </c>
      <c r="O597" s="33">
        <v>9460500</v>
      </c>
      <c r="P597" s="33" t="s">
        <v>41</v>
      </c>
      <c r="Q597" s="33" t="s">
        <v>42</v>
      </c>
      <c r="W597" s="33" t="s">
        <v>43</v>
      </c>
      <c r="X597" s="1" t="s">
        <v>69</v>
      </c>
    </row>
    <row r="598" spans="1:24" x14ac:dyDescent="0.2">
      <c r="A598" s="29" t="s">
        <v>31</v>
      </c>
      <c r="B598" s="29" t="s">
        <v>2564</v>
      </c>
      <c r="C598" s="29" t="s">
        <v>2565</v>
      </c>
      <c r="D598" s="29">
        <f t="shared" si="9"/>
        <v>-1</v>
      </c>
      <c r="E598" s="29" t="s">
        <v>34</v>
      </c>
      <c r="F598" s="29" t="s">
        <v>2481</v>
      </c>
      <c r="G598" s="29" t="s">
        <v>2566</v>
      </c>
      <c r="H598" s="29" t="s">
        <v>37</v>
      </c>
      <c r="I598" s="29" t="s">
        <v>38</v>
      </c>
      <c r="J598" s="29" t="s">
        <v>1341</v>
      </c>
      <c r="K598" s="29" t="s">
        <v>1342</v>
      </c>
      <c r="L598" s="29">
        <v>648969.51</v>
      </c>
      <c r="M598" s="29">
        <v>0</v>
      </c>
      <c r="N598" s="29">
        <v>0</v>
      </c>
      <c r="O598" s="29">
        <v>4064598.51</v>
      </c>
      <c r="P598" s="29" t="s">
        <v>41</v>
      </c>
      <c r="Q598" s="29" t="s">
        <v>42</v>
      </c>
      <c r="T598" s="1" t="s">
        <v>43</v>
      </c>
    </row>
    <row r="599" spans="1:24" x14ac:dyDescent="0.2">
      <c r="A599" s="28" t="s">
        <v>31</v>
      </c>
      <c r="B599" s="28" t="s">
        <v>2567</v>
      </c>
      <c r="C599" s="28" t="s">
        <v>2568</v>
      </c>
      <c r="D599" s="28">
        <f t="shared" si="9"/>
        <v>-1</v>
      </c>
      <c r="E599" s="28" t="s">
        <v>34</v>
      </c>
      <c r="F599" s="28" t="s">
        <v>2481</v>
      </c>
      <c r="G599" s="28" t="s">
        <v>2569</v>
      </c>
      <c r="H599" s="28" t="s">
        <v>37</v>
      </c>
      <c r="I599" s="28" t="s">
        <v>38</v>
      </c>
      <c r="J599" s="28" t="s">
        <v>1341</v>
      </c>
      <c r="K599" s="28" t="s">
        <v>1342</v>
      </c>
      <c r="L599" s="28">
        <v>0</v>
      </c>
      <c r="M599" s="28">
        <v>0</v>
      </c>
      <c r="N599" s="28">
        <v>0</v>
      </c>
      <c r="O599" s="28">
        <v>2627951</v>
      </c>
      <c r="P599" s="28" t="s">
        <v>41</v>
      </c>
      <c r="Q599" s="28" t="s">
        <v>42</v>
      </c>
      <c r="R599" s="1" t="s">
        <v>43</v>
      </c>
    </row>
    <row r="600" spans="1:24" x14ac:dyDescent="0.2">
      <c r="A600" s="1" t="s">
        <v>31</v>
      </c>
      <c r="B600" s="1" t="s">
        <v>2570</v>
      </c>
      <c r="C600" s="1" t="s">
        <v>2571</v>
      </c>
      <c r="D600" s="1">
        <f t="shared" si="9"/>
        <v>-1</v>
      </c>
      <c r="E600" s="1" t="s">
        <v>34</v>
      </c>
      <c r="F600" s="1" t="s">
        <v>2481</v>
      </c>
      <c r="G600" s="1" t="s">
        <v>2572</v>
      </c>
      <c r="H600" s="1" t="s">
        <v>37</v>
      </c>
      <c r="I600" s="1" t="s">
        <v>38</v>
      </c>
      <c r="J600" s="1" t="s">
        <v>1204</v>
      </c>
      <c r="K600" s="1" t="s">
        <v>1205</v>
      </c>
      <c r="L600" s="1">
        <v>231249</v>
      </c>
      <c r="M600" s="1">
        <v>0</v>
      </c>
      <c r="N600" s="1">
        <v>0</v>
      </c>
      <c r="O600" s="1">
        <v>1448349</v>
      </c>
      <c r="P600" s="1" t="s">
        <v>41</v>
      </c>
      <c r="Q600" s="1" t="s">
        <v>42</v>
      </c>
      <c r="V600" s="1" t="s">
        <v>43</v>
      </c>
    </row>
    <row r="601" spans="1:24" x14ac:dyDescent="0.2">
      <c r="A601" s="29" t="s">
        <v>31</v>
      </c>
      <c r="B601" s="29" t="s">
        <v>2573</v>
      </c>
      <c r="C601" s="29" t="s">
        <v>2574</v>
      </c>
      <c r="D601" s="29">
        <f t="shared" si="9"/>
        <v>-1</v>
      </c>
      <c r="E601" s="29" t="s">
        <v>34</v>
      </c>
      <c r="F601" s="29" t="s">
        <v>2481</v>
      </c>
      <c r="G601" s="29" t="s">
        <v>2575</v>
      </c>
      <c r="H601" s="29" t="s">
        <v>37</v>
      </c>
      <c r="I601" s="29" t="s">
        <v>38</v>
      </c>
      <c r="J601" s="29" t="s">
        <v>2576</v>
      </c>
      <c r="K601" s="29" t="s">
        <v>2577</v>
      </c>
      <c r="L601" s="29">
        <v>1101981.95</v>
      </c>
      <c r="M601" s="29">
        <v>0</v>
      </c>
      <c r="N601" s="29">
        <v>0</v>
      </c>
      <c r="O601" s="29">
        <v>6901886.9500000002</v>
      </c>
      <c r="P601" s="29" t="s">
        <v>41</v>
      </c>
      <c r="Q601" s="29" t="s">
        <v>42</v>
      </c>
      <c r="T601" s="1" t="s">
        <v>43</v>
      </c>
    </row>
    <row r="602" spans="1:24" x14ac:dyDescent="0.2">
      <c r="A602" s="29" t="s">
        <v>31</v>
      </c>
      <c r="B602" s="29" t="s">
        <v>2578</v>
      </c>
      <c r="C602" s="29" t="s">
        <v>2579</v>
      </c>
      <c r="D602" s="29">
        <f t="shared" si="9"/>
        <v>-1</v>
      </c>
      <c r="E602" s="29" t="s">
        <v>34</v>
      </c>
      <c r="F602" s="29" t="s">
        <v>2481</v>
      </c>
      <c r="G602" s="29" t="s">
        <v>2580</v>
      </c>
      <c r="H602" s="29" t="s">
        <v>37</v>
      </c>
      <c r="I602" s="29" t="s">
        <v>38</v>
      </c>
      <c r="J602" s="29" t="s">
        <v>183</v>
      </c>
      <c r="K602" s="29" t="s">
        <v>184</v>
      </c>
      <c r="L602" s="29">
        <v>67649.5</v>
      </c>
      <c r="M602" s="29">
        <v>0</v>
      </c>
      <c r="N602" s="29">
        <v>0</v>
      </c>
      <c r="O602" s="29">
        <v>423699.5</v>
      </c>
      <c r="P602" s="29" t="s">
        <v>41</v>
      </c>
      <c r="Q602" s="29" t="s">
        <v>42</v>
      </c>
      <c r="T602" s="1" t="s">
        <v>161</v>
      </c>
    </row>
    <row r="603" spans="1:24" x14ac:dyDescent="0.2">
      <c r="A603" s="33" t="s">
        <v>31</v>
      </c>
      <c r="B603" s="33" t="s">
        <v>2581</v>
      </c>
      <c r="C603" s="33" t="s">
        <v>2582</v>
      </c>
      <c r="D603" s="33">
        <f t="shared" si="9"/>
        <v>-1</v>
      </c>
      <c r="E603" s="33" t="s">
        <v>34</v>
      </c>
      <c r="F603" s="33" t="s">
        <v>2481</v>
      </c>
      <c r="G603" s="33" t="s">
        <v>2583</v>
      </c>
      <c r="H603" s="33" t="s">
        <v>37</v>
      </c>
      <c r="I603" s="33" t="s">
        <v>38</v>
      </c>
      <c r="J603" s="33" t="s">
        <v>2584</v>
      </c>
      <c r="K603" s="33" t="s">
        <v>2585</v>
      </c>
      <c r="L603" s="33">
        <v>135090</v>
      </c>
      <c r="M603" s="33">
        <v>0</v>
      </c>
      <c r="N603" s="33">
        <v>0</v>
      </c>
      <c r="O603" s="33">
        <v>846090</v>
      </c>
      <c r="P603" s="33" t="s">
        <v>41</v>
      </c>
      <c r="Q603" s="33" t="s">
        <v>42</v>
      </c>
      <c r="W603" s="33" t="s">
        <v>43</v>
      </c>
      <c r="X603" s="1" t="s">
        <v>2586</v>
      </c>
    </row>
    <row r="604" spans="1:24" x14ac:dyDescent="0.2">
      <c r="A604" s="33" t="s">
        <v>31</v>
      </c>
      <c r="B604" s="33" t="s">
        <v>2587</v>
      </c>
      <c r="C604" s="33" t="s">
        <v>2588</v>
      </c>
      <c r="D604" s="33">
        <f t="shared" si="9"/>
        <v>-1</v>
      </c>
      <c r="E604" s="33" t="s">
        <v>34</v>
      </c>
      <c r="F604" s="33" t="s">
        <v>2481</v>
      </c>
      <c r="G604" s="33" t="s">
        <v>2589</v>
      </c>
      <c r="H604" s="33" t="s">
        <v>37</v>
      </c>
      <c r="I604" s="33" t="s">
        <v>38</v>
      </c>
      <c r="J604" s="33" t="s">
        <v>2590</v>
      </c>
      <c r="K604" s="33" t="s">
        <v>2591</v>
      </c>
      <c r="L604" s="33">
        <v>44650</v>
      </c>
      <c r="M604" s="33">
        <v>0</v>
      </c>
      <c r="N604" s="33">
        <v>0</v>
      </c>
      <c r="O604" s="33">
        <v>279650</v>
      </c>
      <c r="P604" s="33" t="s">
        <v>41</v>
      </c>
      <c r="Q604" s="33" t="s">
        <v>42</v>
      </c>
      <c r="W604" s="33" t="s">
        <v>43</v>
      </c>
      <c r="X604" s="1" t="s">
        <v>263</v>
      </c>
    </row>
    <row r="605" spans="1:24" x14ac:dyDescent="0.2">
      <c r="A605" s="33" t="s">
        <v>31</v>
      </c>
      <c r="B605" s="33" t="s">
        <v>2592</v>
      </c>
      <c r="C605" s="33" t="s">
        <v>2593</v>
      </c>
      <c r="D605" s="33">
        <f t="shared" si="9"/>
        <v>-1</v>
      </c>
      <c r="E605" s="33" t="s">
        <v>34</v>
      </c>
      <c r="F605" s="33" t="s">
        <v>2481</v>
      </c>
      <c r="G605" s="33" t="s">
        <v>2594</v>
      </c>
      <c r="H605" s="33" t="s">
        <v>37</v>
      </c>
      <c r="I605" s="33" t="s">
        <v>38</v>
      </c>
      <c r="J605" s="33" t="s">
        <v>2595</v>
      </c>
      <c r="K605" s="33" t="s">
        <v>2596</v>
      </c>
      <c r="L605" s="33">
        <v>166060</v>
      </c>
      <c r="M605" s="33">
        <v>0</v>
      </c>
      <c r="N605" s="33">
        <v>0</v>
      </c>
      <c r="O605" s="33">
        <v>1040060</v>
      </c>
      <c r="P605" s="33" t="s">
        <v>41</v>
      </c>
      <c r="Q605" s="33" t="s">
        <v>42</v>
      </c>
      <c r="W605" s="33" t="s">
        <v>161</v>
      </c>
      <c r="X605" s="1" t="s">
        <v>129</v>
      </c>
    </row>
    <row r="606" spans="1:24" x14ac:dyDescent="0.2">
      <c r="A606" s="28" t="s">
        <v>31</v>
      </c>
      <c r="B606" s="28" t="s">
        <v>2597</v>
      </c>
      <c r="C606" s="28" t="s">
        <v>2598</v>
      </c>
      <c r="D606" s="28">
        <f t="shared" si="9"/>
        <v>-1</v>
      </c>
      <c r="E606" s="28" t="s">
        <v>34</v>
      </c>
      <c r="F606" s="28" t="s">
        <v>2481</v>
      </c>
      <c r="G606" s="28" t="s">
        <v>2599</v>
      </c>
      <c r="H606" s="28" t="s">
        <v>37</v>
      </c>
      <c r="I606" s="28" t="s">
        <v>38</v>
      </c>
      <c r="J606" s="28" t="s">
        <v>57</v>
      </c>
      <c r="K606" s="28" t="s">
        <v>58</v>
      </c>
      <c r="L606" s="28">
        <v>3365066.25</v>
      </c>
      <c r="M606" s="28">
        <v>0</v>
      </c>
      <c r="N606" s="28">
        <v>0</v>
      </c>
      <c r="O606" s="28">
        <v>90946336.25</v>
      </c>
      <c r="P606" s="28" t="s">
        <v>41</v>
      </c>
      <c r="Q606" s="28" t="s">
        <v>42</v>
      </c>
      <c r="R606" s="1" t="s">
        <v>43</v>
      </c>
    </row>
    <row r="607" spans="1:24" x14ac:dyDescent="0.2">
      <c r="A607" s="1" t="s">
        <v>31</v>
      </c>
      <c r="B607" s="1" t="s">
        <v>2600</v>
      </c>
      <c r="C607" s="1" t="s">
        <v>2601</v>
      </c>
      <c r="D607" s="1">
        <f t="shared" si="9"/>
        <v>-1</v>
      </c>
      <c r="E607" s="1" t="s">
        <v>34</v>
      </c>
      <c r="F607" s="1" t="s">
        <v>2481</v>
      </c>
      <c r="G607" s="1" t="s">
        <v>2602</v>
      </c>
      <c r="H607" s="1" t="s">
        <v>37</v>
      </c>
      <c r="I607" s="1" t="s">
        <v>38</v>
      </c>
      <c r="J607" s="1" t="s">
        <v>877</v>
      </c>
      <c r="K607" s="1" t="s">
        <v>878</v>
      </c>
      <c r="L607" s="1">
        <v>7823.06</v>
      </c>
      <c r="M607" s="1">
        <v>0</v>
      </c>
      <c r="N607" s="1">
        <v>0</v>
      </c>
      <c r="O607" s="1">
        <v>393347.06</v>
      </c>
      <c r="P607" s="1" t="s">
        <v>41</v>
      </c>
      <c r="Q607" s="1" t="s">
        <v>42</v>
      </c>
      <c r="V607" s="1" t="s">
        <v>43</v>
      </c>
    </row>
    <row r="608" spans="1:24" x14ac:dyDescent="0.2">
      <c r="A608" s="28" t="s">
        <v>31</v>
      </c>
      <c r="B608" s="28" t="s">
        <v>2603</v>
      </c>
      <c r="C608" s="28" t="s">
        <v>2604</v>
      </c>
      <c r="D608" s="28">
        <f t="shared" si="9"/>
        <v>-1</v>
      </c>
      <c r="E608" s="28" t="s">
        <v>34</v>
      </c>
      <c r="F608" s="28" t="s">
        <v>2481</v>
      </c>
      <c r="G608" s="28" t="s">
        <v>2605</v>
      </c>
      <c r="H608" s="28" t="s">
        <v>37</v>
      </c>
      <c r="I608" s="28" t="s">
        <v>38</v>
      </c>
      <c r="J608" s="28" t="s">
        <v>275</v>
      </c>
      <c r="K608" s="28" t="s">
        <v>276</v>
      </c>
      <c r="L608" s="28">
        <v>25365</v>
      </c>
      <c r="M608" s="28">
        <v>0</v>
      </c>
      <c r="N608" s="28">
        <v>0</v>
      </c>
      <c r="O608" s="28">
        <v>158865</v>
      </c>
      <c r="P608" s="28" t="s">
        <v>41</v>
      </c>
      <c r="Q608" s="28" t="s">
        <v>42</v>
      </c>
      <c r="R608" s="1" t="s">
        <v>43</v>
      </c>
    </row>
    <row r="609" spans="1:24" x14ac:dyDescent="0.2">
      <c r="A609" s="29" t="s">
        <v>31</v>
      </c>
      <c r="B609" s="29" t="s">
        <v>2606</v>
      </c>
      <c r="C609" s="29" t="s">
        <v>2607</v>
      </c>
      <c r="D609" s="29">
        <f t="shared" si="9"/>
        <v>-1</v>
      </c>
      <c r="E609" s="29" t="s">
        <v>34</v>
      </c>
      <c r="F609" s="29" t="s">
        <v>2481</v>
      </c>
      <c r="G609" s="29" t="s">
        <v>2608</v>
      </c>
      <c r="H609" s="29" t="s">
        <v>37</v>
      </c>
      <c r="I609" s="29" t="s">
        <v>38</v>
      </c>
      <c r="J609" s="29" t="s">
        <v>505</v>
      </c>
      <c r="K609" s="29" t="s">
        <v>506</v>
      </c>
      <c r="L609" s="29">
        <v>0</v>
      </c>
      <c r="M609" s="29">
        <v>0</v>
      </c>
      <c r="N609" s="29">
        <v>0</v>
      </c>
      <c r="O609" s="29">
        <v>4440060</v>
      </c>
      <c r="P609" s="29" t="s">
        <v>41</v>
      </c>
      <c r="Q609" s="29" t="s">
        <v>42</v>
      </c>
      <c r="T609" s="1" t="s">
        <v>43</v>
      </c>
    </row>
    <row r="610" spans="1:24" x14ac:dyDescent="0.2">
      <c r="A610" s="33" t="s">
        <v>31</v>
      </c>
      <c r="B610" s="33" t="s">
        <v>2609</v>
      </c>
      <c r="C610" s="33" t="s">
        <v>2610</v>
      </c>
      <c r="D610" s="33">
        <f t="shared" si="9"/>
        <v>-1</v>
      </c>
      <c r="E610" s="33" t="s">
        <v>34</v>
      </c>
      <c r="F610" s="33" t="s">
        <v>2481</v>
      </c>
      <c r="G610" s="33" t="s">
        <v>2611</v>
      </c>
      <c r="H610" s="33" t="s">
        <v>37</v>
      </c>
      <c r="I610" s="33" t="s">
        <v>38</v>
      </c>
      <c r="J610" s="33" t="s">
        <v>1731</v>
      </c>
      <c r="K610" s="33" t="s">
        <v>1732</v>
      </c>
      <c r="L610" s="33">
        <v>1519810</v>
      </c>
      <c r="M610" s="33">
        <v>0</v>
      </c>
      <c r="N610" s="33">
        <v>0</v>
      </c>
      <c r="O610" s="33">
        <v>9518810</v>
      </c>
      <c r="P610" s="33" t="s">
        <v>41</v>
      </c>
      <c r="Q610" s="33" t="s">
        <v>42</v>
      </c>
      <c r="W610" s="33" t="s">
        <v>43</v>
      </c>
      <c r="X610" s="1" t="s">
        <v>2184</v>
      </c>
    </row>
    <row r="611" spans="1:24" x14ac:dyDescent="0.2">
      <c r="A611" s="33" t="s">
        <v>31</v>
      </c>
      <c r="B611" s="33" t="s">
        <v>2612</v>
      </c>
      <c r="C611" s="33" t="s">
        <v>2613</v>
      </c>
      <c r="D611" s="33">
        <f t="shared" si="9"/>
        <v>-1</v>
      </c>
      <c r="E611" s="33" t="s">
        <v>34</v>
      </c>
      <c r="F611" s="33" t="s">
        <v>2481</v>
      </c>
      <c r="G611" s="33" t="s">
        <v>2614</v>
      </c>
      <c r="H611" s="33" t="s">
        <v>37</v>
      </c>
      <c r="I611" s="33" t="s">
        <v>38</v>
      </c>
      <c r="J611" s="33" t="s">
        <v>652</v>
      </c>
      <c r="K611" s="33" t="s">
        <v>653</v>
      </c>
      <c r="L611" s="33">
        <v>49400</v>
      </c>
      <c r="M611" s="33">
        <v>0</v>
      </c>
      <c r="N611" s="33">
        <v>0</v>
      </c>
      <c r="O611" s="33">
        <v>309400</v>
      </c>
      <c r="P611" s="33" t="s">
        <v>41</v>
      </c>
      <c r="Q611" s="33" t="s">
        <v>42</v>
      </c>
      <c r="W611" s="33" t="s">
        <v>43</v>
      </c>
      <c r="X611" s="1" t="s">
        <v>484</v>
      </c>
    </row>
    <row r="612" spans="1:24" x14ac:dyDescent="0.2">
      <c r="A612" s="33" t="s">
        <v>31</v>
      </c>
      <c r="B612" s="33" t="s">
        <v>2615</v>
      </c>
      <c r="C612" s="33" t="s">
        <v>2616</v>
      </c>
      <c r="D612" s="33">
        <f t="shared" si="9"/>
        <v>-1</v>
      </c>
      <c r="E612" s="33" t="s">
        <v>34</v>
      </c>
      <c r="F612" s="33" t="s">
        <v>2481</v>
      </c>
      <c r="G612" s="33" t="s">
        <v>2617</v>
      </c>
      <c r="H612" s="33" t="s">
        <v>37</v>
      </c>
      <c r="I612" s="33" t="s">
        <v>38</v>
      </c>
      <c r="J612" s="33" t="s">
        <v>2618</v>
      </c>
      <c r="K612" s="33" t="s">
        <v>2619</v>
      </c>
      <c r="L612" s="33">
        <v>113240</v>
      </c>
      <c r="M612" s="33">
        <v>0</v>
      </c>
      <c r="N612" s="33">
        <v>0</v>
      </c>
      <c r="O612" s="33">
        <v>709240</v>
      </c>
      <c r="P612" s="33" t="s">
        <v>41</v>
      </c>
      <c r="Q612" s="33" t="s">
        <v>42</v>
      </c>
      <c r="W612" s="33" t="s">
        <v>43</v>
      </c>
      <c r="X612" s="1" t="s">
        <v>173</v>
      </c>
    </row>
    <row r="613" spans="1:24" x14ac:dyDescent="0.2">
      <c r="A613" s="33" t="s">
        <v>31</v>
      </c>
      <c r="B613" s="33" t="s">
        <v>2620</v>
      </c>
      <c r="C613" s="33" t="s">
        <v>2621</v>
      </c>
      <c r="D613" s="33">
        <f t="shared" si="9"/>
        <v>-1</v>
      </c>
      <c r="E613" s="33" t="s">
        <v>34</v>
      </c>
      <c r="F613" s="33" t="s">
        <v>2481</v>
      </c>
      <c r="G613" s="33" t="s">
        <v>2622</v>
      </c>
      <c r="H613" s="33" t="s">
        <v>37</v>
      </c>
      <c r="I613" s="33" t="s">
        <v>38</v>
      </c>
      <c r="J613" s="33" t="s">
        <v>1498</v>
      </c>
      <c r="K613" s="33" t="s">
        <v>1499</v>
      </c>
      <c r="L613" s="33">
        <v>205200</v>
      </c>
      <c r="M613" s="33">
        <v>0</v>
      </c>
      <c r="N613" s="33">
        <v>0</v>
      </c>
      <c r="O613" s="33">
        <v>1285200</v>
      </c>
      <c r="P613" s="33" t="s">
        <v>41</v>
      </c>
      <c r="Q613" s="33" t="s">
        <v>42</v>
      </c>
      <c r="W613" s="33" t="s">
        <v>43</v>
      </c>
      <c r="X613" s="1" t="s">
        <v>369</v>
      </c>
    </row>
    <row r="614" spans="1:24" x14ac:dyDescent="0.2">
      <c r="A614" s="1" t="s">
        <v>31</v>
      </c>
      <c r="B614" s="1" t="s">
        <v>2623</v>
      </c>
      <c r="C614" s="1" t="s">
        <v>2624</v>
      </c>
      <c r="D614" s="1">
        <f t="shared" si="9"/>
        <v>-1</v>
      </c>
      <c r="E614" s="1" t="s">
        <v>34</v>
      </c>
      <c r="F614" s="1" t="s">
        <v>2481</v>
      </c>
      <c r="G614" s="1" t="s">
        <v>2625</v>
      </c>
      <c r="H614" s="1" t="s">
        <v>37</v>
      </c>
      <c r="I614" s="1" t="s">
        <v>38</v>
      </c>
      <c r="J614" s="1" t="s">
        <v>2626</v>
      </c>
      <c r="K614" s="1" t="s">
        <v>2627</v>
      </c>
      <c r="L614" s="1">
        <v>106330.08</v>
      </c>
      <c r="M614" s="1">
        <v>0</v>
      </c>
      <c r="N614" s="1">
        <v>0</v>
      </c>
      <c r="O614" s="1">
        <v>665962.07999999996</v>
      </c>
      <c r="P614" s="1" t="s">
        <v>41</v>
      </c>
      <c r="Q614" s="1" t="s">
        <v>42</v>
      </c>
      <c r="V614" s="1" t="s">
        <v>43</v>
      </c>
    </row>
    <row r="615" spans="1:24" x14ac:dyDescent="0.2">
      <c r="A615" s="33" t="s">
        <v>31</v>
      </c>
      <c r="B615" s="33" t="s">
        <v>2628</v>
      </c>
      <c r="C615" s="33" t="s">
        <v>2629</v>
      </c>
      <c r="D615" s="33">
        <f t="shared" si="9"/>
        <v>-1</v>
      </c>
      <c r="E615" s="33" t="s">
        <v>34</v>
      </c>
      <c r="F615" s="33" t="s">
        <v>2481</v>
      </c>
      <c r="G615" s="33" t="s">
        <v>2630</v>
      </c>
      <c r="H615" s="33" t="s">
        <v>37</v>
      </c>
      <c r="I615" s="33" t="s">
        <v>38</v>
      </c>
      <c r="J615" s="33" t="s">
        <v>2631</v>
      </c>
      <c r="K615" s="33" t="s">
        <v>2632</v>
      </c>
      <c r="L615" s="33">
        <v>253486.72</v>
      </c>
      <c r="M615" s="33">
        <v>0</v>
      </c>
      <c r="N615" s="33">
        <v>0</v>
      </c>
      <c r="O615" s="33">
        <v>2215655.7200000002</v>
      </c>
      <c r="P615" s="33" t="s">
        <v>41</v>
      </c>
      <c r="Q615" s="33" t="s">
        <v>42</v>
      </c>
      <c r="W615" s="33" t="s">
        <v>43</v>
      </c>
      <c r="X615" s="1" t="s">
        <v>459</v>
      </c>
    </row>
    <row r="616" spans="1:24" x14ac:dyDescent="0.2">
      <c r="A616" s="33" t="s">
        <v>31</v>
      </c>
      <c r="B616" s="33" t="s">
        <v>2633</v>
      </c>
      <c r="C616" s="33" t="s">
        <v>2634</v>
      </c>
      <c r="D616" s="33">
        <f t="shared" si="9"/>
        <v>-1</v>
      </c>
      <c r="E616" s="33" t="s">
        <v>34</v>
      </c>
      <c r="F616" s="33" t="s">
        <v>2481</v>
      </c>
      <c r="G616" s="33" t="s">
        <v>2635</v>
      </c>
      <c r="H616" s="33" t="s">
        <v>37</v>
      </c>
      <c r="I616" s="33" t="s">
        <v>38</v>
      </c>
      <c r="J616" s="33" t="s">
        <v>2636</v>
      </c>
      <c r="K616" s="33" t="s">
        <v>2637</v>
      </c>
      <c r="L616" s="33">
        <v>308068.65000000002</v>
      </c>
      <c r="M616" s="33">
        <v>0</v>
      </c>
      <c r="N616" s="33">
        <v>0</v>
      </c>
      <c r="O616" s="33">
        <v>2344499.65</v>
      </c>
      <c r="P616" s="33" t="s">
        <v>41</v>
      </c>
      <c r="Q616" s="33" t="s">
        <v>42</v>
      </c>
      <c r="W616" s="33" t="s">
        <v>161</v>
      </c>
      <c r="X616" s="1" t="s">
        <v>129</v>
      </c>
    </row>
    <row r="617" spans="1:24" x14ac:dyDescent="0.2">
      <c r="A617" s="29" t="s">
        <v>31</v>
      </c>
      <c r="B617" s="29" t="s">
        <v>2638</v>
      </c>
      <c r="C617" s="29" t="s">
        <v>2639</v>
      </c>
      <c r="D617" s="29">
        <f t="shared" si="9"/>
        <v>-1</v>
      </c>
      <c r="E617" s="29" t="s">
        <v>34</v>
      </c>
      <c r="F617" s="29" t="s">
        <v>2481</v>
      </c>
      <c r="G617" s="29" t="s">
        <v>2640</v>
      </c>
      <c r="H617" s="29" t="s">
        <v>37</v>
      </c>
      <c r="I617" s="29" t="s">
        <v>38</v>
      </c>
      <c r="J617" s="29" t="s">
        <v>79</v>
      </c>
      <c r="K617" s="29" t="s">
        <v>80</v>
      </c>
      <c r="L617" s="29">
        <v>118222.18</v>
      </c>
      <c r="M617" s="29">
        <v>0</v>
      </c>
      <c r="N617" s="29">
        <v>0</v>
      </c>
      <c r="O617" s="29">
        <v>740444.18</v>
      </c>
      <c r="P617" s="29" t="s">
        <v>41</v>
      </c>
      <c r="Q617" s="29" t="s">
        <v>42</v>
      </c>
      <c r="T617" s="1" t="s">
        <v>43</v>
      </c>
    </row>
    <row r="618" spans="1:24" x14ac:dyDescent="0.2">
      <c r="A618" s="29" t="s">
        <v>31</v>
      </c>
      <c r="B618" s="29" t="s">
        <v>2641</v>
      </c>
      <c r="C618" s="29" t="s">
        <v>2642</v>
      </c>
      <c r="D618" s="29">
        <f t="shared" si="9"/>
        <v>-1</v>
      </c>
      <c r="E618" s="29" t="s">
        <v>34</v>
      </c>
      <c r="F618" s="29" t="s">
        <v>2481</v>
      </c>
      <c r="G618" s="29" t="s">
        <v>2643</v>
      </c>
      <c r="H618" s="29" t="s">
        <v>37</v>
      </c>
      <c r="I618" s="29" t="s">
        <v>38</v>
      </c>
      <c r="J618" s="29" t="s">
        <v>2644</v>
      </c>
      <c r="K618" s="29" t="s">
        <v>2645</v>
      </c>
      <c r="L618" s="29">
        <v>59111.09</v>
      </c>
      <c r="M618" s="29">
        <v>0</v>
      </c>
      <c r="N618" s="29">
        <v>0</v>
      </c>
      <c r="O618" s="29">
        <v>370222.09</v>
      </c>
      <c r="P618" s="29" t="s">
        <v>41</v>
      </c>
      <c r="Q618" s="29" t="s">
        <v>42</v>
      </c>
      <c r="T618" s="1" t="s">
        <v>43</v>
      </c>
    </row>
    <row r="619" spans="1:24" x14ac:dyDescent="0.2">
      <c r="A619" s="29" t="s">
        <v>31</v>
      </c>
      <c r="B619" s="29" t="s">
        <v>2646</v>
      </c>
      <c r="C619" s="29" t="s">
        <v>2647</v>
      </c>
      <c r="D619" s="29">
        <f t="shared" si="9"/>
        <v>-1</v>
      </c>
      <c r="E619" s="29" t="s">
        <v>34</v>
      </c>
      <c r="F619" s="29" t="s">
        <v>2481</v>
      </c>
      <c r="G619" s="29" t="s">
        <v>2648</v>
      </c>
      <c r="H619" s="29" t="s">
        <v>37</v>
      </c>
      <c r="I619" s="29" t="s">
        <v>38</v>
      </c>
      <c r="J619" s="29" t="s">
        <v>79</v>
      </c>
      <c r="K619" s="29" t="s">
        <v>80</v>
      </c>
      <c r="L619" s="29">
        <v>59111.09</v>
      </c>
      <c r="M619" s="29">
        <v>0</v>
      </c>
      <c r="N619" s="29">
        <v>0</v>
      </c>
      <c r="O619" s="29">
        <v>370222.09</v>
      </c>
      <c r="P619" s="29" t="s">
        <v>41</v>
      </c>
      <c r="Q619" s="29" t="s">
        <v>42</v>
      </c>
      <c r="T619" s="1" t="s">
        <v>43</v>
      </c>
    </row>
    <row r="620" spans="1:24" x14ac:dyDescent="0.2">
      <c r="A620" s="29" t="s">
        <v>31</v>
      </c>
      <c r="B620" s="29" t="s">
        <v>2649</v>
      </c>
      <c r="C620" s="29" t="s">
        <v>2650</v>
      </c>
      <c r="D620" s="29">
        <f t="shared" si="9"/>
        <v>-1</v>
      </c>
      <c r="E620" s="29" t="s">
        <v>34</v>
      </c>
      <c r="F620" s="29" t="s">
        <v>2481</v>
      </c>
      <c r="G620" s="29" t="s">
        <v>2651</v>
      </c>
      <c r="H620" s="29" t="s">
        <v>37</v>
      </c>
      <c r="I620" s="29" t="s">
        <v>38</v>
      </c>
      <c r="J620" s="29" t="s">
        <v>550</v>
      </c>
      <c r="K620" s="29" t="s">
        <v>551</v>
      </c>
      <c r="L620" s="29">
        <v>63957.8</v>
      </c>
      <c r="M620" s="29">
        <v>0</v>
      </c>
      <c r="N620" s="29">
        <v>0</v>
      </c>
      <c r="O620" s="29">
        <v>400577.8</v>
      </c>
      <c r="P620" s="29" t="s">
        <v>41</v>
      </c>
      <c r="Q620" s="29" t="s">
        <v>42</v>
      </c>
      <c r="T620" s="1" t="s">
        <v>161</v>
      </c>
    </row>
    <row r="621" spans="1:24" x14ac:dyDescent="0.2">
      <c r="A621" s="33" t="s">
        <v>31</v>
      </c>
      <c r="B621" s="33" t="s">
        <v>2652</v>
      </c>
      <c r="C621" s="33" t="s">
        <v>2653</v>
      </c>
      <c r="D621" s="33">
        <f t="shared" si="9"/>
        <v>-1</v>
      </c>
      <c r="E621" s="33" t="s">
        <v>34</v>
      </c>
      <c r="F621" s="33" t="s">
        <v>2481</v>
      </c>
      <c r="G621" s="33" t="s">
        <v>2654</v>
      </c>
      <c r="H621" s="33" t="s">
        <v>37</v>
      </c>
      <c r="I621" s="33" t="s">
        <v>38</v>
      </c>
      <c r="J621" s="33" t="s">
        <v>2655</v>
      </c>
      <c r="K621" s="33" t="s">
        <v>2656</v>
      </c>
      <c r="L621" s="33">
        <v>127104.3</v>
      </c>
      <c r="M621" s="33">
        <v>0</v>
      </c>
      <c r="N621" s="33">
        <v>0</v>
      </c>
      <c r="O621" s="33">
        <v>796074.3</v>
      </c>
      <c r="P621" s="33" t="s">
        <v>41</v>
      </c>
      <c r="Q621" s="33" t="s">
        <v>42</v>
      </c>
      <c r="W621" s="33" t="s">
        <v>43</v>
      </c>
      <c r="X621" s="1" t="s">
        <v>665</v>
      </c>
    </row>
    <row r="622" spans="1:24" x14ac:dyDescent="0.2">
      <c r="A622" s="28" t="s">
        <v>31</v>
      </c>
      <c r="B622" s="28" t="s">
        <v>2657</v>
      </c>
      <c r="C622" s="28" t="s">
        <v>2658</v>
      </c>
      <c r="D622" s="28">
        <f t="shared" si="9"/>
        <v>-1</v>
      </c>
      <c r="E622" s="28" t="s">
        <v>34</v>
      </c>
      <c r="F622" s="28" t="s">
        <v>2481</v>
      </c>
      <c r="G622" s="28" t="s">
        <v>2659</v>
      </c>
      <c r="H622" s="28" t="s">
        <v>37</v>
      </c>
      <c r="I622" s="28" t="s">
        <v>38</v>
      </c>
      <c r="J622" s="28" t="s">
        <v>767</v>
      </c>
      <c r="K622" s="28" t="s">
        <v>768</v>
      </c>
      <c r="L622" s="28">
        <v>15960</v>
      </c>
      <c r="M622" s="28">
        <v>0</v>
      </c>
      <c r="N622" s="28">
        <v>0</v>
      </c>
      <c r="O622" s="28">
        <v>99960</v>
      </c>
      <c r="P622" s="28" t="s">
        <v>41</v>
      </c>
      <c r="Q622" s="28" t="s">
        <v>42</v>
      </c>
      <c r="R622" s="1" t="s">
        <v>43</v>
      </c>
    </row>
    <row r="623" spans="1:24" x14ac:dyDescent="0.2">
      <c r="A623" s="28" t="s">
        <v>31</v>
      </c>
      <c r="B623" s="28" t="s">
        <v>2660</v>
      </c>
      <c r="C623" s="28" t="s">
        <v>2661</v>
      </c>
      <c r="D623" s="28">
        <f t="shared" si="9"/>
        <v>-1</v>
      </c>
      <c r="E623" s="28" t="s">
        <v>34</v>
      </c>
      <c r="F623" s="28" t="s">
        <v>2481</v>
      </c>
      <c r="G623" s="28" t="s">
        <v>2662</v>
      </c>
      <c r="H623" s="28" t="s">
        <v>37</v>
      </c>
      <c r="I623" s="28" t="s">
        <v>38</v>
      </c>
      <c r="J623" s="28" t="s">
        <v>2663</v>
      </c>
      <c r="K623" s="28" t="s">
        <v>2664</v>
      </c>
      <c r="L623" s="28">
        <v>635550</v>
      </c>
      <c r="M623" s="28">
        <v>0</v>
      </c>
      <c r="N623" s="28">
        <v>0</v>
      </c>
      <c r="O623" s="28">
        <v>3980550</v>
      </c>
      <c r="P623" s="28" t="s">
        <v>41</v>
      </c>
      <c r="Q623" s="28" t="s">
        <v>42</v>
      </c>
      <c r="R623" s="1" t="s">
        <v>43</v>
      </c>
    </row>
    <row r="624" spans="1:24" x14ac:dyDescent="0.2">
      <c r="A624" s="33" t="s">
        <v>31</v>
      </c>
      <c r="B624" s="33" t="s">
        <v>2665</v>
      </c>
      <c r="C624" s="33" t="s">
        <v>2666</v>
      </c>
      <c r="D624" s="33">
        <f t="shared" si="9"/>
        <v>-1</v>
      </c>
      <c r="E624" s="33" t="s">
        <v>34</v>
      </c>
      <c r="F624" s="33" t="s">
        <v>2481</v>
      </c>
      <c r="G624" s="33" t="s">
        <v>2667</v>
      </c>
      <c r="H624" s="33" t="s">
        <v>37</v>
      </c>
      <c r="I624" s="33" t="s">
        <v>38</v>
      </c>
      <c r="J624" s="33" t="s">
        <v>1779</v>
      </c>
      <c r="K624" s="33" t="s">
        <v>1780</v>
      </c>
      <c r="L624" s="33">
        <v>11856</v>
      </c>
      <c r="M624" s="33">
        <v>0</v>
      </c>
      <c r="N624" s="33">
        <v>0</v>
      </c>
      <c r="O624" s="33">
        <v>74256</v>
      </c>
      <c r="P624" s="33" t="s">
        <v>41</v>
      </c>
      <c r="Q624" s="33" t="s">
        <v>42</v>
      </c>
      <c r="W624" s="33" t="s">
        <v>161</v>
      </c>
      <c r="X624" s="1" t="s">
        <v>2668</v>
      </c>
    </row>
    <row r="625" spans="1:24" x14ac:dyDescent="0.2">
      <c r="A625" s="28" t="s">
        <v>31</v>
      </c>
      <c r="B625" s="28" t="s">
        <v>2669</v>
      </c>
      <c r="C625" s="28" t="s">
        <v>2670</v>
      </c>
      <c r="D625" s="28">
        <f t="shared" si="9"/>
        <v>-1</v>
      </c>
      <c r="E625" s="28" t="s">
        <v>34</v>
      </c>
      <c r="F625" s="28" t="s">
        <v>2481</v>
      </c>
      <c r="G625" s="28" t="s">
        <v>2671</v>
      </c>
      <c r="H625" s="28" t="s">
        <v>37</v>
      </c>
      <c r="I625" s="28" t="s">
        <v>38</v>
      </c>
      <c r="J625" s="28" t="s">
        <v>62</v>
      </c>
      <c r="K625" s="28" t="s">
        <v>63</v>
      </c>
      <c r="L625" s="28">
        <v>3173517.56</v>
      </c>
      <c r="M625" s="28">
        <v>0</v>
      </c>
      <c r="N625" s="28">
        <v>0</v>
      </c>
      <c r="O625" s="28">
        <v>19876241.559999999</v>
      </c>
      <c r="P625" s="28" t="s">
        <v>41</v>
      </c>
      <c r="Q625" s="28" t="s">
        <v>42</v>
      </c>
      <c r="R625" s="1" t="s">
        <v>43</v>
      </c>
    </row>
    <row r="626" spans="1:24" x14ac:dyDescent="0.2">
      <c r="A626" s="33" t="s">
        <v>31</v>
      </c>
      <c r="B626" s="33" t="s">
        <v>2672</v>
      </c>
      <c r="C626" s="33" t="s">
        <v>2673</v>
      </c>
      <c r="D626" s="33">
        <f t="shared" si="9"/>
        <v>-1</v>
      </c>
      <c r="E626" s="33" t="s">
        <v>34</v>
      </c>
      <c r="F626" s="33" t="s">
        <v>2481</v>
      </c>
      <c r="G626" s="33" t="s">
        <v>2674</v>
      </c>
      <c r="H626" s="33" t="s">
        <v>37</v>
      </c>
      <c r="I626" s="33" t="s">
        <v>38</v>
      </c>
      <c r="J626" s="33" t="s">
        <v>637</v>
      </c>
      <c r="K626" s="33" t="s">
        <v>638</v>
      </c>
      <c r="L626" s="33">
        <v>481755.64</v>
      </c>
      <c r="M626" s="33">
        <v>0</v>
      </c>
      <c r="N626" s="33">
        <v>0</v>
      </c>
      <c r="O626" s="33">
        <v>3017311.64</v>
      </c>
      <c r="P626" s="33" t="s">
        <v>41</v>
      </c>
      <c r="Q626" s="33" t="s">
        <v>42</v>
      </c>
      <c r="W626" s="33" t="s">
        <v>161</v>
      </c>
      <c r="X626" s="1" t="s">
        <v>129</v>
      </c>
    </row>
    <row r="627" spans="1:24" x14ac:dyDescent="0.2">
      <c r="A627" s="33" t="s">
        <v>31</v>
      </c>
      <c r="B627" s="33" t="s">
        <v>2675</v>
      </c>
      <c r="C627" s="33" t="s">
        <v>2676</v>
      </c>
      <c r="D627" s="33">
        <f t="shared" si="9"/>
        <v>-1</v>
      </c>
      <c r="E627" s="33" t="s">
        <v>34</v>
      </c>
      <c r="F627" s="33" t="s">
        <v>2481</v>
      </c>
      <c r="G627" s="33" t="s">
        <v>2677</v>
      </c>
      <c r="H627" s="33" t="s">
        <v>37</v>
      </c>
      <c r="I627" s="33" t="s">
        <v>38</v>
      </c>
      <c r="J627" s="33" t="s">
        <v>1218</v>
      </c>
      <c r="K627" s="33" t="s">
        <v>1219</v>
      </c>
      <c r="L627" s="33">
        <v>271700</v>
      </c>
      <c r="M627" s="33">
        <v>0</v>
      </c>
      <c r="N627" s="33">
        <v>0</v>
      </c>
      <c r="O627" s="33">
        <v>1701700</v>
      </c>
      <c r="P627" s="33" t="s">
        <v>41</v>
      </c>
      <c r="Q627" s="33" t="s">
        <v>42</v>
      </c>
      <c r="W627" s="33" t="s">
        <v>161</v>
      </c>
      <c r="X627" s="1" t="s">
        <v>2004</v>
      </c>
    </row>
    <row r="628" spans="1:24" x14ac:dyDescent="0.2">
      <c r="A628" s="33" t="s">
        <v>31</v>
      </c>
      <c r="B628" s="33" t="s">
        <v>2678</v>
      </c>
      <c r="C628" s="33" t="s">
        <v>2679</v>
      </c>
      <c r="D628" s="33">
        <f t="shared" si="9"/>
        <v>-1</v>
      </c>
      <c r="E628" s="33" t="s">
        <v>34</v>
      </c>
      <c r="F628" s="33" t="s">
        <v>2481</v>
      </c>
      <c r="G628" s="33" t="s">
        <v>2680</v>
      </c>
      <c r="H628" s="33" t="s">
        <v>37</v>
      </c>
      <c r="I628" s="33" t="s">
        <v>38</v>
      </c>
      <c r="J628" s="33" t="s">
        <v>2681</v>
      </c>
      <c r="K628" s="33" t="s">
        <v>2682</v>
      </c>
      <c r="L628" s="33">
        <v>121087</v>
      </c>
      <c r="M628" s="33">
        <v>0</v>
      </c>
      <c r="N628" s="33">
        <v>0</v>
      </c>
      <c r="O628" s="33">
        <v>758387</v>
      </c>
      <c r="P628" s="33" t="s">
        <v>41</v>
      </c>
      <c r="Q628" s="33" t="s">
        <v>42</v>
      </c>
      <c r="W628" s="33" t="s">
        <v>43</v>
      </c>
      <c r="X628" s="1" t="s">
        <v>731</v>
      </c>
    </row>
    <row r="629" spans="1:24" x14ac:dyDescent="0.2">
      <c r="A629" s="28" t="s">
        <v>31</v>
      </c>
      <c r="B629" s="28" t="s">
        <v>2683</v>
      </c>
      <c r="C629" s="28" t="s">
        <v>2684</v>
      </c>
      <c r="D629" s="28">
        <f t="shared" si="9"/>
        <v>-1</v>
      </c>
      <c r="E629" s="28" t="s">
        <v>34</v>
      </c>
      <c r="F629" s="28" t="s">
        <v>2481</v>
      </c>
      <c r="G629" s="28" t="s">
        <v>2685</v>
      </c>
      <c r="H629" s="28" t="s">
        <v>37</v>
      </c>
      <c r="I629" s="28" t="s">
        <v>38</v>
      </c>
      <c r="J629" s="28" t="s">
        <v>2469</v>
      </c>
      <c r="K629" s="28" t="s">
        <v>2470</v>
      </c>
      <c r="L629" s="28">
        <v>1064000</v>
      </c>
      <c r="M629" s="28">
        <v>0</v>
      </c>
      <c r="N629" s="28">
        <v>0</v>
      </c>
      <c r="O629" s="28">
        <v>6664000</v>
      </c>
      <c r="P629" s="28" t="s">
        <v>41</v>
      </c>
      <c r="Q629" s="28" t="s">
        <v>42</v>
      </c>
      <c r="R629" s="1" t="s">
        <v>43</v>
      </c>
    </row>
    <row r="630" spans="1:24" x14ac:dyDescent="0.2">
      <c r="A630" s="33" t="s">
        <v>31</v>
      </c>
      <c r="B630" s="33" t="s">
        <v>2686</v>
      </c>
      <c r="C630" s="33" t="s">
        <v>2687</v>
      </c>
      <c r="D630" s="33">
        <f t="shared" si="9"/>
        <v>-1</v>
      </c>
      <c r="E630" s="33" t="s">
        <v>34</v>
      </c>
      <c r="F630" s="33" t="s">
        <v>2481</v>
      </c>
      <c r="G630" s="33" t="s">
        <v>2688</v>
      </c>
      <c r="H630" s="33" t="s">
        <v>37</v>
      </c>
      <c r="I630" s="33" t="s">
        <v>38</v>
      </c>
      <c r="J630" s="33" t="s">
        <v>2689</v>
      </c>
      <c r="K630" s="33" t="s">
        <v>2690</v>
      </c>
      <c r="L630" s="33">
        <v>2181444.15</v>
      </c>
      <c r="M630" s="33">
        <v>0</v>
      </c>
      <c r="N630" s="33">
        <v>0</v>
      </c>
      <c r="O630" s="33">
        <v>13662729.15</v>
      </c>
      <c r="P630" s="33" t="s">
        <v>41</v>
      </c>
      <c r="Q630" s="33" t="s">
        <v>42</v>
      </c>
      <c r="W630" s="33" t="s">
        <v>161</v>
      </c>
      <c r="X630" s="1" t="s">
        <v>439</v>
      </c>
    </row>
    <row r="631" spans="1:24" x14ac:dyDescent="0.2">
      <c r="A631" s="29" t="s">
        <v>31</v>
      </c>
      <c r="B631" s="29" t="s">
        <v>2691</v>
      </c>
      <c r="C631" s="29" t="s">
        <v>2692</v>
      </c>
      <c r="D631" s="29">
        <f t="shared" si="9"/>
        <v>-1</v>
      </c>
      <c r="E631" s="29" t="s">
        <v>34</v>
      </c>
      <c r="F631" s="29" t="s">
        <v>2481</v>
      </c>
      <c r="G631" s="29" t="s">
        <v>2693</v>
      </c>
      <c r="H631" s="29" t="s">
        <v>37</v>
      </c>
      <c r="I631" s="29" t="s">
        <v>38</v>
      </c>
      <c r="J631" s="29" t="s">
        <v>1305</v>
      </c>
      <c r="K631" s="29" t="s">
        <v>1306</v>
      </c>
      <c r="L631" s="29">
        <v>14257600</v>
      </c>
      <c r="M631" s="29">
        <v>0</v>
      </c>
      <c r="N631" s="29">
        <v>0</v>
      </c>
      <c r="O631" s="29">
        <v>89297600</v>
      </c>
      <c r="P631" s="29" t="s">
        <v>41</v>
      </c>
      <c r="Q631" s="29" t="s">
        <v>42</v>
      </c>
      <c r="T631" s="1" t="s">
        <v>43</v>
      </c>
    </row>
    <row r="632" spans="1:24" x14ac:dyDescent="0.2">
      <c r="A632" s="33" t="s">
        <v>31</v>
      </c>
      <c r="B632" s="33" t="s">
        <v>2694</v>
      </c>
      <c r="C632" s="33" t="s">
        <v>2695</v>
      </c>
      <c r="D632" s="33">
        <f t="shared" si="9"/>
        <v>-1</v>
      </c>
      <c r="E632" s="33" t="s">
        <v>34</v>
      </c>
      <c r="F632" s="33" t="s">
        <v>2481</v>
      </c>
      <c r="G632" s="33" t="s">
        <v>2696</v>
      </c>
      <c r="H632" s="33" t="s">
        <v>37</v>
      </c>
      <c r="I632" s="33" t="s">
        <v>38</v>
      </c>
      <c r="J632" s="33" t="s">
        <v>1593</v>
      </c>
      <c r="K632" s="33" t="s">
        <v>1594</v>
      </c>
      <c r="L632" s="33">
        <v>277875</v>
      </c>
      <c r="M632" s="33">
        <v>0</v>
      </c>
      <c r="N632" s="33">
        <v>0</v>
      </c>
      <c r="O632" s="33">
        <v>1740375</v>
      </c>
      <c r="P632" s="33" t="s">
        <v>41</v>
      </c>
      <c r="Q632" s="33" t="s">
        <v>42</v>
      </c>
      <c r="W632" s="33" t="s">
        <v>43</v>
      </c>
      <c r="X632" s="1" t="s">
        <v>237</v>
      </c>
    </row>
    <row r="633" spans="1:24" x14ac:dyDescent="0.2">
      <c r="A633" s="33" t="s">
        <v>31</v>
      </c>
      <c r="B633" s="33" t="s">
        <v>2697</v>
      </c>
      <c r="C633" s="33" t="s">
        <v>2698</v>
      </c>
      <c r="D633" s="33">
        <f t="shared" si="9"/>
        <v>-1</v>
      </c>
      <c r="E633" s="33" t="s">
        <v>34</v>
      </c>
      <c r="F633" s="33" t="s">
        <v>2481</v>
      </c>
      <c r="G633" s="33" t="s">
        <v>2699</v>
      </c>
      <c r="H633" s="33" t="s">
        <v>37</v>
      </c>
      <c r="I633" s="33" t="s">
        <v>38</v>
      </c>
      <c r="J633" s="33" t="s">
        <v>2700</v>
      </c>
      <c r="K633" s="33" t="s">
        <v>2701</v>
      </c>
      <c r="L633" s="33">
        <v>1518195</v>
      </c>
      <c r="M633" s="33">
        <v>0</v>
      </c>
      <c r="N633" s="33">
        <v>0</v>
      </c>
      <c r="O633" s="33">
        <v>9508695</v>
      </c>
      <c r="P633" s="33" t="s">
        <v>41</v>
      </c>
      <c r="Q633" s="33" t="s">
        <v>42</v>
      </c>
      <c r="W633" s="33" t="s">
        <v>43</v>
      </c>
      <c r="X633" s="1" t="s">
        <v>129</v>
      </c>
    </row>
    <row r="634" spans="1:24" x14ac:dyDescent="0.2">
      <c r="A634" s="33" t="s">
        <v>31</v>
      </c>
      <c r="B634" s="33" t="s">
        <v>2702</v>
      </c>
      <c r="C634" s="33" t="s">
        <v>2703</v>
      </c>
      <c r="D634" s="33">
        <f t="shared" si="9"/>
        <v>-1</v>
      </c>
      <c r="E634" s="33" t="s">
        <v>34</v>
      </c>
      <c r="F634" s="33" t="s">
        <v>2481</v>
      </c>
      <c r="G634" s="33" t="s">
        <v>2704</v>
      </c>
      <c r="H634" s="33" t="s">
        <v>37</v>
      </c>
      <c r="I634" s="33" t="s">
        <v>38</v>
      </c>
      <c r="J634" s="33" t="s">
        <v>2705</v>
      </c>
      <c r="K634" s="33" t="s">
        <v>2706</v>
      </c>
      <c r="L634" s="33">
        <v>754015</v>
      </c>
      <c r="M634" s="33">
        <v>0</v>
      </c>
      <c r="N634" s="33">
        <v>0</v>
      </c>
      <c r="O634" s="33">
        <v>4722515</v>
      </c>
      <c r="P634" s="33" t="s">
        <v>41</v>
      </c>
      <c r="Q634" s="33" t="s">
        <v>42</v>
      </c>
      <c r="W634" s="33" t="s">
        <v>43</v>
      </c>
      <c r="X634" s="1" t="s">
        <v>226</v>
      </c>
    </row>
    <row r="635" spans="1:24" x14ac:dyDescent="0.2">
      <c r="A635" s="1" t="s">
        <v>31</v>
      </c>
      <c r="B635" s="1" t="s">
        <v>2707</v>
      </c>
      <c r="C635" s="1" t="s">
        <v>2708</v>
      </c>
      <c r="D635" s="1">
        <f t="shared" si="9"/>
        <v>-1</v>
      </c>
      <c r="E635" s="1" t="s">
        <v>34</v>
      </c>
      <c r="F635" s="1" t="s">
        <v>2481</v>
      </c>
      <c r="G635" s="1" t="s">
        <v>2709</v>
      </c>
      <c r="H635" s="1" t="s">
        <v>37</v>
      </c>
      <c r="I635" s="1" t="s">
        <v>38</v>
      </c>
      <c r="J635" s="1" t="s">
        <v>2710</v>
      </c>
      <c r="K635" s="1" t="s">
        <v>2711</v>
      </c>
      <c r="L635" s="1">
        <v>272058</v>
      </c>
      <c r="M635" s="1">
        <v>0</v>
      </c>
      <c r="N635" s="1">
        <v>0</v>
      </c>
      <c r="O635" s="1">
        <v>1833458</v>
      </c>
      <c r="P635" s="1" t="s">
        <v>41</v>
      </c>
      <c r="Q635" s="1" t="s">
        <v>42</v>
      </c>
      <c r="V635" s="1" t="s">
        <v>43</v>
      </c>
    </row>
    <row r="636" spans="1:24" x14ac:dyDescent="0.2">
      <c r="A636" s="33" t="s">
        <v>31</v>
      </c>
      <c r="B636" s="33" t="s">
        <v>2712</v>
      </c>
      <c r="C636" s="33" t="s">
        <v>2713</v>
      </c>
      <c r="D636" s="33">
        <f t="shared" si="9"/>
        <v>-1</v>
      </c>
      <c r="E636" s="33" t="s">
        <v>34</v>
      </c>
      <c r="F636" s="33" t="s">
        <v>2481</v>
      </c>
      <c r="G636" s="33" t="s">
        <v>2714</v>
      </c>
      <c r="H636" s="33" t="s">
        <v>37</v>
      </c>
      <c r="I636" s="33" t="s">
        <v>38</v>
      </c>
      <c r="J636" s="33" t="s">
        <v>2715</v>
      </c>
      <c r="K636" s="33" t="s">
        <v>2716</v>
      </c>
      <c r="L636" s="33">
        <v>202065</v>
      </c>
      <c r="M636" s="33">
        <v>0</v>
      </c>
      <c r="N636" s="33">
        <v>0</v>
      </c>
      <c r="O636" s="33">
        <v>1265565</v>
      </c>
      <c r="P636" s="33" t="s">
        <v>41</v>
      </c>
      <c r="Q636" s="33" t="s">
        <v>42</v>
      </c>
      <c r="W636" s="33" t="s">
        <v>43</v>
      </c>
      <c r="X636" s="1" t="s">
        <v>742</v>
      </c>
    </row>
    <row r="637" spans="1:24" x14ac:dyDescent="0.2">
      <c r="A637" s="29" t="s">
        <v>31</v>
      </c>
      <c r="B637" s="29" t="s">
        <v>2717</v>
      </c>
      <c r="C637" s="29" t="s">
        <v>2718</v>
      </c>
      <c r="D637" s="29">
        <f t="shared" si="9"/>
        <v>-1</v>
      </c>
      <c r="E637" s="29" t="s">
        <v>34</v>
      </c>
      <c r="F637" s="29" t="s">
        <v>2481</v>
      </c>
      <c r="G637" s="29" t="s">
        <v>2719</v>
      </c>
      <c r="H637" s="29" t="s">
        <v>37</v>
      </c>
      <c r="I637" s="29" t="s">
        <v>38</v>
      </c>
      <c r="J637" s="29" t="s">
        <v>2720</v>
      </c>
      <c r="K637" s="29" t="s">
        <v>2721</v>
      </c>
      <c r="L637" s="29">
        <v>319200</v>
      </c>
      <c r="M637" s="29">
        <v>0</v>
      </c>
      <c r="N637" s="29">
        <v>0</v>
      </c>
      <c r="O637" s="29">
        <v>1999200</v>
      </c>
      <c r="P637" s="29" t="s">
        <v>41</v>
      </c>
      <c r="Q637" s="29" t="s">
        <v>42</v>
      </c>
      <c r="T637" s="1" t="s">
        <v>43</v>
      </c>
    </row>
    <row r="638" spans="1:24" x14ac:dyDescent="0.2">
      <c r="A638" s="29" t="s">
        <v>31</v>
      </c>
      <c r="B638" s="29" t="s">
        <v>2722</v>
      </c>
      <c r="C638" s="29" t="s">
        <v>2723</v>
      </c>
      <c r="D638" s="29">
        <f t="shared" si="9"/>
        <v>-1</v>
      </c>
      <c r="E638" s="29" t="s">
        <v>34</v>
      </c>
      <c r="F638" s="29" t="s">
        <v>2481</v>
      </c>
      <c r="G638" s="29" t="s">
        <v>2724</v>
      </c>
      <c r="H638" s="29" t="s">
        <v>37</v>
      </c>
      <c r="I638" s="29" t="s">
        <v>38</v>
      </c>
      <c r="J638" s="29" t="s">
        <v>2026</v>
      </c>
      <c r="K638" s="29" t="s">
        <v>2027</v>
      </c>
      <c r="L638" s="29">
        <v>0</v>
      </c>
      <c r="M638" s="29">
        <v>0</v>
      </c>
      <c r="N638" s="29">
        <v>0</v>
      </c>
      <c r="O638" s="29">
        <v>6720000</v>
      </c>
      <c r="P638" s="29" t="s">
        <v>41</v>
      </c>
      <c r="Q638" s="29" t="s">
        <v>42</v>
      </c>
      <c r="T638" s="1" t="s">
        <v>43</v>
      </c>
    </row>
    <row r="639" spans="1:24" x14ac:dyDescent="0.2">
      <c r="A639" s="1" t="s">
        <v>31</v>
      </c>
      <c r="B639" s="1" t="s">
        <v>2725</v>
      </c>
      <c r="C639" s="1" t="s">
        <v>2726</v>
      </c>
      <c r="D639" s="1">
        <f t="shared" si="9"/>
        <v>-1</v>
      </c>
      <c r="E639" s="1" t="s">
        <v>34</v>
      </c>
      <c r="F639" s="1" t="s">
        <v>2481</v>
      </c>
      <c r="G639" s="1" t="s">
        <v>2727</v>
      </c>
      <c r="H639" s="1" t="s">
        <v>37</v>
      </c>
      <c r="I639" s="1" t="s">
        <v>38</v>
      </c>
      <c r="J639" s="1" t="s">
        <v>2728</v>
      </c>
      <c r="K639" s="1" t="s">
        <v>2729</v>
      </c>
      <c r="L639" s="1">
        <v>0</v>
      </c>
      <c r="M639" s="1">
        <v>0</v>
      </c>
      <c r="N639" s="1">
        <v>0</v>
      </c>
      <c r="O639" s="1">
        <v>6019010</v>
      </c>
      <c r="P639" s="1" t="s">
        <v>41</v>
      </c>
      <c r="Q639" s="1" t="s">
        <v>42</v>
      </c>
      <c r="V639" s="1" t="s">
        <v>43</v>
      </c>
    </row>
    <row r="640" spans="1:24" x14ac:dyDescent="0.2">
      <c r="A640" s="28" t="s">
        <v>31</v>
      </c>
      <c r="B640" s="28" t="s">
        <v>2730</v>
      </c>
      <c r="C640" s="28" t="s">
        <v>2731</v>
      </c>
      <c r="D640" s="28">
        <f t="shared" si="9"/>
        <v>-1</v>
      </c>
      <c r="E640" s="28" t="s">
        <v>34</v>
      </c>
      <c r="F640" s="28" t="s">
        <v>2481</v>
      </c>
      <c r="G640" s="28" t="s">
        <v>2732</v>
      </c>
      <c r="H640" s="28" t="s">
        <v>37</v>
      </c>
      <c r="I640" s="28" t="s">
        <v>38</v>
      </c>
      <c r="J640" s="28" t="s">
        <v>62</v>
      </c>
      <c r="K640" s="28" t="s">
        <v>63</v>
      </c>
      <c r="L640" s="28">
        <v>0</v>
      </c>
      <c r="M640" s="28">
        <v>0</v>
      </c>
      <c r="N640" s="28">
        <v>0</v>
      </c>
      <c r="O640" s="28">
        <v>27948158</v>
      </c>
      <c r="P640" s="28" t="s">
        <v>41</v>
      </c>
      <c r="Q640" s="28" t="s">
        <v>42</v>
      </c>
      <c r="R640" s="1" t="s">
        <v>43</v>
      </c>
    </row>
    <row r="641" spans="1:24" x14ac:dyDescent="0.2">
      <c r="A641" s="33" t="s">
        <v>31</v>
      </c>
      <c r="B641" s="33" t="s">
        <v>2733</v>
      </c>
      <c r="C641" s="33" t="s">
        <v>2734</v>
      </c>
      <c r="D641" s="33">
        <f t="shared" si="9"/>
        <v>-1</v>
      </c>
      <c r="E641" s="33" t="s">
        <v>34</v>
      </c>
      <c r="F641" s="33" t="s">
        <v>2481</v>
      </c>
      <c r="G641" s="33" t="s">
        <v>2735</v>
      </c>
      <c r="H641" s="33" t="s">
        <v>37</v>
      </c>
      <c r="I641" s="33" t="s">
        <v>38</v>
      </c>
      <c r="J641" s="33" t="s">
        <v>2736</v>
      </c>
      <c r="K641" s="33" t="s">
        <v>2737</v>
      </c>
      <c r="L641" s="33">
        <v>180373.27</v>
      </c>
      <c r="M641" s="33">
        <v>0</v>
      </c>
      <c r="N641" s="33">
        <v>0</v>
      </c>
      <c r="O641" s="33">
        <v>1129706.27</v>
      </c>
      <c r="P641" s="33" t="s">
        <v>41</v>
      </c>
      <c r="Q641" s="33" t="s">
        <v>42</v>
      </c>
      <c r="W641" s="33" t="s">
        <v>43</v>
      </c>
      <c r="X641" s="1" t="s">
        <v>317</v>
      </c>
    </row>
    <row r="642" spans="1:24" x14ac:dyDescent="0.2">
      <c r="A642" s="1" t="s">
        <v>31</v>
      </c>
      <c r="B642" s="1" t="s">
        <v>2738</v>
      </c>
      <c r="C642" s="1" t="s">
        <v>2739</v>
      </c>
      <c r="D642" s="1">
        <f t="shared" si="9"/>
        <v>-1</v>
      </c>
      <c r="E642" s="1" t="s">
        <v>34</v>
      </c>
      <c r="F642" s="1" t="s">
        <v>2481</v>
      </c>
      <c r="G642" s="1" t="s">
        <v>2740</v>
      </c>
      <c r="H642" s="1" t="s">
        <v>37</v>
      </c>
      <c r="I642" s="1" t="s">
        <v>38</v>
      </c>
      <c r="J642" s="1" t="s">
        <v>2741</v>
      </c>
      <c r="K642" s="1" t="s">
        <v>2742</v>
      </c>
      <c r="L642" s="1">
        <v>228000</v>
      </c>
      <c r="M642" s="1">
        <v>0</v>
      </c>
      <c r="N642" s="1">
        <v>0</v>
      </c>
      <c r="O642" s="1">
        <v>1428000</v>
      </c>
      <c r="P642" s="1" t="s">
        <v>41</v>
      </c>
      <c r="Q642" s="1" t="s">
        <v>42</v>
      </c>
      <c r="V642" s="1" t="s">
        <v>43</v>
      </c>
    </row>
    <row r="643" spans="1:24" x14ac:dyDescent="0.2">
      <c r="A643" s="1" t="s">
        <v>31</v>
      </c>
      <c r="B643" s="1" t="s">
        <v>2743</v>
      </c>
      <c r="C643" s="1" t="s">
        <v>2744</v>
      </c>
      <c r="D643" s="1">
        <f t="shared" si="9"/>
        <v>-1</v>
      </c>
      <c r="E643" s="1" t="s">
        <v>34</v>
      </c>
      <c r="F643" s="1" t="s">
        <v>2481</v>
      </c>
      <c r="G643" s="1" t="s">
        <v>2745</v>
      </c>
      <c r="H643" s="1" t="s">
        <v>37</v>
      </c>
      <c r="I643" s="1" t="s">
        <v>38</v>
      </c>
      <c r="J643" s="1" t="s">
        <v>2746</v>
      </c>
      <c r="K643" s="1" t="s">
        <v>2747</v>
      </c>
      <c r="L643" s="1">
        <v>256500</v>
      </c>
      <c r="M643" s="1">
        <v>0</v>
      </c>
      <c r="N643" s="1">
        <v>0</v>
      </c>
      <c r="O643" s="1">
        <v>1606500</v>
      </c>
      <c r="P643" s="1" t="s">
        <v>41</v>
      </c>
      <c r="Q643" s="1" t="s">
        <v>42</v>
      </c>
      <c r="V643" s="1" t="s">
        <v>43</v>
      </c>
    </row>
    <row r="644" spans="1:24" x14ac:dyDescent="0.2">
      <c r="A644" s="1" t="s">
        <v>31</v>
      </c>
      <c r="B644" s="1" t="s">
        <v>2748</v>
      </c>
      <c r="C644" s="1" t="s">
        <v>2749</v>
      </c>
      <c r="D644" s="1">
        <f t="shared" si="9"/>
        <v>-1</v>
      </c>
      <c r="E644" s="1" t="s">
        <v>34</v>
      </c>
      <c r="F644" s="1" t="s">
        <v>2481</v>
      </c>
      <c r="G644" s="1" t="s">
        <v>2750</v>
      </c>
      <c r="H644" s="1" t="s">
        <v>37</v>
      </c>
      <c r="I644" s="1" t="s">
        <v>38</v>
      </c>
      <c r="J644" s="1" t="s">
        <v>2751</v>
      </c>
      <c r="K644" s="1" t="s">
        <v>2752</v>
      </c>
      <c r="L644" s="1">
        <v>171000</v>
      </c>
      <c r="M644" s="1">
        <v>0</v>
      </c>
      <c r="N644" s="1">
        <v>0</v>
      </c>
      <c r="O644" s="1">
        <v>1071000</v>
      </c>
      <c r="P644" s="1" t="s">
        <v>41</v>
      </c>
      <c r="Q644" s="1" t="s">
        <v>42</v>
      </c>
      <c r="V644" s="1" t="s">
        <v>43</v>
      </c>
    </row>
    <row r="645" spans="1:24" x14ac:dyDescent="0.2">
      <c r="A645" s="33" t="s">
        <v>31</v>
      </c>
      <c r="B645" s="33" t="s">
        <v>2753</v>
      </c>
      <c r="C645" s="33" t="s">
        <v>2754</v>
      </c>
      <c r="D645" s="33">
        <f t="shared" si="9"/>
        <v>-1</v>
      </c>
      <c r="E645" s="33" t="s">
        <v>34</v>
      </c>
      <c r="F645" s="33" t="s">
        <v>2755</v>
      </c>
      <c r="G645" s="33" t="s">
        <v>2756</v>
      </c>
      <c r="H645" s="33" t="s">
        <v>37</v>
      </c>
      <c r="I645" s="33" t="s">
        <v>38</v>
      </c>
      <c r="J645" s="33" t="s">
        <v>2757</v>
      </c>
      <c r="K645" s="33" t="s">
        <v>2758</v>
      </c>
      <c r="L645" s="33">
        <v>240258.4</v>
      </c>
      <c r="M645" s="33">
        <v>0</v>
      </c>
      <c r="N645" s="33">
        <v>0</v>
      </c>
      <c r="O645" s="33">
        <v>1504776.4</v>
      </c>
      <c r="P645" s="33" t="s">
        <v>41</v>
      </c>
      <c r="Q645" s="33" t="s">
        <v>42</v>
      </c>
      <c r="W645" s="33" t="s">
        <v>161</v>
      </c>
      <c r="X645" s="1" t="s">
        <v>2278</v>
      </c>
    </row>
    <row r="646" spans="1:24" x14ac:dyDescent="0.2">
      <c r="A646" s="30" t="s">
        <v>31</v>
      </c>
      <c r="B646" s="30" t="s">
        <v>2759</v>
      </c>
      <c r="C646" s="30" t="s">
        <v>2760</v>
      </c>
      <c r="D646" s="30">
        <f t="shared" si="9"/>
        <v>-1</v>
      </c>
      <c r="E646" s="30" t="s">
        <v>34</v>
      </c>
      <c r="F646" s="30" t="s">
        <v>2755</v>
      </c>
      <c r="G646" s="30" t="s">
        <v>2761</v>
      </c>
      <c r="H646" s="30" t="s">
        <v>37</v>
      </c>
      <c r="I646" s="30" t="s">
        <v>38</v>
      </c>
      <c r="J646" s="30" t="s">
        <v>1165</v>
      </c>
      <c r="K646" s="30" t="s">
        <v>1166</v>
      </c>
      <c r="L646" s="30">
        <v>1113238.5</v>
      </c>
      <c r="M646" s="30">
        <v>0</v>
      </c>
      <c r="N646" s="30">
        <v>0</v>
      </c>
      <c r="O646" s="30">
        <v>6972388.5</v>
      </c>
      <c r="P646" s="30" t="s">
        <v>41</v>
      </c>
      <c r="Q646" s="30" t="s">
        <v>42</v>
      </c>
      <c r="S646" s="1" t="s">
        <v>161</v>
      </c>
    </row>
    <row r="647" spans="1:24" x14ac:dyDescent="0.2">
      <c r="A647" s="28" t="s">
        <v>31</v>
      </c>
      <c r="B647" s="28" t="s">
        <v>2762</v>
      </c>
      <c r="C647" s="28" t="s">
        <v>2763</v>
      </c>
      <c r="D647" s="28">
        <f t="shared" si="9"/>
        <v>-1</v>
      </c>
      <c r="E647" s="28" t="s">
        <v>34</v>
      </c>
      <c r="F647" s="28" t="s">
        <v>2755</v>
      </c>
      <c r="G647" s="28" t="s">
        <v>2764</v>
      </c>
      <c r="H647" s="28" t="s">
        <v>37</v>
      </c>
      <c r="I647" s="28" t="s">
        <v>38</v>
      </c>
      <c r="J647" s="28" t="s">
        <v>304</v>
      </c>
      <c r="K647" s="28" t="s">
        <v>305</v>
      </c>
      <c r="L647" s="28">
        <v>1428841.23</v>
      </c>
      <c r="M647" s="28">
        <v>0</v>
      </c>
      <c r="N647" s="28">
        <v>0</v>
      </c>
      <c r="O647" s="28">
        <v>8949058.2300000004</v>
      </c>
      <c r="P647" s="28" t="s">
        <v>41</v>
      </c>
      <c r="Q647" s="28" t="s">
        <v>42</v>
      </c>
      <c r="R647" s="1" t="s">
        <v>43</v>
      </c>
    </row>
    <row r="648" spans="1:24" x14ac:dyDescent="0.2">
      <c r="A648" s="33" t="s">
        <v>31</v>
      </c>
      <c r="B648" s="33" t="s">
        <v>2765</v>
      </c>
      <c r="C648" s="33" t="s">
        <v>2766</v>
      </c>
      <c r="D648" s="33">
        <f t="shared" si="9"/>
        <v>-1</v>
      </c>
      <c r="E648" s="33" t="s">
        <v>34</v>
      </c>
      <c r="F648" s="33" t="s">
        <v>2755</v>
      </c>
      <c r="G648" s="33" t="s">
        <v>2767</v>
      </c>
      <c r="H648" s="33" t="s">
        <v>37</v>
      </c>
      <c r="I648" s="33" t="s">
        <v>38</v>
      </c>
      <c r="J648" s="33" t="s">
        <v>2768</v>
      </c>
      <c r="K648" s="33" t="s">
        <v>2769</v>
      </c>
      <c r="L648" s="33">
        <v>65450.25</v>
      </c>
      <c r="M648" s="33">
        <v>0</v>
      </c>
      <c r="N648" s="33">
        <v>0</v>
      </c>
      <c r="O648" s="33">
        <v>409925.25</v>
      </c>
      <c r="P648" s="33" t="s">
        <v>41</v>
      </c>
      <c r="Q648" s="33" t="s">
        <v>42</v>
      </c>
      <c r="W648" s="33" t="s">
        <v>43</v>
      </c>
      <c r="X648" s="1" t="s">
        <v>589</v>
      </c>
    </row>
    <row r="649" spans="1:24" x14ac:dyDescent="0.2">
      <c r="A649" s="33" t="s">
        <v>31</v>
      </c>
      <c r="B649" s="33" t="s">
        <v>2770</v>
      </c>
      <c r="C649" s="33" t="s">
        <v>2771</v>
      </c>
      <c r="D649" s="33">
        <f t="shared" si="9"/>
        <v>-1</v>
      </c>
      <c r="E649" s="33" t="s">
        <v>34</v>
      </c>
      <c r="F649" s="33" t="s">
        <v>2755</v>
      </c>
      <c r="G649" s="33" t="s">
        <v>2772</v>
      </c>
      <c r="H649" s="33" t="s">
        <v>37</v>
      </c>
      <c r="I649" s="33" t="s">
        <v>38</v>
      </c>
      <c r="J649" s="33" t="s">
        <v>2773</v>
      </c>
      <c r="K649" s="33" t="s">
        <v>2774</v>
      </c>
      <c r="L649" s="33">
        <v>404195.3</v>
      </c>
      <c r="M649" s="33">
        <v>0</v>
      </c>
      <c r="N649" s="33">
        <v>0</v>
      </c>
      <c r="O649" s="33">
        <v>3716215.3</v>
      </c>
      <c r="P649" s="33" t="s">
        <v>41</v>
      </c>
      <c r="Q649" s="33" t="s">
        <v>42</v>
      </c>
      <c r="W649" s="33" t="s">
        <v>43</v>
      </c>
      <c r="X649" s="1" t="s">
        <v>129</v>
      </c>
    </row>
    <row r="650" spans="1:24" x14ac:dyDescent="0.2">
      <c r="A650" s="33" t="s">
        <v>31</v>
      </c>
      <c r="B650" s="33" t="s">
        <v>2775</v>
      </c>
      <c r="C650" s="33" t="s">
        <v>2776</v>
      </c>
      <c r="D650" s="33">
        <f t="shared" si="9"/>
        <v>-1</v>
      </c>
      <c r="E650" s="33" t="s">
        <v>34</v>
      </c>
      <c r="F650" s="33" t="s">
        <v>2755</v>
      </c>
      <c r="G650" s="33" t="s">
        <v>2777</v>
      </c>
      <c r="H650" s="33" t="s">
        <v>37</v>
      </c>
      <c r="I650" s="33" t="s">
        <v>38</v>
      </c>
      <c r="J650" s="33" t="s">
        <v>2778</v>
      </c>
      <c r="K650" s="33" t="s">
        <v>2779</v>
      </c>
      <c r="L650" s="33">
        <v>140287.75</v>
      </c>
      <c r="M650" s="33">
        <v>0</v>
      </c>
      <c r="N650" s="33">
        <v>0</v>
      </c>
      <c r="O650" s="33">
        <v>1796012.75</v>
      </c>
      <c r="P650" s="33" t="s">
        <v>41</v>
      </c>
      <c r="Q650" s="33" t="s">
        <v>42</v>
      </c>
      <c r="W650" s="33" t="s">
        <v>161</v>
      </c>
      <c r="X650" s="1" t="s">
        <v>1681</v>
      </c>
    </row>
    <row r="651" spans="1:24" x14ac:dyDescent="0.2">
      <c r="A651" s="29" t="s">
        <v>31</v>
      </c>
      <c r="B651" s="29" t="s">
        <v>2780</v>
      </c>
      <c r="C651" s="29" t="s">
        <v>2781</v>
      </c>
      <c r="D651" s="29">
        <f t="shared" ref="D651:D714" si="10">C651-C652</f>
        <v>-1</v>
      </c>
      <c r="E651" s="29" t="s">
        <v>34</v>
      </c>
      <c r="F651" s="29" t="s">
        <v>2755</v>
      </c>
      <c r="G651" s="29" t="s">
        <v>2782</v>
      </c>
      <c r="H651" s="29" t="s">
        <v>37</v>
      </c>
      <c r="I651" s="29" t="s">
        <v>38</v>
      </c>
      <c r="J651" s="29" t="s">
        <v>2783</v>
      </c>
      <c r="K651" s="29" t="s">
        <v>2784</v>
      </c>
      <c r="L651" s="29">
        <v>1233100</v>
      </c>
      <c r="M651" s="29">
        <v>0</v>
      </c>
      <c r="N651" s="29">
        <v>0</v>
      </c>
      <c r="O651" s="29">
        <v>7723100</v>
      </c>
      <c r="P651" s="29" t="s">
        <v>41</v>
      </c>
      <c r="Q651" s="29" t="s">
        <v>42</v>
      </c>
      <c r="T651" s="1" t="s">
        <v>161</v>
      </c>
    </row>
    <row r="652" spans="1:24" x14ac:dyDescent="0.2">
      <c r="A652" s="33" t="s">
        <v>31</v>
      </c>
      <c r="B652" s="33" t="s">
        <v>2785</v>
      </c>
      <c r="C652" s="33" t="s">
        <v>2786</v>
      </c>
      <c r="D652" s="33">
        <f t="shared" si="10"/>
        <v>-1</v>
      </c>
      <c r="E652" s="33" t="s">
        <v>34</v>
      </c>
      <c r="F652" s="33" t="s">
        <v>2755</v>
      </c>
      <c r="G652" s="33" t="s">
        <v>2787</v>
      </c>
      <c r="H652" s="33" t="s">
        <v>37</v>
      </c>
      <c r="I652" s="33" t="s">
        <v>38</v>
      </c>
      <c r="J652" s="33" t="s">
        <v>1368</v>
      </c>
      <c r="K652" s="33" t="s">
        <v>1369</v>
      </c>
      <c r="L652" s="33">
        <v>33928.49</v>
      </c>
      <c r="M652" s="33">
        <v>0</v>
      </c>
      <c r="N652" s="33">
        <v>0</v>
      </c>
      <c r="O652" s="33">
        <v>212499.49</v>
      </c>
      <c r="P652" s="33" t="s">
        <v>41</v>
      </c>
      <c r="Q652" s="33" t="s">
        <v>42</v>
      </c>
      <c r="W652" s="33" t="s">
        <v>43</v>
      </c>
      <c r="X652" s="1" t="s">
        <v>226</v>
      </c>
    </row>
    <row r="653" spans="1:24" x14ac:dyDescent="0.2">
      <c r="A653" s="33" t="s">
        <v>31</v>
      </c>
      <c r="B653" s="33" t="s">
        <v>2788</v>
      </c>
      <c r="C653" s="33" t="s">
        <v>2789</v>
      </c>
      <c r="D653" s="33">
        <f t="shared" si="10"/>
        <v>-1</v>
      </c>
      <c r="E653" s="33" t="s">
        <v>34</v>
      </c>
      <c r="F653" s="33" t="s">
        <v>2755</v>
      </c>
      <c r="G653" s="33" t="s">
        <v>2790</v>
      </c>
      <c r="H653" s="33" t="s">
        <v>37</v>
      </c>
      <c r="I653" s="33" t="s">
        <v>38</v>
      </c>
      <c r="J653" s="33" t="s">
        <v>1368</v>
      </c>
      <c r="K653" s="33" t="s">
        <v>1369</v>
      </c>
      <c r="L653" s="33">
        <v>29355</v>
      </c>
      <c r="M653" s="33">
        <v>0</v>
      </c>
      <c r="N653" s="33">
        <v>0</v>
      </c>
      <c r="O653" s="33">
        <v>183855</v>
      </c>
      <c r="P653" s="33" t="s">
        <v>41</v>
      </c>
      <c r="Q653" s="33" t="s">
        <v>42</v>
      </c>
      <c r="W653" s="33" t="s">
        <v>43</v>
      </c>
      <c r="X653" s="1" t="s">
        <v>226</v>
      </c>
    </row>
    <row r="654" spans="1:24" x14ac:dyDescent="0.2">
      <c r="A654" s="33" t="s">
        <v>31</v>
      </c>
      <c r="B654" s="33" t="s">
        <v>2791</v>
      </c>
      <c r="C654" s="33" t="s">
        <v>2792</v>
      </c>
      <c r="D654" s="33">
        <f t="shared" si="10"/>
        <v>-1</v>
      </c>
      <c r="E654" s="33" t="s">
        <v>34</v>
      </c>
      <c r="F654" s="33" t="s">
        <v>2755</v>
      </c>
      <c r="G654" s="33" t="s">
        <v>2793</v>
      </c>
      <c r="H654" s="33" t="s">
        <v>37</v>
      </c>
      <c r="I654" s="33" t="s">
        <v>38</v>
      </c>
      <c r="J654" s="33" t="s">
        <v>1368</v>
      </c>
      <c r="K654" s="33" t="s">
        <v>1369</v>
      </c>
      <c r="L654" s="33">
        <v>26144</v>
      </c>
      <c r="M654" s="33">
        <v>0</v>
      </c>
      <c r="N654" s="33">
        <v>0</v>
      </c>
      <c r="O654" s="33">
        <v>163744</v>
      </c>
      <c r="P654" s="33" t="s">
        <v>41</v>
      </c>
      <c r="Q654" s="33" t="s">
        <v>42</v>
      </c>
      <c r="W654" s="33" t="s">
        <v>43</v>
      </c>
      <c r="X654" s="1" t="s">
        <v>226</v>
      </c>
    </row>
    <row r="655" spans="1:24" x14ac:dyDescent="0.2">
      <c r="A655" s="1" t="s">
        <v>31</v>
      </c>
      <c r="B655" s="1" t="s">
        <v>2794</v>
      </c>
      <c r="C655" s="1" t="s">
        <v>2795</v>
      </c>
      <c r="D655" s="1">
        <f t="shared" si="10"/>
        <v>-1</v>
      </c>
      <c r="E655" s="1" t="s">
        <v>34</v>
      </c>
      <c r="F655" s="1" t="s">
        <v>2755</v>
      </c>
      <c r="G655" s="1" t="s">
        <v>2796</v>
      </c>
      <c r="H655" s="1" t="s">
        <v>37</v>
      </c>
      <c r="I655" s="1" t="s">
        <v>38</v>
      </c>
      <c r="J655" s="1" t="s">
        <v>2797</v>
      </c>
      <c r="K655" s="1" t="s">
        <v>2798</v>
      </c>
      <c r="L655" s="1">
        <v>57000</v>
      </c>
      <c r="M655" s="1">
        <v>0</v>
      </c>
      <c r="N655" s="1">
        <v>0</v>
      </c>
      <c r="O655" s="1">
        <v>357000</v>
      </c>
      <c r="P655" s="1" t="s">
        <v>41</v>
      </c>
      <c r="Q655" s="1" t="s">
        <v>42</v>
      </c>
      <c r="V655" s="1" t="s">
        <v>43</v>
      </c>
    </row>
    <row r="656" spans="1:24" x14ac:dyDescent="0.2">
      <c r="A656" s="33" t="s">
        <v>31</v>
      </c>
      <c r="B656" s="33" t="s">
        <v>2799</v>
      </c>
      <c r="C656" s="33" t="s">
        <v>2800</v>
      </c>
      <c r="D656" s="33">
        <f t="shared" si="10"/>
        <v>-1</v>
      </c>
      <c r="E656" s="33" t="s">
        <v>34</v>
      </c>
      <c r="F656" s="33" t="s">
        <v>2755</v>
      </c>
      <c r="G656" s="33" t="s">
        <v>2801</v>
      </c>
      <c r="H656" s="33" t="s">
        <v>37</v>
      </c>
      <c r="I656" s="33" t="s">
        <v>38</v>
      </c>
      <c r="J656" s="33" t="s">
        <v>2802</v>
      </c>
      <c r="K656" s="33" t="s">
        <v>2803</v>
      </c>
      <c r="L656" s="33">
        <v>9500</v>
      </c>
      <c r="M656" s="33">
        <v>0</v>
      </c>
      <c r="N656" s="33">
        <v>0</v>
      </c>
      <c r="O656" s="33">
        <v>59500</v>
      </c>
      <c r="P656" s="33" t="s">
        <v>41</v>
      </c>
      <c r="Q656" s="33" t="s">
        <v>42</v>
      </c>
      <c r="W656" s="33" t="s">
        <v>161</v>
      </c>
      <c r="X656" s="1" t="s">
        <v>742</v>
      </c>
    </row>
    <row r="657" spans="1:24" x14ac:dyDescent="0.2">
      <c r="A657" s="33" t="s">
        <v>31</v>
      </c>
      <c r="B657" s="33" t="s">
        <v>2804</v>
      </c>
      <c r="C657" s="33" t="s">
        <v>2805</v>
      </c>
      <c r="D657" s="33">
        <f t="shared" si="10"/>
        <v>-1</v>
      </c>
      <c r="E657" s="33" t="s">
        <v>34</v>
      </c>
      <c r="F657" s="33" t="s">
        <v>2755</v>
      </c>
      <c r="G657" s="33" t="s">
        <v>2806</v>
      </c>
      <c r="H657" s="33" t="s">
        <v>37</v>
      </c>
      <c r="I657" s="33" t="s">
        <v>38</v>
      </c>
      <c r="J657" s="33" t="s">
        <v>2802</v>
      </c>
      <c r="K657" s="33" t="s">
        <v>2803</v>
      </c>
      <c r="L657" s="33">
        <v>20140</v>
      </c>
      <c r="M657" s="33">
        <v>0</v>
      </c>
      <c r="N657" s="33">
        <v>0</v>
      </c>
      <c r="O657" s="33">
        <v>126140</v>
      </c>
      <c r="P657" s="33" t="s">
        <v>41</v>
      </c>
      <c r="Q657" s="33" t="s">
        <v>42</v>
      </c>
      <c r="W657" s="33" t="s">
        <v>161</v>
      </c>
      <c r="X657" s="1" t="s">
        <v>742</v>
      </c>
    </row>
    <row r="658" spans="1:24" x14ac:dyDescent="0.2">
      <c r="A658" s="33" t="s">
        <v>31</v>
      </c>
      <c r="B658" s="33" t="s">
        <v>2807</v>
      </c>
      <c r="C658" s="33" t="s">
        <v>2808</v>
      </c>
      <c r="D658" s="33">
        <f t="shared" si="10"/>
        <v>-1</v>
      </c>
      <c r="E658" s="33" t="s">
        <v>34</v>
      </c>
      <c r="F658" s="33" t="s">
        <v>2755</v>
      </c>
      <c r="G658" s="33" t="s">
        <v>2809</v>
      </c>
      <c r="H658" s="33" t="s">
        <v>37</v>
      </c>
      <c r="I658" s="33" t="s">
        <v>38</v>
      </c>
      <c r="J658" s="33" t="s">
        <v>2802</v>
      </c>
      <c r="K658" s="33" t="s">
        <v>2803</v>
      </c>
      <c r="L658" s="33">
        <v>23864</v>
      </c>
      <c r="M658" s="33">
        <v>0</v>
      </c>
      <c r="N658" s="33">
        <v>0</v>
      </c>
      <c r="O658" s="33">
        <v>149464</v>
      </c>
      <c r="P658" s="33" t="s">
        <v>41</v>
      </c>
      <c r="Q658" s="33" t="s">
        <v>42</v>
      </c>
      <c r="W658" s="33" t="s">
        <v>161</v>
      </c>
      <c r="X658" s="1" t="s">
        <v>742</v>
      </c>
    </row>
    <row r="659" spans="1:24" x14ac:dyDescent="0.2">
      <c r="A659" s="29" t="s">
        <v>31</v>
      </c>
      <c r="B659" s="29" t="s">
        <v>2810</v>
      </c>
      <c r="C659" s="29" t="s">
        <v>2811</v>
      </c>
      <c r="D659" s="29">
        <f t="shared" si="10"/>
        <v>-1</v>
      </c>
      <c r="E659" s="29" t="s">
        <v>34</v>
      </c>
      <c r="F659" s="29" t="s">
        <v>2755</v>
      </c>
      <c r="G659" s="29" t="s">
        <v>2812</v>
      </c>
      <c r="H659" s="29" t="s">
        <v>37</v>
      </c>
      <c r="I659" s="29" t="s">
        <v>38</v>
      </c>
      <c r="J659" s="29" t="s">
        <v>2813</v>
      </c>
      <c r="K659" s="29" t="s">
        <v>2814</v>
      </c>
      <c r="L659" s="29">
        <v>1292000</v>
      </c>
      <c r="M659" s="29">
        <v>0</v>
      </c>
      <c r="N659" s="29">
        <v>0</v>
      </c>
      <c r="O659" s="29">
        <v>8092000</v>
      </c>
      <c r="P659" s="29" t="s">
        <v>41</v>
      </c>
      <c r="Q659" s="29" t="s">
        <v>42</v>
      </c>
      <c r="T659" s="1" t="s">
        <v>43</v>
      </c>
    </row>
    <row r="660" spans="1:24" x14ac:dyDescent="0.2">
      <c r="A660" s="33" t="s">
        <v>31</v>
      </c>
      <c r="B660" s="33" t="s">
        <v>2815</v>
      </c>
      <c r="C660" s="33" t="s">
        <v>2816</v>
      </c>
      <c r="D660" s="33">
        <f t="shared" si="10"/>
        <v>-1</v>
      </c>
      <c r="E660" s="33" t="s">
        <v>34</v>
      </c>
      <c r="F660" s="33" t="s">
        <v>2755</v>
      </c>
      <c r="G660" s="33" t="s">
        <v>2817</v>
      </c>
      <c r="H660" s="33" t="s">
        <v>37</v>
      </c>
      <c r="I660" s="33" t="s">
        <v>38</v>
      </c>
      <c r="J660" s="33" t="s">
        <v>2818</v>
      </c>
      <c r="K660" s="33" t="s">
        <v>2819</v>
      </c>
      <c r="L660" s="33">
        <v>157833</v>
      </c>
      <c r="M660" s="33">
        <v>0</v>
      </c>
      <c r="N660" s="33">
        <v>0</v>
      </c>
      <c r="O660" s="33">
        <v>988533</v>
      </c>
      <c r="P660" s="33" t="s">
        <v>41</v>
      </c>
      <c r="Q660" s="33" t="s">
        <v>42</v>
      </c>
      <c r="W660" s="33" t="s">
        <v>43</v>
      </c>
    </row>
    <row r="661" spans="1:24" x14ac:dyDescent="0.2">
      <c r="A661" s="33" t="s">
        <v>31</v>
      </c>
      <c r="B661" s="33" t="s">
        <v>2820</v>
      </c>
      <c r="C661" s="33" t="s">
        <v>2821</v>
      </c>
      <c r="D661" s="33">
        <f t="shared" si="10"/>
        <v>-1</v>
      </c>
      <c r="E661" s="33" t="s">
        <v>34</v>
      </c>
      <c r="F661" s="33" t="s">
        <v>2755</v>
      </c>
      <c r="G661" s="33" t="s">
        <v>2822</v>
      </c>
      <c r="H661" s="33" t="s">
        <v>37</v>
      </c>
      <c r="I661" s="33" t="s">
        <v>38</v>
      </c>
      <c r="J661" s="33" t="s">
        <v>1657</v>
      </c>
      <c r="K661" s="33" t="s">
        <v>1658</v>
      </c>
      <c r="L661" s="33">
        <v>1272240</v>
      </c>
      <c r="M661" s="33">
        <v>0</v>
      </c>
      <c r="N661" s="33">
        <v>0</v>
      </c>
      <c r="O661" s="33">
        <v>7968240</v>
      </c>
      <c r="P661" s="33" t="s">
        <v>41</v>
      </c>
      <c r="Q661" s="33" t="s">
        <v>42</v>
      </c>
      <c r="W661" s="33" t="s">
        <v>43</v>
      </c>
      <c r="X661" s="1" t="s">
        <v>69</v>
      </c>
    </row>
    <row r="662" spans="1:24" x14ac:dyDescent="0.2">
      <c r="A662" s="28" t="s">
        <v>31</v>
      </c>
      <c r="B662" s="28" t="s">
        <v>2823</v>
      </c>
      <c r="C662" s="28" t="s">
        <v>2824</v>
      </c>
      <c r="D662" s="28">
        <f t="shared" si="10"/>
        <v>-1</v>
      </c>
      <c r="E662" s="28" t="s">
        <v>34</v>
      </c>
      <c r="F662" s="28" t="s">
        <v>2755</v>
      </c>
      <c r="G662" s="28" t="s">
        <v>2825</v>
      </c>
      <c r="H662" s="28" t="s">
        <v>37</v>
      </c>
      <c r="I662" s="28" t="s">
        <v>38</v>
      </c>
      <c r="J662" s="28" t="s">
        <v>2826</v>
      </c>
      <c r="K662" s="28" t="s">
        <v>2827</v>
      </c>
      <c r="L662" s="28">
        <v>524020</v>
      </c>
      <c r="M662" s="28">
        <v>0</v>
      </c>
      <c r="N662" s="28">
        <v>0</v>
      </c>
      <c r="O662" s="28">
        <v>3282020</v>
      </c>
      <c r="P662" s="28" t="s">
        <v>41</v>
      </c>
      <c r="Q662" s="28" t="s">
        <v>42</v>
      </c>
      <c r="R662" s="1" t="s">
        <v>43</v>
      </c>
    </row>
    <row r="663" spans="1:24" x14ac:dyDescent="0.2">
      <c r="A663" s="33" t="s">
        <v>31</v>
      </c>
      <c r="B663" s="33" t="s">
        <v>2828</v>
      </c>
      <c r="C663" s="33" t="s">
        <v>2829</v>
      </c>
      <c r="D663" s="33">
        <f t="shared" si="10"/>
        <v>-1</v>
      </c>
      <c r="E663" s="33" t="s">
        <v>34</v>
      </c>
      <c r="F663" s="33" t="s">
        <v>2755</v>
      </c>
      <c r="G663" s="33" t="s">
        <v>2830</v>
      </c>
      <c r="H663" s="33" t="s">
        <v>37</v>
      </c>
      <c r="I663" s="33" t="s">
        <v>38</v>
      </c>
      <c r="J663" s="33" t="s">
        <v>2831</v>
      </c>
      <c r="K663" s="33" t="s">
        <v>2832</v>
      </c>
      <c r="L663" s="33">
        <v>0</v>
      </c>
      <c r="M663" s="33">
        <v>0</v>
      </c>
      <c r="N663" s="33">
        <v>0</v>
      </c>
      <c r="O663" s="33">
        <v>4559200</v>
      </c>
      <c r="P663" s="33" t="s">
        <v>41</v>
      </c>
      <c r="Q663" s="33" t="s">
        <v>42</v>
      </c>
      <c r="W663" s="33" t="s">
        <v>43</v>
      </c>
      <c r="X663" s="1" t="s">
        <v>1214</v>
      </c>
    </row>
    <row r="664" spans="1:24" x14ac:dyDescent="0.2">
      <c r="A664" s="29" t="s">
        <v>31</v>
      </c>
      <c r="B664" s="29" t="s">
        <v>2833</v>
      </c>
      <c r="C664" s="29" t="s">
        <v>2834</v>
      </c>
      <c r="D664" s="29">
        <f t="shared" si="10"/>
        <v>-1</v>
      </c>
      <c r="E664" s="29" t="s">
        <v>34</v>
      </c>
      <c r="F664" s="29" t="s">
        <v>2755</v>
      </c>
      <c r="G664" s="29" t="s">
        <v>2835</v>
      </c>
      <c r="H664" s="29" t="s">
        <v>37</v>
      </c>
      <c r="I664" s="29" t="s">
        <v>38</v>
      </c>
      <c r="J664" s="29" t="s">
        <v>1662</v>
      </c>
      <c r="K664" s="29" t="s">
        <v>1663</v>
      </c>
      <c r="L664" s="29">
        <v>640680</v>
      </c>
      <c r="M664" s="29">
        <v>0</v>
      </c>
      <c r="N664" s="29">
        <v>0</v>
      </c>
      <c r="O664" s="29">
        <v>4012680</v>
      </c>
      <c r="P664" s="29" t="s">
        <v>41</v>
      </c>
      <c r="Q664" s="29" t="s">
        <v>42</v>
      </c>
      <c r="T664" s="1" t="s">
        <v>43</v>
      </c>
    </row>
    <row r="665" spans="1:24" x14ac:dyDescent="0.2">
      <c r="A665" s="29" t="s">
        <v>31</v>
      </c>
      <c r="B665" s="29" t="s">
        <v>2836</v>
      </c>
      <c r="C665" s="29" t="s">
        <v>2837</v>
      </c>
      <c r="D665" s="29">
        <f t="shared" si="10"/>
        <v>-1</v>
      </c>
      <c r="E665" s="29" t="s">
        <v>34</v>
      </c>
      <c r="F665" s="29" t="s">
        <v>2755</v>
      </c>
      <c r="G665" s="29" t="s">
        <v>2838</v>
      </c>
      <c r="H665" s="29" t="s">
        <v>37</v>
      </c>
      <c r="I665" s="29" t="s">
        <v>38</v>
      </c>
      <c r="J665" s="29" t="s">
        <v>1662</v>
      </c>
      <c r="K665" s="29" t="s">
        <v>1663</v>
      </c>
      <c r="L665" s="29">
        <v>370272</v>
      </c>
      <c r="M665" s="29">
        <v>0</v>
      </c>
      <c r="N665" s="29">
        <v>0</v>
      </c>
      <c r="O665" s="29">
        <v>2319072</v>
      </c>
      <c r="P665" s="29" t="s">
        <v>41</v>
      </c>
      <c r="Q665" s="29" t="s">
        <v>42</v>
      </c>
      <c r="T665" s="1" t="s">
        <v>43</v>
      </c>
    </row>
    <row r="666" spans="1:24" x14ac:dyDescent="0.2">
      <c r="A666" s="33" t="s">
        <v>31</v>
      </c>
      <c r="B666" s="33" t="s">
        <v>2839</v>
      </c>
      <c r="C666" s="33" t="s">
        <v>2840</v>
      </c>
      <c r="D666" s="33">
        <f t="shared" si="10"/>
        <v>-1</v>
      </c>
      <c r="E666" s="33" t="s">
        <v>34</v>
      </c>
      <c r="F666" s="33" t="s">
        <v>2755</v>
      </c>
      <c r="G666" s="33" t="s">
        <v>2841</v>
      </c>
      <c r="H666" s="33" t="s">
        <v>37</v>
      </c>
      <c r="I666" s="33" t="s">
        <v>38</v>
      </c>
      <c r="J666" s="33" t="s">
        <v>2842</v>
      </c>
      <c r="K666" s="33" t="s">
        <v>2843</v>
      </c>
      <c r="L666" s="33">
        <v>249280</v>
      </c>
      <c r="M666" s="33">
        <v>0</v>
      </c>
      <c r="N666" s="33">
        <v>0</v>
      </c>
      <c r="O666" s="33">
        <v>1561280</v>
      </c>
      <c r="P666" s="33" t="s">
        <v>41</v>
      </c>
      <c r="Q666" s="33" t="s">
        <v>42</v>
      </c>
      <c r="W666" s="33" t="s">
        <v>161</v>
      </c>
      <c r="X666" s="1" t="s">
        <v>129</v>
      </c>
    </row>
    <row r="667" spans="1:24" x14ac:dyDescent="0.2">
      <c r="A667" s="1" t="s">
        <v>31</v>
      </c>
      <c r="B667" s="1" t="s">
        <v>2844</v>
      </c>
      <c r="C667" s="1" t="s">
        <v>2845</v>
      </c>
      <c r="D667" s="1">
        <f t="shared" si="10"/>
        <v>-1</v>
      </c>
      <c r="E667" s="1" t="s">
        <v>34</v>
      </c>
      <c r="F667" s="1" t="s">
        <v>2755</v>
      </c>
      <c r="G667" s="1" t="s">
        <v>2846</v>
      </c>
      <c r="H667" s="1" t="s">
        <v>37</v>
      </c>
      <c r="I667" s="1" t="s">
        <v>38</v>
      </c>
      <c r="J667" s="1" t="s">
        <v>2847</v>
      </c>
      <c r="K667" s="1" t="s">
        <v>2848</v>
      </c>
      <c r="L667" s="1">
        <v>289750</v>
      </c>
      <c r="M667" s="1">
        <v>0</v>
      </c>
      <c r="N667" s="1">
        <v>0</v>
      </c>
      <c r="O667" s="1">
        <v>1814750</v>
      </c>
      <c r="P667" s="1" t="s">
        <v>41</v>
      </c>
      <c r="Q667" s="1" t="s">
        <v>42</v>
      </c>
      <c r="V667" s="1" t="s">
        <v>43</v>
      </c>
    </row>
    <row r="668" spans="1:24" x14ac:dyDescent="0.2">
      <c r="A668" s="1" t="s">
        <v>31</v>
      </c>
      <c r="B668" s="1" t="s">
        <v>2849</v>
      </c>
      <c r="C668" s="1" t="s">
        <v>2850</v>
      </c>
      <c r="D668" s="1">
        <f t="shared" si="10"/>
        <v>-1</v>
      </c>
      <c r="E668" s="1" t="s">
        <v>34</v>
      </c>
      <c r="F668" s="1" t="s">
        <v>2755</v>
      </c>
      <c r="G668" s="1" t="s">
        <v>2851</v>
      </c>
      <c r="H668" s="1" t="s">
        <v>37</v>
      </c>
      <c r="I668" s="1" t="s">
        <v>38</v>
      </c>
      <c r="J668" s="1" t="s">
        <v>2847</v>
      </c>
      <c r="K668" s="1" t="s">
        <v>2848</v>
      </c>
      <c r="L668" s="1">
        <v>166250</v>
      </c>
      <c r="M668" s="1">
        <v>0</v>
      </c>
      <c r="N668" s="1">
        <v>0</v>
      </c>
      <c r="O668" s="1">
        <v>1041250</v>
      </c>
      <c r="P668" s="1" t="s">
        <v>41</v>
      </c>
      <c r="Q668" s="1" t="s">
        <v>42</v>
      </c>
      <c r="V668" s="1" t="s">
        <v>43</v>
      </c>
    </row>
    <row r="669" spans="1:24" x14ac:dyDescent="0.2">
      <c r="A669" s="1" t="s">
        <v>31</v>
      </c>
      <c r="B669" s="1" t="s">
        <v>2852</v>
      </c>
      <c r="C669" s="1" t="s">
        <v>2853</v>
      </c>
      <c r="D669" s="1">
        <f t="shared" si="10"/>
        <v>-1</v>
      </c>
      <c r="E669" s="1" t="s">
        <v>34</v>
      </c>
      <c r="F669" s="1" t="s">
        <v>2755</v>
      </c>
      <c r="G669" s="1" t="s">
        <v>2854</v>
      </c>
      <c r="H669" s="1" t="s">
        <v>37</v>
      </c>
      <c r="I669" s="1" t="s">
        <v>38</v>
      </c>
      <c r="J669" s="1" t="s">
        <v>2847</v>
      </c>
      <c r="K669" s="1" t="s">
        <v>2848</v>
      </c>
      <c r="L669" s="1">
        <v>171000</v>
      </c>
      <c r="M669" s="1">
        <v>0</v>
      </c>
      <c r="N669" s="1">
        <v>0</v>
      </c>
      <c r="O669" s="1">
        <v>1071000</v>
      </c>
      <c r="P669" s="1" t="s">
        <v>41</v>
      </c>
      <c r="Q669" s="1" t="s">
        <v>42</v>
      </c>
      <c r="V669" s="1" t="s">
        <v>43</v>
      </c>
    </row>
    <row r="670" spans="1:24" x14ac:dyDescent="0.2">
      <c r="A670" s="1" t="s">
        <v>31</v>
      </c>
      <c r="B670" s="1" t="s">
        <v>2855</v>
      </c>
      <c r="C670" s="1" t="s">
        <v>2856</v>
      </c>
      <c r="D670" s="1">
        <f t="shared" si="10"/>
        <v>-1</v>
      </c>
      <c r="E670" s="1" t="s">
        <v>34</v>
      </c>
      <c r="F670" s="1" t="s">
        <v>2755</v>
      </c>
      <c r="G670" s="1" t="s">
        <v>2857</v>
      </c>
      <c r="H670" s="1" t="s">
        <v>37</v>
      </c>
      <c r="I670" s="1" t="s">
        <v>38</v>
      </c>
      <c r="J670" s="1" t="s">
        <v>2858</v>
      </c>
      <c r="K670" s="1" t="s">
        <v>2859</v>
      </c>
      <c r="L670" s="1">
        <v>27170</v>
      </c>
      <c r="M670" s="1">
        <v>0</v>
      </c>
      <c r="N670" s="1">
        <v>0</v>
      </c>
      <c r="O670" s="1">
        <v>170170</v>
      </c>
      <c r="P670" s="1" t="s">
        <v>41</v>
      </c>
      <c r="Q670" s="1" t="s">
        <v>42</v>
      </c>
      <c r="V670" s="1" t="s">
        <v>43</v>
      </c>
    </row>
    <row r="671" spans="1:24" x14ac:dyDescent="0.2">
      <c r="A671" s="1" t="s">
        <v>31</v>
      </c>
      <c r="B671" s="1" t="s">
        <v>2860</v>
      </c>
      <c r="C671" s="1" t="s">
        <v>2861</v>
      </c>
      <c r="D671" s="1">
        <f t="shared" si="10"/>
        <v>-1</v>
      </c>
      <c r="E671" s="1" t="s">
        <v>34</v>
      </c>
      <c r="F671" s="1" t="s">
        <v>2755</v>
      </c>
      <c r="G671" s="1" t="s">
        <v>2862</v>
      </c>
      <c r="H671" s="1" t="s">
        <v>37</v>
      </c>
      <c r="I671" s="1" t="s">
        <v>38</v>
      </c>
      <c r="J671" s="1" t="s">
        <v>2863</v>
      </c>
      <c r="K671" s="1" t="s">
        <v>2864</v>
      </c>
      <c r="L671" s="1">
        <v>33487.5</v>
      </c>
      <c r="M671" s="1">
        <v>0</v>
      </c>
      <c r="N671" s="1">
        <v>0</v>
      </c>
      <c r="O671" s="1">
        <v>216037.5</v>
      </c>
      <c r="P671" s="1" t="s">
        <v>41</v>
      </c>
      <c r="Q671" s="1" t="s">
        <v>42</v>
      </c>
      <c r="V671" s="1" t="s">
        <v>43</v>
      </c>
    </row>
    <row r="672" spans="1:24" x14ac:dyDescent="0.2">
      <c r="A672" s="1" t="s">
        <v>31</v>
      </c>
      <c r="B672" s="1" t="s">
        <v>2865</v>
      </c>
      <c r="C672" s="1" t="s">
        <v>2866</v>
      </c>
      <c r="D672" s="1">
        <f t="shared" si="10"/>
        <v>-1</v>
      </c>
      <c r="E672" s="1" t="s">
        <v>34</v>
      </c>
      <c r="F672" s="1" t="s">
        <v>2755</v>
      </c>
      <c r="G672" s="1" t="s">
        <v>2867</v>
      </c>
      <c r="H672" s="1" t="s">
        <v>37</v>
      </c>
      <c r="I672" s="1" t="s">
        <v>38</v>
      </c>
      <c r="J672" s="1" t="s">
        <v>2868</v>
      </c>
      <c r="K672" s="1" t="s">
        <v>2869</v>
      </c>
      <c r="L672" s="1">
        <v>127835.23</v>
      </c>
      <c r="M672" s="1">
        <v>0</v>
      </c>
      <c r="N672" s="1">
        <v>0</v>
      </c>
      <c r="O672" s="1">
        <v>800652.23</v>
      </c>
      <c r="P672" s="1" t="s">
        <v>41</v>
      </c>
      <c r="Q672" s="1" t="s">
        <v>42</v>
      </c>
      <c r="V672" s="1" t="s">
        <v>43</v>
      </c>
    </row>
    <row r="673" spans="1:24" x14ac:dyDescent="0.2">
      <c r="A673" s="33" t="s">
        <v>31</v>
      </c>
      <c r="B673" s="33" t="s">
        <v>2870</v>
      </c>
      <c r="C673" s="33" t="s">
        <v>2871</v>
      </c>
      <c r="D673" s="33">
        <f t="shared" si="10"/>
        <v>-1</v>
      </c>
      <c r="E673" s="33" t="s">
        <v>34</v>
      </c>
      <c r="F673" s="33" t="s">
        <v>2755</v>
      </c>
      <c r="G673" s="33" t="s">
        <v>2872</v>
      </c>
      <c r="H673" s="33" t="s">
        <v>37</v>
      </c>
      <c r="I673" s="33" t="s">
        <v>38</v>
      </c>
      <c r="J673" s="33" t="s">
        <v>2873</v>
      </c>
      <c r="K673" s="33" t="s">
        <v>2874</v>
      </c>
      <c r="L673" s="33">
        <v>127300</v>
      </c>
      <c r="M673" s="33">
        <v>0</v>
      </c>
      <c r="N673" s="33">
        <v>0</v>
      </c>
      <c r="O673" s="33">
        <v>797300</v>
      </c>
      <c r="P673" s="33" t="s">
        <v>41</v>
      </c>
      <c r="Q673" s="33" t="s">
        <v>42</v>
      </c>
      <c r="W673" s="33" t="s">
        <v>161</v>
      </c>
      <c r="X673" s="1" t="s">
        <v>2004</v>
      </c>
    </row>
    <row r="674" spans="1:24" x14ac:dyDescent="0.2">
      <c r="A674" s="33" t="s">
        <v>31</v>
      </c>
      <c r="B674" s="33" t="s">
        <v>2875</v>
      </c>
      <c r="C674" s="33" t="s">
        <v>2876</v>
      </c>
      <c r="D674" s="33">
        <f t="shared" si="10"/>
        <v>-1</v>
      </c>
      <c r="E674" s="33" t="s">
        <v>34</v>
      </c>
      <c r="F674" s="33" t="s">
        <v>2755</v>
      </c>
      <c r="G674" s="33" t="s">
        <v>2877</v>
      </c>
      <c r="H674" s="33" t="s">
        <v>37</v>
      </c>
      <c r="I674" s="33" t="s">
        <v>38</v>
      </c>
      <c r="J674" s="33" t="s">
        <v>2878</v>
      </c>
      <c r="K674" s="33" t="s">
        <v>2879</v>
      </c>
      <c r="L674" s="33">
        <v>310080</v>
      </c>
      <c r="M674" s="33">
        <v>0</v>
      </c>
      <c r="N674" s="33">
        <v>0</v>
      </c>
      <c r="O674" s="33">
        <v>1942080</v>
      </c>
      <c r="P674" s="33" t="s">
        <v>41</v>
      </c>
      <c r="Q674" s="33" t="s">
        <v>42</v>
      </c>
      <c r="W674" s="33" t="s">
        <v>43</v>
      </c>
      <c r="X674" s="1" t="s">
        <v>1060</v>
      </c>
    </row>
    <row r="675" spans="1:24" x14ac:dyDescent="0.2">
      <c r="A675" s="33" t="s">
        <v>31</v>
      </c>
      <c r="B675" s="33" t="s">
        <v>2880</v>
      </c>
      <c r="C675" s="33" t="s">
        <v>2881</v>
      </c>
      <c r="D675" s="33">
        <f t="shared" si="10"/>
        <v>-1</v>
      </c>
      <c r="E675" s="33" t="s">
        <v>34</v>
      </c>
      <c r="F675" s="33" t="s">
        <v>2755</v>
      </c>
      <c r="G675" s="33" t="s">
        <v>2882</v>
      </c>
      <c r="H675" s="33" t="s">
        <v>37</v>
      </c>
      <c r="I675" s="33" t="s">
        <v>38</v>
      </c>
      <c r="J675" s="33" t="s">
        <v>587</v>
      </c>
      <c r="K675" s="33" t="s">
        <v>588</v>
      </c>
      <c r="L675" s="33">
        <v>31141</v>
      </c>
      <c r="M675" s="33">
        <v>0</v>
      </c>
      <c r="N675" s="33">
        <v>0</v>
      </c>
      <c r="O675" s="33">
        <v>195041</v>
      </c>
      <c r="P675" s="33" t="s">
        <v>41</v>
      </c>
      <c r="Q675" s="33" t="s">
        <v>42</v>
      </c>
      <c r="W675" s="33" t="s">
        <v>43</v>
      </c>
      <c r="X675" s="1" t="s">
        <v>369</v>
      </c>
    </row>
    <row r="676" spans="1:24" x14ac:dyDescent="0.2">
      <c r="A676" s="33" t="s">
        <v>31</v>
      </c>
      <c r="B676" s="33" t="s">
        <v>2883</v>
      </c>
      <c r="C676" s="33" t="s">
        <v>2884</v>
      </c>
      <c r="D676" s="33">
        <f t="shared" si="10"/>
        <v>-1</v>
      </c>
      <c r="E676" s="33" t="s">
        <v>34</v>
      </c>
      <c r="F676" s="33" t="s">
        <v>2755</v>
      </c>
      <c r="G676" s="33" t="s">
        <v>2885</v>
      </c>
      <c r="H676" s="33" t="s">
        <v>37</v>
      </c>
      <c r="I676" s="33" t="s">
        <v>38</v>
      </c>
      <c r="J676" s="33" t="s">
        <v>587</v>
      </c>
      <c r="K676" s="33" t="s">
        <v>588</v>
      </c>
      <c r="L676" s="33">
        <v>188773.93</v>
      </c>
      <c r="M676" s="33">
        <v>0</v>
      </c>
      <c r="N676" s="33">
        <v>0</v>
      </c>
      <c r="O676" s="33">
        <v>1182320.93</v>
      </c>
      <c r="P676" s="33" t="s">
        <v>41</v>
      </c>
      <c r="Q676" s="33" t="s">
        <v>42</v>
      </c>
      <c r="W676" s="33" t="s">
        <v>43</v>
      </c>
      <c r="X676" s="1" t="s">
        <v>369</v>
      </c>
    </row>
    <row r="677" spans="1:24" x14ac:dyDescent="0.2">
      <c r="A677" s="30" t="s">
        <v>31</v>
      </c>
      <c r="B677" s="30" t="s">
        <v>2886</v>
      </c>
      <c r="C677" s="30" t="s">
        <v>2887</v>
      </c>
      <c r="D677" s="30">
        <f t="shared" si="10"/>
        <v>-1</v>
      </c>
      <c r="E677" s="30" t="s">
        <v>34</v>
      </c>
      <c r="F677" s="30" t="s">
        <v>2755</v>
      </c>
      <c r="G677" s="30" t="s">
        <v>2888</v>
      </c>
      <c r="H677" s="30" t="s">
        <v>37</v>
      </c>
      <c r="I677" s="30" t="s">
        <v>38</v>
      </c>
      <c r="J677" s="30" t="s">
        <v>587</v>
      </c>
      <c r="K677" s="30" t="s">
        <v>588</v>
      </c>
      <c r="L677" s="30">
        <v>77529</v>
      </c>
      <c r="M677" s="30">
        <v>0</v>
      </c>
      <c r="N677" s="30">
        <v>0</v>
      </c>
      <c r="O677" s="30">
        <v>884029</v>
      </c>
      <c r="P677" s="30" t="s">
        <v>41</v>
      </c>
      <c r="Q677" s="30" t="s">
        <v>42</v>
      </c>
      <c r="S677" s="1" t="s">
        <v>43</v>
      </c>
    </row>
    <row r="678" spans="1:24" x14ac:dyDescent="0.2">
      <c r="A678" s="33" t="s">
        <v>31</v>
      </c>
      <c r="B678" s="33" t="s">
        <v>2889</v>
      </c>
      <c r="C678" s="33" t="s">
        <v>2890</v>
      </c>
      <c r="D678" s="33">
        <f t="shared" si="10"/>
        <v>-1</v>
      </c>
      <c r="E678" s="33" t="s">
        <v>34</v>
      </c>
      <c r="F678" s="33" t="s">
        <v>2755</v>
      </c>
      <c r="G678" s="33" t="s">
        <v>2891</v>
      </c>
      <c r="H678" s="33" t="s">
        <v>37</v>
      </c>
      <c r="I678" s="33" t="s">
        <v>38</v>
      </c>
      <c r="J678" s="33" t="s">
        <v>2892</v>
      </c>
      <c r="K678" s="33" t="s">
        <v>2893</v>
      </c>
      <c r="L678" s="33">
        <v>270940</v>
      </c>
      <c r="M678" s="33">
        <v>0</v>
      </c>
      <c r="N678" s="33">
        <v>0</v>
      </c>
      <c r="O678" s="33">
        <v>1696940</v>
      </c>
      <c r="P678" s="33" t="s">
        <v>41</v>
      </c>
      <c r="Q678" s="33" t="s">
        <v>42</v>
      </c>
      <c r="W678" s="33" t="s">
        <v>43</v>
      </c>
      <c r="X678" s="1" t="s">
        <v>439</v>
      </c>
    </row>
    <row r="679" spans="1:24" x14ac:dyDescent="0.2">
      <c r="A679" s="33" t="s">
        <v>31</v>
      </c>
      <c r="B679" s="33" t="s">
        <v>2894</v>
      </c>
      <c r="C679" s="33" t="s">
        <v>2895</v>
      </c>
      <c r="D679" s="33">
        <f t="shared" si="10"/>
        <v>-1</v>
      </c>
      <c r="E679" s="33" t="s">
        <v>34</v>
      </c>
      <c r="F679" s="33" t="s">
        <v>2755</v>
      </c>
      <c r="G679" s="33" t="s">
        <v>2896</v>
      </c>
      <c r="H679" s="33" t="s">
        <v>37</v>
      </c>
      <c r="I679" s="33" t="s">
        <v>38</v>
      </c>
      <c r="J679" s="33" t="s">
        <v>2897</v>
      </c>
      <c r="K679" s="33" t="s">
        <v>2898</v>
      </c>
      <c r="L679" s="33">
        <v>270940</v>
      </c>
      <c r="M679" s="33">
        <v>0</v>
      </c>
      <c r="N679" s="33">
        <v>0</v>
      </c>
      <c r="O679" s="33">
        <v>6272940</v>
      </c>
      <c r="P679" s="33" t="s">
        <v>41</v>
      </c>
      <c r="Q679" s="33" t="s">
        <v>42</v>
      </c>
      <c r="W679" s="33" t="s">
        <v>43</v>
      </c>
      <c r="X679" s="1" t="s">
        <v>1060</v>
      </c>
    </row>
    <row r="680" spans="1:24" x14ac:dyDescent="0.2">
      <c r="A680" s="29" t="s">
        <v>31</v>
      </c>
      <c r="B680" s="29" t="s">
        <v>2899</v>
      </c>
      <c r="C680" s="29" t="s">
        <v>2900</v>
      </c>
      <c r="D680" s="29">
        <f t="shared" si="10"/>
        <v>-1</v>
      </c>
      <c r="E680" s="29" t="s">
        <v>34</v>
      </c>
      <c r="F680" s="29" t="s">
        <v>2755</v>
      </c>
      <c r="G680" s="29" t="s">
        <v>2901</v>
      </c>
      <c r="H680" s="29" t="s">
        <v>37</v>
      </c>
      <c r="I680" s="29" t="s">
        <v>38</v>
      </c>
      <c r="J680" s="29" t="s">
        <v>2902</v>
      </c>
      <c r="K680" s="29" t="s">
        <v>2903</v>
      </c>
      <c r="L680" s="29">
        <v>73150</v>
      </c>
      <c r="M680" s="29">
        <v>0</v>
      </c>
      <c r="N680" s="29">
        <v>0</v>
      </c>
      <c r="O680" s="29">
        <v>458150</v>
      </c>
      <c r="P680" s="29" t="s">
        <v>41</v>
      </c>
      <c r="Q680" s="29" t="s">
        <v>42</v>
      </c>
      <c r="T680" s="1" t="s">
        <v>43</v>
      </c>
    </row>
    <row r="681" spans="1:24" x14ac:dyDescent="0.2">
      <c r="A681" s="33" t="s">
        <v>31</v>
      </c>
      <c r="B681" s="33" t="s">
        <v>2904</v>
      </c>
      <c r="C681" s="33" t="s">
        <v>2905</v>
      </c>
      <c r="D681" s="33">
        <f t="shared" si="10"/>
        <v>-1</v>
      </c>
      <c r="E681" s="33" t="s">
        <v>34</v>
      </c>
      <c r="F681" s="33" t="s">
        <v>2755</v>
      </c>
      <c r="G681" s="33" t="s">
        <v>2906</v>
      </c>
      <c r="H681" s="33" t="s">
        <v>37</v>
      </c>
      <c r="I681" s="33" t="s">
        <v>38</v>
      </c>
      <c r="J681" s="33" t="s">
        <v>2907</v>
      </c>
      <c r="K681" s="33" t="s">
        <v>2908</v>
      </c>
      <c r="L681" s="33">
        <v>73910</v>
      </c>
      <c r="M681" s="33">
        <v>0</v>
      </c>
      <c r="N681" s="33">
        <v>0</v>
      </c>
      <c r="O681" s="33">
        <v>462910</v>
      </c>
      <c r="P681" s="33" t="s">
        <v>41</v>
      </c>
      <c r="Q681" s="33" t="s">
        <v>42</v>
      </c>
      <c r="W681" s="33" t="s">
        <v>161</v>
      </c>
      <c r="X681" s="1" t="s">
        <v>2278</v>
      </c>
    </row>
    <row r="682" spans="1:24" x14ac:dyDescent="0.2">
      <c r="A682" s="1" t="s">
        <v>31</v>
      </c>
      <c r="B682" s="1" t="s">
        <v>2909</v>
      </c>
      <c r="C682" s="1" t="s">
        <v>2910</v>
      </c>
      <c r="D682" s="1">
        <f t="shared" si="10"/>
        <v>-1</v>
      </c>
      <c r="E682" s="1" t="s">
        <v>34</v>
      </c>
      <c r="F682" s="1" t="s">
        <v>2755</v>
      </c>
      <c r="G682" s="1" t="s">
        <v>2911</v>
      </c>
      <c r="H682" s="1" t="s">
        <v>37</v>
      </c>
      <c r="I682" s="1" t="s">
        <v>38</v>
      </c>
      <c r="J682" s="1" t="s">
        <v>2912</v>
      </c>
      <c r="K682" s="1" t="s">
        <v>2913</v>
      </c>
      <c r="L682" s="1">
        <v>106400</v>
      </c>
      <c r="M682" s="1">
        <v>0</v>
      </c>
      <c r="N682" s="1">
        <v>0</v>
      </c>
      <c r="O682" s="1">
        <v>666400</v>
      </c>
      <c r="P682" s="1" t="s">
        <v>41</v>
      </c>
      <c r="Q682" s="1" t="s">
        <v>42</v>
      </c>
      <c r="V682" s="1" t="s">
        <v>43</v>
      </c>
    </row>
    <row r="683" spans="1:24" x14ac:dyDescent="0.2">
      <c r="A683" s="33" t="s">
        <v>31</v>
      </c>
      <c r="B683" s="33" t="s">
        <v>2914</v>
      </c>
      <c r="C683" s="33" t="s">
        <v>2915</v>
      </c>
      <c r="D683" s="33">
        <f t="shared" si="10"/>
        <v>-1</v>
      </c>
      <c r="E683" s="33" t="s">
        <v>34</v>
      </c>
      <c r="F683" s="33" t="s">
        <v>2755</v>
      </c>
      <c r="G683" s="33" t="s">
        <v>2916</v>
      </c>
      <c r="H683" s="33" t="s">
        <v>37</v>
      </c>
      <c r="I683" s="33" t="s">
        <v>38</v>
      </c>
      <c r="J683" s="33" t="s">
        <v>2917</v>
      </c>
      <c r="K683" s="33" t="s">
        <v>2918</v>
      </c>
      <c r="L683" s="33">
        <v>1943700</v>
      </c>
      <c r="M683" s="33">
        <v>0</v>
      </c>
      <c r="N683" s="33">
        <v>0</v>
      </c>
      <c r="O683" s="33">
        <v>12173700</v>
      </c>
      <c r="P683" s="33" t="s">
        <v>41</v>
      </c>
      <c r="Q683" s="33" t="s">
        <v>42</v>
      </c>
      <c r="W683" s="33" t="s">
        <v>43</v>
      </c>
      <c r="X683" s="1" t="s">
        <v>2919</v>
      </c>
    </row>
    <row r="684" spans="1:24" x14ac:dyDescent="0.2">
      <c r="A684" s="1" t="s">
        <v>31</v>
      </c>
      <c r="B684" s="1" t="s">
        <v>2920</v>
      </c>
      <c r="C684" s="1" t="s">
        <v>2921</v>
      </c>
      <c r="D684" s="1">
        <f t="shared" si="10"/>
        <v>-1</v>
      </c>
      <c r="E684" s="1" t="s">
        <v>34</v>
      </c>
      <c r="F684" s="1" t="s">
        <v>2755</v>
      </c>
      <c r="G684" s="1" t="s">
        <v>2922</v>
      </c>
      <c r="H684" s="1" t="s">
        <v>37</v>
      </c>
      <c r="I684" s="1" t="s">
        <v>38</v>
      </c>
      <c r="J684" s="1" t="s">
        <v>2847</v>
      </c>
      <c r="K684" s="1" t="s">
        <v>2848</v>
      </c>
      <c r="L684" s="1">
        <v>470250</v>
      </c>
      <c r="M684" s="1">
        <v>0</v>
      </c>
      <c r="N684" s="1">
        <v>0</v>
      </c>
      <c r="O684" s="1">
        <v>2945250</v>
      </c>
      <c r="P684" s="1" t="s">
        <v>41</v>
      </c>
      <c r="Q684" s="1" t="s">
        <v>42</v>
      </c>
      <c r="V684" s="1" t="s">
        <v>43</v>
      </c>
    </row>
    <row r="685" spans="1:24" x14ac:dyDescent="0.2">
      <c r="A685" s="33" t="s">
        <v>31</v>
      </c>
      <c r="B685" s="33" t="s">
        <v>2923</v>
      </c>
      <c r="C685" s="33" t="s">
        <v>2924</v>
      </c>
      <c r="D685" s="33">
        <f t="shared" si="10"/>
        <v>-1</v>
      </c>
      <c r="E685" s="33" t="s">
        <v>34</v>
      </c>
      <c r="F685" s="33" t="s">
        <v>2755</v>
      </c>
      <c r="G685" s="33" t="s">
        <v>2925</v>
      </c>
      <c r="H685" s="33" t="s">
        <v>37</v>
      </c>
      <c r="I685" s="33" t="s">
        <v>38</v>
      </c>
      <c r="J685" s="33" t="s">
        <v>1368</v>
      </c>
      <c r="K685" s="33" t="s">
        <v>1369</v>
      </c>
      <c r="L685" s="33">
        <v>826737.5</v>
      </c>
      <c r="M685" s="33">
        <v>0</v>
      </c>
      <c r="N685" s="33">
        <v>0</v>
      </c>
      <c r="O685" s="33">
        <v>5177987.5</v>
      </c>
      <c r="P685" s="33" t="s">
        <v>41</v>
      </c>
      <c r="Q685" s="33" t="s">
        <v>42</v>
      </c>
      <c r="W685" s="33" t="s">
        <v>43</v>
      </c>
      <c r="X685" s="1" t="s">
        <v>69</v>
      </c>
    </row>
    <row r="686" spans="1:24" x14ac:dyDescent="0.2">
      <c r="A686" s="33" t="s">
        <v>31</v>
      </c>
      <c r="B686" s="33" t="s">
        <v>2926</v>
      </c>
      <c r="C686" s="33" t="s">
        <v>2927</v>
      </c>
      <c r="D686" s="33">
        <f t="shared" si="10"/>
        <v>-1</v>
      </c>
      <c r="E686" s="33" t="s">
        <v>34</v>
      </c>
      <c r="F686" s="33" t="s">
        <v>2755</v>
      </c>
      <c r="G686" s="33" t="s">
        <v>2928</v>
      </c>
      <c r="H686" s="33" t="s">
        <v>37</v>
      </c>
      <c r="I686" s="33" t="s">
        <v>38</v>
      </c>
      <c r="J686" s="33" t="s">
        <v>1368</v>
      </c>
      <c r="K686" s="33" t="s">
        <v>1369</v>
      </c>
      <c r="L686" s="33">
        <v>62560.92</v>
      </c>
      <c r="M686" s="33">
        <v>0</v>
      </c>
      <c r="N686" s="33">
        <v>0</v>
      </c>
      <c r="O686" s="33">
        <v>391828.92</v>
      </c>
      <c r="P686" s="33" t="s">
        <v>41</v>
      </c>
      <c r="Q686" s="33" t="s">
        <v>42</v>
      </c>
      <c r="W686" s="33" t="s">
        <v>43</v>
      </c>
      <c r="X686" s="1" t="s">
        <v>69</v>
      </c>
    </row>
    <row r="687" spans="1:24" x14ac:dyDescent="0.2">
      <c r="A687" s="29" t="s">
        <v>31</v>
      </c>
      <c r="B687" s="29" t="s">
        <v>2929</v>
      </c>
      <c r="C687" s="29" t="s">
        <v>2930</v>
      </c>
      <c r="D687" s="29">
        <f t="shared" si="10"/>
        <v>-1</v>
      </c>
      <c r="E687" s="29" t="s">
        <v>34</v>
      </c>
      <c r="F687" s="29" t="s">
        <v>2755</v>
      </c>
      <c r="G687" s="29" t="s">
        <v>2931</v>
      </c>
      <c r="H687" s="29" t="s">
        <v>37</v>
      </c>
      <c r="I687" s="29" t="s">
        <v>38</v>
      </c>
      <c r="J687" s="29" t="s">
        <v>610</v>
      </c>
      <c r="K687" s="29" t="s">
        <v>611</v>
      </c>
      <c r="L687" s="29">
        <v>179687.5</v>
      </c>
      <c r="M687" s="29">
        <v>0</v>
      </c>
      <c r="N687" s="29">
        <v>0</v>
      </c>
      <c r="O687" s="29">
        <v>1303137.5</v>
      </c>
      <c r="P687" s="29" t="s">
        <v>41</v>
      </c>
      <c r="Q687" s="29" t="s">
        <v>42</v>
      </c>
      <c r="T687" s="1" t="s">
        <v>43</v>
      </c>
    </row>
    <row r="688" spans="1:24" x14ac:dyDescent="0.2">
      <c r="A688" s="33" t="s">
        <v>31</v>
      </c>
      <c r="B688" s="33" t="s">
        <v>2932</v>
      </c>
      <c r="C688" s="33" t="s">
        <v>2933</v>
      </c>
      <c r="D688" s="33">
        <f t="shared" si="10"/>
        <v>-1</v>
      </c>
      <c r="E688" s="33" t="s">
        <v>34</v>
      </c>
      <c r="F688" s="33" t="s">
        <v>2755</v>
      </c>
      <c r="G688" s="33" t="s">
        <v>2934</v>
      </c>
      <c r="H688" s="33" t="s">
        <v>37</v>
      </c>
      <c r="I688" s="33" t="s">
        <v>38</v>
      </c>
      <c r="J688" s="33" t="s">
        <v>2935</v>
      </c>
      <c r="K688" s="33" t="s">
        <v>2936</v>
      </c>
      <c r="L688" s="33">
        <v>0</v>
      </c>
      <c r="M688" s="33">
        <v>0</v>
      </c>
      <c r="N688" s="33">
        <v>0</v>
      </c>
      <c r="O688" s="33">
        <v>42600</v>
      </c>
      <c r="P688" s="33" t="s">
        <v>41</v>
      </c>
      <c r="Q688" s="33" t="s">
        <v>42</v>
      </c>
      <c r="W688" s="33" t="s">
        <v>43</v>
      </c>
      <c r="X688" s="1" t="s">
        <v>2937</v>
      </c>
    </row>
    <row r="689" spans="1:24" x14ac:dyDescent="0.2">
      <c r="A689" s="33" t="s">
        <v>31</v>
      </c>
      <c r="B689" s="33" t="s">
        <v>2938</v>
      </c>
      <c r="C689" s="33" t="s">
        <v>2939</v>
      </c>
      <c r="D689" s="33">
        <f t="shared" si="10"/>
        <v>-1</v>
      </c>
      <c r="E689" s="33" t="s">
        <v>34</v>
      </c>
      <c r="F689" s="33" t="s">
        <v>2755</v>
      </c>
      <c r="G689" s="33" t="s">
        <v>2940</v>
      </c>
      <c r="H689" s="33" t="s">
        <v>37</v>
      </c>
      <c r="I689" s="33" t="s">
        <v>38</v>
      </c>
      <c r="J689" s="33" t="s">
        <v>2935</v>
      </c>
      <c r="K689" s="33" t="s">
        <v>2936</v>
      </c>
      <c r="L689" s="33">
        <v>13784.5</v>
      </c>
      <c r="M689" s="33">
        <v>0</v>
      </c>
      <c r="N689" s="33">
        <v>0</v>
      </c>
      <c r="O689" s="33">
        <v>86334.5</v>
      </c>
      <c r="P689" s="33" t="s">
        <v>41</v>
      </c>
      <c r="Q689" s="33" t="s">
        <v>42</v>
      </c>
      <c r="W689" s="33" t="s">
        <v>43</v>
      </c>
      <c r="X689" s="1" t="s">
        <v>2937</v>
      </c>
    </row>
    <row r="690" spans="1:24" x14ac:dyDescent="0.2">
      <c r="A690" s="33" t="s">
        <v>31</v>
      </c>
      <c r="B690" s="33" t="s">
        <v>2941</v>
      </c>
      <c r="C690" s="33">
        <v>105303</v>
      </c>
      <c r="D690" s="33">
        <f t="shared" si="10"/>
        <v>-1</v>
      </c>
      <c r="E690" s="33" t="s">
        <v>34</v>
      </c>
      <c r="F690" s="33" t="s">
        <v>2755</v>
      </c>
      <c r="G690" s="33" t="s">
        <v>2942</v>
      </c>
      <c r="H690" s="33" t="s">
        <v>37</v>
      </c>
      <c r="I690" s="33" t="s">
        <v>38</v>
      </c>
      <c r="J690" s="33" t="s">
        <v>2935</v>
      </c>
      <c r="K690" s="33" t="s">
        <v>2936</v>
      </c>
      <c r="L690" s="33">
        <v>141282.1</v>
      </c>
      <c r="M690" s="33">
        <v>0</v>
      </c>
      <c r="N690" s="33">
        <v>0</v>
      </c>
      <c r="O690" s="33">
        <v>884872.1</v>
      </c>
      <c r="P690" s="33" t="s">
        <v>41</v>
      </c>
      <c r="Q690" s="33" t="s">
        <v>42</v>
      </c>
      <c r="W690" s="33" t="s">
        <v>43</v>
      </c>
      <c r="X690" s="1" t="s">
        <v>2937</v>
      </c>
    </row>
    <row r="691" spans="1:24" x14ac:dyDescent="0.2">
      <c r="A691" s="33" t="s">
        <v>31</v>
      </c>
      <c r="B691" s="33" t="s">
        <v>2943</v>
      </c>
      <c r="C691" s="33" t="s">
        <v>2944</v>
      </c>
      <c r="D691" s="33">
        <f t="shared" si="10"/>
        <v>-1</v>
      </c>
      <c r="E691" s="33" t="s">
        <v>34</v>
      </c>
      <c r="F691" s="33" t="s">
        <v>2755</v>
      </c>
      <c r="G691" s="33" t="s">
        <v>2945</v>
      </c>
      <c r="H691" s="33" t="s">
        <v>37</v>
      </c>
      <c r="I691" s="33" t="s">
        <v>38</v>
      </c>
      <c r="J691" s="33" t="s">
        <v>2935</v>
      </c>
      <c r="K691" s="33" t="s">
        <v>2936</v>
      </c>
      <c r="L691" s="33">
        <v>31730</v>
      </c>
      <c r="M691" s="33">
        <v>0</v>
      </c>
      <c r="N691" s="33">
        <v>0</v>
      </c>
      <c r="O691" s="33">
        <v>666330</v>
      </c>
      <c r="P691" s="33" t="s">
        <v>41</v>
      </c>
      <c r="Q691" s="33" t="s">
        <v>42</v>
      </c>
      <c r="W691" s="33" t="s">
        <v>43</v>
      </c>
      <c r="X691" s="1" t="s">
        <v>2937</v>
      </c>
    </row>
    <row r="692" spans="1:24" x14ac:dyDescent="0.2">
      <c r="A692" s="33" t="s">
        <v>31</v>
      </c>
      <c r="B692" s="33" t="s">
        <v>2946</v>
      </c>
      <c r="C692" s="33" t="s">
        <v>2947</v>
      </c>
      <c r="D692" s="33">
        <f t="shared" si="10"/>
        <v>-1</v>
      </c>
      <c r="E692" s="33" t="s">
        <v>34</v>
      </c>
      <c r="F692" s="33" t="s">
        <v>2755</v>
      </c>
      <c r="G692" s="33" t="s">
        <v>2948</v>
      </c>
      <c r="H692" s="33" t="s">
        <v>37</v>
      </c>
      <c r="I692" s="33" t="s">
        <v>38</v>
      </c>
      <c r="J692" s="33" t="s">
        <v>2935</v>
      </c>
      <c r="K692" s="33" t="s">
        <v>2936</v>
      </c>
      <c r="L692" s="33">
        <v>42364.3</v>
      </c>
      <c r="M692" s="33">
        <v>0</v>
      </c>
      <c r="N692" s="33">
        <v>0</v>
      </c>
      <c r="O692" s="33">
        <v>265334.3</v>
      </c>
      <c r="P692" s="33" t="s">
        <v>41</v>
      </c>
      <c r="Q692" s="33" t="s">
        <v>42</v>
      </c>
      <c r="W692" s="33" t="s">
        <v>43</v>
      </c>
      <c r="X692" s="1" t="s">
        <v>2937</v>
      </c>
    </row>
    <row r="693" spans="1:24" x14ac:dyDescent="0.2">
      <c r="A693" s="33" t="s">
        <v>31</v>
      </c>
      <c r="B693" s="33" t="s">
        <v>2949</v>
      </c>
      <c r="C693" s="33" t="s">
        <v>2950</v>
      </c>
      <c r="D693" s="33">
        <f t="shared" si="10"/>
        <v>-1</v>
      </c>
      <c r="E693" s="33" t="s">
        <v>34</v>
      </c>
      <c r="F693" s="33" t="s">
        <v>2755</v>
      </c>
      <c r="G693" s="33" t="s">
        <v>2951</v>
      </c>
      <c r="H693" s="33" t="s">
        <v>37</v>
      </c>
      <c r="I693" s="33" t="s">
        <v>38</v>
      </c>
      <c r="J693" s="33" t="s">
        <v>2562</v>
      </c>
      <c r="K693" s="33" t="s">
        <v>2563</v>
      </c>
      <c r="L693" s="33">
        <v>0</v>
      </c>
      <c r="M693" s="33">
        <v>0</v>
      </c>
      <c r="N693" s="33">
        <v>0</v>
      </c>
      <c r="O693" s="33">
        <v>6760000</v>
      </c>
      <c r="P693" s="33" t="s">
        <v>41</v>
      </c>
      <c r="Q693" s="33" t="s">
        <v>42</v>
      </c>
      <c r="W693" s="33" t="s">
        <v>43</v>
      </c>
      <c r="X693" s="1" t="s">
        <v>69</v>
      </c>
    </row>
    <row r="694" spans="1:24" x14ac:dyDescent="0.2">
      <c r="A694" s="33" t="s">
        <v>31</v>
      </c>
      <c r="B694" s="33" t="s">
        <v>2952</v>
      </c>
      <c r="C694" s="33" t="s">
        <v>2953</v>
      </c>
      <c r="D694" s="33">
        <f t="shared" si="10"/>
        <v>-1</v>
      </c>
      <c r="E694" s="33" t="s">
        <v>34</v>
      </c>
      <c r="F694" s="33" t="s">
        <v>2755</v>
      </c>
      <c r="G694" s="33" t="s">
        <v>2954</v>
      </c>
      <c r="H694" s="33" t="s">
        <v>37</v>
      </c>
      <c r="I694" s="33" t="s">
        <v>38</v>
      </c>
      <c r="J694" s="33" t="s">
        <v>2162</v>
      </c>
      <c r="K694" s="33" t="s">
        <v>2163</v>
      </c>
      <c r="L694" s="33">
        <v>16815</v>
      </c>
      <c r="M694" s="33">
        <v>0</v>
      </c>
      <c r="N694" s="33">
        <v>0</v>
      </c>
      <c r="O694" s="33">
        <v>105315</v>
      </c>
      <c r="P694" s="33" t="s">
        <v>41</v>
      </c>
      <c r="Q694" s="33" t="s">
        <v>42</v>
      </c>
      <c r="W694" s="33" t="s">
        <v>43</v>
      </c>
      <c r="X694" s="1" t="s">
        <v>277</v>
      </c>
    </row>
    <row r="695" spans="1:24" x14ac:dyDescent="0.2">
      <c r="A695" s="33" t="s">
        <v>31</v>
      </c>
      <c r="B695" s="33" t="s">
        <v>2955</v>
      </c>
      <c r="C695" s="33" t="s">
        <v>2956</v>
      </c>
      <c r="D695" s="33">
        <f t="shared" si="10"/>
        <v>-1</v>
      </c>
      <c r="E695" s="33" t="s">
        <v>34</v>
      </c>
      <c r="F695" s="33" t="s">
        <v>2755</v>
      </c>
      <c r="G695" s="33" t="s">
        <v>2957</v>
      </c>
      <c r="H695" s="33" t="s">
        <v>37</v>
      </c>
      <c r="I695" s="33" t="s">
        <v>38</v>
      </c>
      <c r="J695" s="33" t="s">
        <v>687</v>
      </c>
      <c r="K695" s="33" t="s">
        <v>688</v>
      </c>
      <c r="L695" s="33">
        <v>0</v>
      </c>
      <c r="M695" s="33">
        <v>0</v>
      </c>
      <c r="N695" s="33">
        <v>0</v>
      </c>
      <c r="O695" s="33">
        <v>1069314</v>
      </c>
      <c r="P695" s="33" t="s">
        <v>41</v>
      </c>
      <c r="Q695" s="33" t="s">
        <v>42</v>
      </c>
      <c r="W695" s="33" t="s">
        <v>43</v>
      </c>
      <c r="X695" s="1" t="s">
        <v>694</v>
      </c>
    </row>
    <row r="696" spans="1:24" x14ac:dyDescent="0.2">
      <c r="A696" s="33" t="s">
        <v>31</v>
      </c>
      <c r="B696" s="33" t="s">
        <v>2958</v>
      </c>
      <c r="C696" s="33" t="s">
        <v>2959</v>
      </c>
      <c r="D696" s="33">
        <f t="shared" si="10"/>
        <v>-1</v>
      </c>
      <c r="E696" s="33" t="s">
        <v>34</v>
      </c>
      <c r="F696" s="33" t="s">
        <v>2755</v>
      </c>
      <c r="G696" s="33" t="s">
        <v>2960</v>
      </c>
      <c r="H696" s="33" t="s">
        <v>37</v>
      </c>
      <c r="I696" s="33" t="s">
        <v>38</v>
      </c>
      <c r="J696" s="33" t="s">
        <v>1657</v>
      </c>
      <c r="K696" s="33" t="s">
        <v>1658</v>
      </c>
      <c r="L696" s="33">
        <v>155420</v>
      </c>
      <c r="M696" s="33">
        <v>0</v>
      </c>
      <c r="N696" s="33">
        <v>0</v>
      </c>
      <c r="O696" s="33">
        <v>973420</v>
      </c>
      <c r="P696" s="33" t="s">
        <v>41</v>
      </c>
      <c r="Q696" s="33" t="s">
        <v>42</v>
      </c>
      <c r="W696" s="33" t="s">
        <v>43</v>
      </c>
      <c r="X696" s="1" t="s">
        <v>69</v>
      </c>
    </row>
    <row r="697" spans="1:24" x14ac:dyDescent="0.2">
      <c r="A697" s="33" t="s">
        <v>31</v>
      </c>
      <c r="B697" s="33" t="s">
        <v>2961</v>
      </c>
      <c r="C697" s="33" t="s">
        <v>2962</v>
      </c>
      <c r="D697" s="33">
        <f t="shared" si="10"/>
        <v>-1</v>
      </c>
      <c r="E697" s="33" t="s">
        <v>34</v>
      </c>
      <c r="F697" s="33" t="s">
        <v>2755</v>
      </c>
      <c r="G697" s="33" t="s">
        <v>2963</v>
      </c>
      <c r="H697" s="33" t="s">
        <v>37</v>
      </c>
      <c r="I697" s="33" t="s">
        <v>38</v>
      </c>
      <c r="J697" s="33" t="s">
        <v>2964</v>
      </c>
      <c r="K697" s="33" t="s">
        <v>2965</v>
      </c>
      <c r="L697" s="33">
        <v>50540</v>
      </c>
      <c r="M697" s="33">
        <v>0</v>
      </c>
      <c r="N697" s="33">
        <v>0</v>
      </c>
      <c r="O697" s="33">
        <v>316540</v>
      </c>
      <c r="P697" s="33" t="s">
        <v>41</v>
      </c>
      <c r="Q697" s="33" t="s">
        <v>42</v>
      </c>
      <c r="W697" s="33" t="s">
        <v>43</v>
      </c>
      <c r="X697" s="1" t="s">
        <v>622</v>
      </c>
    </row>
    <row r="698" spans="1:24" x14ac:dyDescent="0.2">
      <c r="A698" s="28" t="s">
        <v>31</v>
      </c>
      <c r="B698" s="28" t="s">
        <v>2966</v>
      </c>
      <c r="C698" s="28" t="s">
        <v>2967</v>
      </c>
      <c r="D698" s="28">
        <f t="shared" si="10"/>
        <v>-1</v>
      </c>
      <c r="E698" s="28" t="s">
        <v>34</v>
      </c>
      <c r="F698" s="28" t="s">
        <v>2755</v>
      </c>
      <c r="G698" s="28" t="s">
        <v>2968</v>
      </c>
      <c r="H698" s="28" t="s">
        <v>37</v>
      </c>
      <c r="I698" s="28" t="s">
        <v>38</v>
      </c>
      <c r="J698" s="28" t="s">
        <v>62</v>
      </c>
      <c r="K698" s="28" t="s">
        <v>63</v>
      </c>
      <c r="L698" s="28">
        <v>3326044.05</v>
      </c>
      <c r="M698" s="28">
        <v>0</v>
      </c>
      <c r="N698" s="28">
        <v>0</v>
      </c>
      <c r="O698" s="28">
        <v>38798212.049999997</v>
      </c>
      <c r="P698" s="28" t="s">
        <v>41</v>
      </c>
      <c r="Q698" s="28" t="s">
        <v>42</v>
      </c>
      <c r="R698" s="1" t="s">
        <v>161</v>
      </c>
    </row>
    <row r="699" spans="1:24" x14ac:dyDescent="0.2">
      <c r="A699" s="28" t="s">
        <v>31</v>
      </c>
      <c r="B699" s="28" t="s">
        <v>2969</v>
      </c>
      <c r="C699" s="28" t="s">
        <v>2970</v>
      </c>
      <c r="D699" s="28">
        <f t="shared" si="10"/>
        <v>-1</v>
      </c>
      <c r="E699" s="28" t="s">
        <v>34</v>
      </c>
      <c r="F699" s="28" t="s">
        <v>2755</v>
      </c>
      <c r="G699" s="28" t="s">
        <v>2971</v>
      </c>
      <c r="H699" s="28" t="s">
        <v>37</v>
      </c>
      <c r="I699" s="28" t="s">
        <v>38</v>
      </c>
      <c r="J699" s="28" t="s">
        <v>57</v>
      </c>
      <c r="K699" s="28" t="s">
        <v>58</v>
      </c>
      <c r="L699" s="28">
        <v>2446514.86</v>
      </c>
      <c r="M699" s="28">
        <v>0</v>
      </c>
      <c r="N699" s="28">
        <v>0</v>
      </c>
      <c r="O699" s="28">
        <v>35285878.859999999</v>
      </c>
      <c r="P699" s="28" t="s">
        <v>41</v>
      </c>
      <c r="Q699" s="28" t="s">
        <v>42</v>
      </c>
      <c r="R699" s="1" t="s">
        <v>161</v>
      </c>
    </row>
    <row r="700" spans="1:24" x14ac:dyDescent="0.2">
      <c r="A700" s="33" t="s">
        <v>31</v>
      </c>
      <c r="B700" s="33" t="s">
        <v>2972</v>
      </c>
      <c r="C700" s="33" t="s">
        <v>2973</v>
      </c>
      <c r="D700" s="33">
        <f t="shared" si="10"/>
        <v>-1</v>
      </c>
      <c r="E700" s="33" t="s">
        <v>34</v>
      </c>
      <c r="F700" s="33" t="s">
        <v>2755</v>
      </c>
      <c r="G700" s="33" t="s">
        <v>2974</v>
      </c>
      <c r="H700" s="33" t="s">
        <v>37</v>
      </c>
      <c r="I700" s="33" t="s">
        <v>38</v>
      </c>
      <c r="J700" s="33" t="s">
        <v>2975</v>
      </c>
      <c r="K700" s="33" t="s">
        <v>2976</v>
      </c>
      <c r="L700" s="33">
        <v>1953333</v>
      </c>
      <c r="M700" s="33">
        <v>0</v>
      </c>
      <c r="N700" s="33">
        <v>0</v>
      </c>
      <c r="O700" s="33">
        <v>12234033</v>
      </c>
      <c r="P700" s="33" t="s">
        <v>41</v>
      </c>
      <c r="Q700" s="33" t="s">
        <v>42</v>
      </c>
      <c r="W700" s="33" t="s">
        <v>43</v>
      </c>
      <c r="X700" s="1" t="s">
        <v>317</v>
      </c>
    </row>
    <row r="701" spans="1:24" x14ac:dyDescent="0.2">
      <c r="A701" s="33" t="s">
        <v>31</v>
      </c>
      <c r="B701" s="33" t="s">
        <v>2977</v>
      </c>
      <c r="C701" s="33" t="s">
        <v>2978</v>
      </c>
      <c r="D701" s="33">
        <f t="shared" si="10"/>
        <v>-1</v>
      </c>
      <c r="E701" s="33" t="s">
        <v>34</v>
      </c>
      <c r="F701" s="33" t="s">
        <v>2755</v>
      </c>
      <c r="G701" s="33" t="s">
        <v>2979</v>
      </c>
      <c r="H701" s="33" t="s">
        <v>37</v>
      </c>
      <c r="I701" s="33" t="s">
        <v>38</v>
      </c>
      <c r="J701" s="33" t="s">
        <v>2975</v>
      </c>
      <c r="K701" s="33" t="s">
        <v>2976</v>
      </c>
      <c r="L701" s="33">
        <v>415478.7</v>
      </c>
      <c r="M701" s="33">
        <v>0</v>
      </c>
      <c r="N701" s="33">
        <v>0</v>
      </c>
      <c r="O701" s="33">
        <v>2602208.7000000002</v>
      </c>
      <c r="P701" s="33" t="s">
        <v>41</v>
      </c>
      <c r="Q701" s="33" t="s">
        <v>42</v>
      </c>
      <c r="W701" s="33" t="s">
        <v>43</v>
      </c>
      <c r="X701" s="1" t="s">
        <v>317</v>
      </c>
    </row>
    <row r="702" spans="1:24" x14ac:dyDescent="0.2">
      <c r="A702" s="33" t="s">
        <v>31</v>
      </c>
      <c r="B702" s="33" t="s">
        <v>2980</v>
      </c>
      <c r="C702" s="33" t="s">
        <v>2981</v>
      </c>
      <c r="D702" s="33">
        <f t="shared" si="10"/>
        <v>-1</v>
      </c>
      <c r="E702" s="33" t="s">
        <v>34</v>
      </c>
      <c r="F702" s="33" t="s">
        <v>2755</v>
      </c>
      <c r="G702" s="33" t="s">
        <v>2982</v>
      </c>
      <c r="H702" s="33" t="s">
        <v>37</v>
      </c>
      <c r="I702" s="33" t="s">
        <v>38</v>
      </c>
      <c r="J702" s="33" t="s">
        <v>2983</v>
      </c>
      <c r="K702" s="33" t="s">
        <v>2984</v>
      </c>
      <c r="L702" s="33">
        <v>0</v>
      </c>
      <c r="M702" s="33">
        <v>0</v>
      </c>
      <c r="N702" s="33">
        <v>0</v>
      </c>
      <c r="O702" s="33">
        <v>3015950</v>
      </c>
      <c r="P702" s="33" t="s">
        <v>41</v>
      </c>
      <c r="Q702" s="33" t="s">
        <v>42</v>
      </c>
      <c r="W702" s="33" t="s">
        <v>43</v>
      </c>
      <c r="X702" s="1" t="s">
        <v>622</v>
      </c>
    </row>
    <row r="703" spans="1:24" x14ac:dyDescent="0.2">
      <c r="A703" s="29" t="s">
        <v>31</v>
      </c>
      <c r="B703" s="29" t="s">
        <v>2985</v>
      </c>
      <c r="C703" s="29" t="s">
        <v>2986</v>
      </c>
      <c r="D703" s="29">
        <f t="shared" si="10"/>
        <v>-1</v>
      </c>
      <c r="E703" s="29" t="s">
        <v>34</v>
      </c>
      <c r="F703" s="29" t="s">
        <v>2755</v>
      </c>
      <c r="G703" s="29" t="s">
        <v>2987</v>
      </c>
      <c r="H703" s="29" t="s">
        <v>37</v>
      </c>
      <c r="I703" s="29" t="s">
        <v>38</v>
      </c>
      <c r="J703" s="29" t="s">
        <v>940</v>
      </c>
      <c r="K703" s="29" t="s">
        <v>941</v>
      </c>
      <c r="L703" s="29">
        <v>12445</v>
      </c>
      <c r="M703" s="29">
        <v>0</v>
      </c>
      <c r="N703" s="29">
        <v>0</v>
      </c>
      <c r="O703" s="29">
        <v>77945</v>
      </c>
      <c r="P703" s="29" t="s">
        <v>41</v>
      </c>
      <c r="Q703" s="29" t="s">
        <v>42</v>
      </c>
      <c r="T703" s="1" t="s">
        <v>43</v>
      </c>
    </row>
    <row r="704" spans="1:24" x14ac:dyDescent="0.2">
      <c r="A704" s="33" t="s">
        <v>31</v>
      </c>
      <c r="B704" s="33" t="s">
        <v>2988</v>
      </c>
      <c r="C704" s="33" t="s">
        <v>2989</v>
      </c>
      <c r="D704" s="33">
        <f t="shared" si="10"/>
        <v>-1</v>
      </c>
      <c r="E704" s="33" t="s">
        <v>34</v>
      </c>
      <c r="F704" s="33" t="s">
        <v>2755</v>
      </c>
      <c r="G704" s="33" t="s">
        <v>2990</v>
      </c>
      <c r="H704" s="33" t="s">
        <v>37</v>
      </c>
      <c r="I704" s="33" t="s">
        <v>38</v>
      </c>
      <c r="J704" s="33" t="s">
        <v>2991</v>
      </c>
      <c r="K704" s="33" t="s">
        <v>2992</v>
      </c>
      <c r="L704" s="33">
        <v>1995140.79</v>
      </c>
      <c r="M704" s="33">
        <v>0</v>
      </c>
      <c r="N704" s="33">
        <v>0</v>
      </c>
      <c r="O704" s="33">
        <v>12495881.789999999</v>
      </c>
      <c r="P704" s="33" t="s">
        <v>41</v>
      </c>
      <c r="Q704" s="33" t="s">
        <v>42</v>
      </c>
      <c r="W704" s="33" t="s">
        <v>43</v>
      </c>
      <c r="X704" s="1" t="s">
        <v>439</v>
      </c>
    </row>
    <row r="705" spans="1:24" x14ac:dyDescent="0.2">
      <c r="A705" s="29" t="s">
        <v>31</v>
      </c>
      <c r="B705" s="29" t="s">
        <v>2993</v>
      </c>
      <c r="C705" s="29" t="s">
        <v>2994</v>
      </c>
      <c r="D705" s="29">
        <f t="shared" si="10"/>
        <v>-1</v>
      </c>
      <c r="E705" s="29" t="s">
        <v>34</v>
      </c>
      <c r="F705" s="29" t="s">
        <v>2755</v>
      </c>
      <c r="G705" s="29" t="s">
        <v>2995</v>
      </c>
      <c r="H705" s="29" t="s">
        <v>37</v>
      </c>
      <c r="I705" s="29" t="s">
        <v>38</v>
      </c>
      <c r="J705" s="29" t="s">
        <v>2996</v>
      </c>
      <c r="K705" s="29" t="s">
        <v>2997</v>
      </c>
      <c r="L705" s="29">
        <v>0</v>
      </c>
      <c r="M705" s="29">
        <v>0</v>
      </c>
      <c r="N705" s="29">
        <v>0</v>
      </c>
      <c r="O705" s="29">
        <v>671486.4</v>
      </c>
      <c r="P705" s="29" t="s">
        <v>41</v>
      </c>
      <c r="Q705" s="29" t="s">
        <v>42</v>
      </c>
      <c r="T705" s="1" t="s">
        <v>43</v>
      </c>
    </row>
    <row r="706" spans="1:24" x14ac:dyDescent="0.2">
      <c r="A706" s="1" t="s">
        <v>31</v>
      </c>
      <c r="B706" s="1" t="s">
        <v>2998</v>
      </c>
      <c r="C706" s="1" t="s">
        <v>2999</v>
      </c>
      <c r="D706" s="1">
        <f t="shared" si="10"/>
        <v>-1</v>
      </c>
      <c r="E706" s="1" t="s">
        <v>34</v>
      </c>
      <c r="F706" s="1" t="s">
        <v>2755</v>
      </c>
      <c r="G706" s="1" t="s">
        <v>3000</v>
      </c>
      <c r="H706" s="1" t="s">
        <v>37</v>
      </c>
      <c r="I706" s="1" t="s">
        <v>38</v>
      </c>
      <c r="J706" s="1" t="s">
        <v>3001</v>
      </c>
      <c r="K706" s="1" t="s">
        <v>3002</v>
      </c>
      <c r="L706" s="1">
        <v>255142.64</v>
      </c>
      <c r="M706" s="1">
        <v>0</v>
      </c>
      <c r="N706" s="1">
        <v>0</v>
      </c>
      <c r="O706" s="1">
        <v>1597998.64</v>
      </c>
      <c r="P706" s="1" t="s">
        <v>41</v>
      </c>
      <c r="Q706" s="1" t="s">
        <v>42</v>
      </c>
      <c r="V706" s="1" t="s">
        <v>43</v>
      </c>
    </row>
    <row r="707" spans="1:24" x14ac:dyDescent="0.2">
      <c r="A707" s="33" t="s">
        <v>31</v>
      </c>
      <c r="B707" s="33" t="s">
        <v>3003</v>
      </c>
      <c r="C707" s="33" t="s">
        <v>3004</v>
      </c>
      <c r="D707" s="33">
        <f t="shared" si="10"/>
        <v>-1</v>
      </c>
      <c r="E707" s="33" t="s">
        <v>34</v>
      </c>
      <c r="F707" s="33" t="s">
        <v>2755</v>
      </c>
      <c r="G707" s="33" t="s">
        <v>3005</v>
      </c>
      <c r="H707" s="33" t="s">
        <v>37</v>
      </c>
      <c r="I707" s="33" t="s">
        <v>38</v>
      </c>
      <c r="J707" s="33" t="s">
        <v>3006</v>
      </c>
      <c r="K707" s="33" t="s">
        <v>3007</v>
      </c>
      <c r="L707" s="33">
        <v>13157.5</v>
      </c>
      <c r="M707" s="33">
        <v>0</v>
      </c>
      <c r="N707" s="33">
        <v>0</v>
      </c>
      <c r="O707" s="33">
        <v>82407.5</v>
      </c>
      <c r="P707" s="33" t="s">
        <v>41</v>
      </c>
      <c r="Q707" s="33" t="s">
        <v>42</v>
      </c>
      <c r="W707" s="33" t="s">
        <v>43</v>
      </c>
      <c r="X707" s="1" t="s">
        <v>2919</v>
      </c>
    </row>
    <row r="708" spans="1:24" x14ac:dyDescent="0.2">
      <c r="A708" s="33" t="s">
        <v>31</v>
      </c>
      <c r="B708" s="33" t="s">
        <v>3008</v>
      </c>
      <c r="C708" s="33" t="s">
        <v>3009</v>
      </c>
      <c r="D708" s="33">
        <f t="shared" si="10"/>
        <v>-1</v>
      </c>
      <c r="E708" s="33" t="s">
        <v>34</v>
      </c>
      <c r="F708" s="33" t="s">
        <v>2755</v>
      </c>
      <c r="G708" s="33" t="s">
        <v>3010</v>
      </c>
      <c r="H708" s="33" t="s">
        <v>37</v>
      </c>
      <c r="I708" s="33" t="s">
        <v>38</v>
      </c>
      <c r="J708" s="33" t="s">
        <v>3011</v>
      </c>
      <c r="K708" s="33" t="s">
        <v>3012</v>
      </c>
      <c r="L708" s="33">
        <v>1163940</v>
      </c>
      <c r="M708" s="33">
        <v>0</v>
      </c>
      <c r="N708" s="33">
        <v>0</v>
      </c>
      <c r="O708" s="33">
        <v>7289940</v>
      </c>
      <c r="P708" s="33" t="s">
        <v>41</v>
      </c>
      <c r="Q708" s="33" t="s">
        <v>42</v>
      </c>
      <c r="W708" s="33" t="s">
        <v>43</v>
      </c>
      <c r="X708" s="1" t="s">
        <v>439</v>
      </c>
    </row>
    <row r="709" spans="1:24" x14ac:dyDescent="0.2">
      <c r="A709" s="28" t="s">
        <v>31</v>
      </c>
      <c r="B709" s="28" t="s">
        <v>3013</v>
      </c>
      <c r="C709" s="28" t="s">
        <v>3014</v>
      </c>
      <c r="D709" s="28">
        <f t="shared" si="10"/>
        <v>-1</v>
      </c>
      <c r="E709" s="28" t="s">
        <v>34</v>
      </c>
      <c r="F709" s="28" t="s">
        <v>2755</v>
      </c>
      <c r="G709" s="28" t="s">
        <v>3015</v>
      </c>
      <c r="H709" s="28" t="s">
        <v>37</v>
      </c>
      <c r="I709" s="28" t="s">
        <v>38</v>
      </c>
      <c r="J709" s="28" t="s">
        <v>52</v>
      </c>
      <c r="K709" s="28" t="s">
        <v>53</v>
      </c>
      <c r="L709" s="28">
        <v>1223763.3999999999</v>
      </c>
      <c r="M709" s="28">
        <v>0</v>
      </c>
      <c r="N709" s="28">
        <v>0</v>
      </c>
      <c r="O709" s="28">
        <v>11529841.4</v>
      </c>
      <c r="P709" s="28" t="s">
        <v>41</v>
      </c>
      <c r="Q709" s="28" t="s">
        <v>42</v>
      </c>
      <c r="R709" s="1" t="s">
        <v>161</v>
      </c>
    </row>
    <row r="710" spans="1:24" x14ac:dyDescent="0.2">
      <c r="A710" s="1" t="s">
        <v>31</v>
      </c>
      <c r="B710" s="1" t="s">
        <v>3016</v>
      </c>
      <c r="C710" s="1" t="s">
        <v>3017</v>
      </c>
      <c r="D710" s="1">
        <f t="shared" si="10"/>
        <v>-1</v>
      </c>
      <c r="E710" s="1" t="s">
        <v>34</v>
      </c>
      <c r="F710" s="1" t="s">
        <v>2755</v>
      </c>
      <c r="G710" s="1" t="s">
        <v>3018</v>
      </c>
      <c r="H710" s="1" t="s">
        <v>37</v>
      </c>
      <c r="I710" s="1" t="s">
        <v>38</v>
      </c>
      <c r="J710" s="1" t="s">
        <v>3019</v>
      </c>
      <c r="K710" s="1" t="s">
        <v>3020</v>
      </c>
      <c r="L710" s="1">
        <v>75620</v>
      </c>
      <c r="M710" s="1">
        <v>0</v>
      </c>
      <c r="N710" s="1">
        <v>0</v>
      </c>
      <c r="O710" s="1">
        <v>1219620</v>
      </c>
      <c r="P710" s="1" t="s">
        <v>41</v>
      </c>
      <c r="Q710" s="1" t="s">
        <v>42</v>
      </c>
      <c r="V710" s="1" t="s">
        <v>43</v>
      </c>
    </row>
    <row r="711" spans="1:24" x14ac:dyDescent="0.2">
      <c r="A711" s="33" t="s">
        <v>31</v>
      </c>
      <c r="B711" s="33" t="s">
        <v>3021</v>
      </c>
      <c r="C711" s="33" t="s">
        <v>3022</v>
      </c>
      <c r="D711" s="33">
        <f t="shared" si="10"/>
        <v>-1</v>
      </c>
      <c r="E711" s="33" t="s">
        <v>34</v>
      </c>
      <c r="F711" s="33" t="s">
        <v>2755</v>
      </c>
      <c r="G711" s="33" t="s">
        <v>3023</v>
      </c>
      <c r="H711" s="33" t="s">
        <v>37</v>
      </c>
      <c r="I711" s="33" t="s">
        <v>38</v>
      </c>
      <c r="J711" s="33" t="s">
        <v>3024</v>
      </c>
      <c r="K711" s="33" t="s">
        <v>3025</v>
      </c>
      <c r="L711" s="33">
        <v>64899.06</v>
      </c>
      <c r="M711" s="33">
        <v>0</v>
      </c>
      <c r="N711" s="33">
        <v>0</v>
      </c>
      <c r="O711" s="33">
        <v>406473.06</v>
      </c>
      <c r="P711" s="33" t="s">
        <v>41</v>
      </c>
      <c r="Q711" s="33" t="s">
        <v>42</v>
      </c>
      <c r="W711" s="33" t="s">
        <v>161</v>
      </c>
      <c r="X711" s="1" t="s">
        <v>2668</v>
      </c>
    </row>
    <row r="712" spans="1:24" x14ac:dyDescent="0.2">
      <c r="A712" s="33" t="s">
        <v>31</v>
      </c>
      <c r="B712" s="33" t="s">
        <v>3026</v>
      </c>
      <c r="C712" s="33" t="s">
        <v>3027</v>
      </c>
      <c r="D712" s="33">
        <f t="shared" si="10"/>
        <v>-1</v>
      </c>
      <c r="E712" s="33" t="s">
        <v>34</v>
      </c>
      <c r="F712" s="33" t="s">
        <v>2755</v>
      </c>
      <c r="G712" s="33" t="s">
        <v>3028</v>
      </c>
      <c r="H712" s="33" t="s">
        <v>37</v>
      </c>
      <c r="I712" s="33" t="s">
        <v>38</v>
      </c>
      <c r="J712" s="33" t="s">
        <v>1629</v>
      </c>
      <c r="K712" s="33" t="s">
        <v>1630</v>
      </c>
      <c r="L712" s="33">
        <v>32062.5</v>
      </c>
      <c r="M712" s="33">
        <v>0</v>
      </c>
      <c r="N712" s="33">
        <v>0</v>
      </c>
      <c r="O712" s="33">
        <v>200812.5</v>
      </c>
      <c r="P712" s="33" t="s">
        <v>41</v>
      </c>
      <c r="Q712" s="33" t="s">
        <v>42</v>
      </c>
      <c r="W712" s="33" t="s">
        <v>161</v>
      </c>
      <c r="X712" s="1" t="s">
        <v>226</v>
      </c>
    </row>
    <row r="713" spans="1:24" x14ac:dyDescent="0.2">
      <c r="A713" s="33" t="s">
        <v>31</v>
      </c>
      <c r="B713" s="33" t="s">
        <v>3029</v>
      </c>
      <c r="C713" s="33" t="s">
        <v>3030</v>
      </c>
      <c r="D713" s="33">
        <f t="shared" si="10"/>
        <v>-1</v>
      </c>
      <c r="E713" s="33" t="s">
        <v>34</v>
      </c>
      <c r="F713" s="33" t="s">
        <v>2755</v>
      </c>
      <c r="G713" s="33" t="s">
        <v>3031</v>
      </c>
      <c r="H713" s="33" t="s">
        <v>37</v>
      </c>
      <c r="I713" s="33" t="s">
        <v>38</v>
      </c>
      <c r="J713" s="33" t="s">
        <v>3032</v>
      </c>
      <c r="K713" s="33" t="s">
        <v>3033</v>
      </c>
      <c r="L713" s="33">
        <v>3420</v>
      </c>
      <c r="M713" s="33">
        <v>0</v>
      </c>
      <c r="N713" s="33">
        <v>0</v>
      </c>
      <c r="O713" s="33">
        <v>21420</v>
      </c>
      <c r="P713" s="33" t="s">
        <v>41</v>
      </c>
      <c r="Q713" s="33" t="s">
        <v>42</v>
      </c>
      <c r="W713" s="33" t="s">
        <v>161</v>
      </c>
      <c r="X713" s="1" t="s">
        <v>742</v>
      </c>
    </row>
    <row r="714" spans="1:24" x14ac:dyDescent="0.2">
      <c r="A714" s="33" t="s">
        <v>31</v>
      </c>
      <c r="B714" s="33" t="s">
        <v>3034</v>
      </c>
      <c r="C714" s="33" t="s">
        <v>3035</v>
      </c>
      <c r="D714" s="33">
        <f t="shared" si="10"/>
        <v>-1</v>
      </c>
      <c r="E714" s="33" t="s">
        <v>34</v>
      </c>
      <c r="F714" s="33" t="s">
        <v>2755</v>
      </c>
      <c r="G714" s="33" t="s">
        <v>3036</v>
      </c>
      <c r="H714" s="33" t="s">
        <v>37</v>
      </c>
      <c r="I714" s="33" t="s">
        <v>38</v>
      </c>
      <c r="J714" s="33" t="s">
        <v>3037</v>
      </c>
      <c r="K714" s="33" t="s">
        <v>3038</v>
      </c>
      <c r="L714" s="33">
        <v>254600</v>
      </c>
      <c r="M714" s="33">
        <v>0</v>
      </c>
      <c r="N714" s="33">
        <v>0</v>
      </c>
      <c r="O714" s="33">
        <v>1594600</v>
      </c>
      <c r="P714" s="33" t="s">
        <v>41</v>
      </c>
      <c r="Q714" s="33" t="s">
        <v>42</v>
      </c>
      <c r="W714" s="33" t="s">
        <v>161</v>
      </c>
      <c r="X714" s="1" t="s">
        <v>1060</v>
      </c>
    </row>
    <row r="715" spans="1:24" x14ac:dyDescent="0.2">
      <c r="A715" s="33" t="s">
        <v>31</v>
      </c>
      <c r="B715" s="33" t="s">
        <v>3039</v>
      </c>
      <c r="C715" s="33" t="s">
        <v>3040</v>
      </c>
      <c r="D715" s="33">
        <f t="shared" ref="D715:D778" si="11">C715-C716</f>
        <v>-1</v>
      </c>
      <c r="E715" s="33" t="s">
        <v>34</v>
      </c>
      <c r="F715" s="33" t="s">
        <v>2755</v>
      </c>
      <c r="G715" s="33" t="s">
        <v>3041</v>
      </c>
      <c r="H715" s="33" t="s">
        <v>37</v>
      </c>
      <c r="I715" s="33" t="s">
        <v>38</v>
      </c>
      <c r="J715" s="33" t="s">
        <v>652</v>
      </c>
      <c r="K715" s="33" t="s">
        <v>653</v>
      </c>
      <c r="L715" s="33">
        <v>95000</v>
      </c>
      <c r="M715" s="33">
        <v>0</v>
      </c>
      <c r="N715" s="33">
        <v>0</v>
      </c>
      <c r="O715" s="33">
        <v>595000</v>
      </c>
      <c r="P715" s="33" t="s">
        <v>41</v>
      </c>
      <c r="Q715" s="33" t="s">
        <v>42</v>
      </c>
      <c r="W715" s="33" t="s">
        <v>43</v>
      </c>
      <c r="X715" s="1" t="s">
        <v>3042</v>
      </c>
    </row>
    <row r="716" spans="1:24" x14ac:dyDescent="0.2">
      <c r="A716" s="33" t="s">
        <v>31</v>
      </c>
      <c r="B716" s="33" t="s">
        <v>3043</v>
      </c>
      <c r="C716" s="33" t="s">
        <v>3044</v>
      </c>
      <c r="D716" s="33">
        <f t="shared" si="11"/>
        <v>-1</v>
      </c>
      <c r="E716" s="33" t="s">
        <v>34</v>
      </c>
      <c r="F716" s="33" t="s">
        <v>2755</v>
      </c>
      <c r="G716" s="33" t="s">
        <v>3045</v>
      </c>
      <c r="H716" s="33" t="s">
        <v>37</v>
      </c>
      <c r="I716" s="33" t="s">
        <v>38</v>
      </c>
      <c r="J716" s="33" t="s">
        <v>3032</v>
      </c>
      <c r="K716" s="33" t="s">
        <v>3033</v>
      </c>
      <c r="L716" s="33">
        <v>18050</v>
      </c>
      <c r="M716" s="33">
        <v>0</v>
      </c>
      <c r="N716" s="33">
        <v>0</v>
      </c>
      <c r="O716" s="33">
        <v>113050</v>
      </c>
      <c r="P716" s="33" t="s">
        <v>41</v>
      </c>
      <c r="Q716" s="33" t="s">
        <v>42</v>
      </c>
      <c r="W716" s="33" t="s">
        <v>161</v>
      </c>
      <c r="X716" s="1" t="s">
        <v>742</v>
      </c>
    </row>
    <row r="717" spans="1:24" x14ac:dyDescent="0.2">
      <c r="A717" s="33" t="s">
        <v>31</v>
      </c>
      <c r="B717" s="33" t="s">
        <v>3046</v>
      </c>
      <c r="C717" s="33" t="s">
        <v>3047</v>
      </c>
      <c r="D717" s="33">
        <f t="shared" si="11"/>
        <v>-1</v>
      </c>
      <c r="E717" s="33" t="s">
        <v>34</v>
      </c>
      <c r="F717" s="33" t="s">
        <v>2755</v>
      </c>
      <c r="G717" s="33" t="s">
        <v>3048</v>
      </c>
      <c r="H717" s="33" t="s">
        <v>37</v>
      </c>
      <c r="I717" s="33" t="s">
        <v>38</v>
      </c>
      <c r="J717" s="33" t="s">
        <v>3049</v>
      </c>
      <c r="K717" s="33" t="s">
        <v>3050</v>
      </c>
      <c r="L717" s="33">
        <v>35150</v>
      </c>
      <c r="M717" s="33">
        <v>0</v>
      </c>
      <c r="N717" s="33">
        <v>0</v>
      </c>
      <c r="O717" s="33">
        <v>220150</v>
      </c>
      <c r="P717" s="33" t="s">
        <v>41</v>
      </c>
      <c r="Q717" s="33" t="s">
        <v>42</v>
      </c>
      <c r="W717" s="33" t="s">
        <v>43</v>
      </c>
      <c r="X717" s="1" t="s">
        <v>3051</v>
      </c>
    </row>
    <row r="718" spans="1:24" x14ac:dyDescent="0.2">
      <c r="A718" s="30" t="s">
        <v>31</v>
      </c>
      <c r="B718" s="30" t="s">
        <v>3052</v>
      </c>
      <c r="C718" s="30" t="s">
        <v>3053</v>
      </c>
      <c r="D718" s="30">
        <f t="shared" si="11"/>
        <v>-1</v>
      </c>
      <c r="E718" s="30" t="s">
        <v>34</v>
      </c>
      <c r="F718" s="30" t="s">
        <v>2755</v>
      </c>
      <c r="G718" s="30" t="s">
        <v>3048</v>
      </c>
      <c r="H718" s="30" t="s">
        <v>37</v>
      </c>
      <c r="I718" s="30" t="s">
        <v>38</v>
      </c>
      <c r="J718" s="30" t="s">
        <v>3054</v>
      </c>
      <c r="K718" s="30" t="s">
        <v>3055</v>
      </c>
      <c r="L718" s="30">
        <v>724375</v>
      </c>
      <c r="M718" s="30">
        <v>0</v>
      </c>
      <c r="N718" s="30">
        <v>0</v>
      </c>
      <c r="O718" s="30">
        <v>4536875</v>
      </c>
      <c r="P718" s="30" t="s">
        <v>41</v>
      </c>
      <c r="Q718" s="30" t="s">
        <v>42</v>
      </c>
      <c r="S718" s="1" t="s">
        <v>43</v>
      </c>
    </row>
    <row r="719" spans="1:24" x14ac:dyDescent="0.2">
      <c r="A719" s="33" t="s">
        <v>31</v>
      </c>
      <c r="B719" s="33" t="s">
        <v>3056</v>
      </c>
      <c r="C719" s="33" t="s">
        <v>3057</v>
      </c>
      <c r="D719" s="33">
        <f t="shared" si="11"/>
        <v>-1</v>
      </c>
      <c r="E719" s="33" t="s">
        <v>34</v>
      </c>
      <c r="F719" s="33" t="s">
        <v>2755</v>
      </c>
      <c r="G719" s="33" t="s">
        <v>3058</v>
      </c>
      <c r="H719" s="33" t="s">
        <v>37</v>
      </c>
      <c r="I719" s="33" t="s">
        <v>38</v>
      </c>
      <c r="J719" s="33" t="s">
        <v>3059</v>
      </c>
      <c r="K719" s="33" t="s">
        <v>3060</v>
      </c>
      <c r="L719" s="33">
        <v>4361165</v>
      </c>
      <c r="M719" s="33">
        <v>0</v>
      </c>
      <c r="N719" s="33">
        <v>0</v>
      </c>
      <c r="O719" s="33">
        <v>27314665</v>
      </c>
      <c r="P719" s="33" t="s">
        <v>41</v>
      </c>
      <c r="Q719" s="33" t="s">
        <v>42</v>
      </c>
      <c r="W719" s="33" t="s">
        <v>161</v>
      </c>
      <c r="X719" s="1" t="s">
        <v>742</v>
      </c>
    </row>
    <row r="720" spans="1:24" x14ac:dyDescent="0.2">
      <c r="A720" s="29" t="s">
        <v>31</v>
      </c>
      <c r="B720" s="29" t="s">
        <v>3061</v>
      </c>
      <c r="C720" s="29" t="s">
        <v>3062</v>
      </c>
      <c r="D720" s="29">
        <f t="shared" si="11"/>
        <v>-1</v>
      </c>
      <c r="E720" s="29" t="s">
        <v>34</v>
      </c>
      <c r="F720" s="29" t="s">
        <v>2755</v>
      </c>
      <c r="G720" s="29" t="s">
        <v>3063</v>
      </c>
      <c r="H720" s="29" t="s">
        <v>37</v>
      </c>
      <c r="I720" s="29" t="s">
        <v>38</v>
      </c>
      <c r="J720" s="29" t="s">
        <v>2741</v>
      </c>
      <c r="K720" s="29" t="s">
        <v>2742</v>
      </c>
      <c r="L720" s="29">
        <v>0</v>
      </c>
      <c r="M720" s="29">
        <v>0</v>
      </c>
      <c r="N720" s="29">
        <v>0</v>
      </c>
      <c r="O720" s="29">
        <v>19800</v>
      </c>
      <c r="P720" s="29" t="s">
        <v>41</v>
      </c>
      <c r="Q720" s="29" t="s">
        <v>42</v>
      </c>
      <c r="T720" s="1" t="s">
        <v>43</v>
      </c>
    </row>
    <row r="721" spans="1:24" x14ac:dyDescent="0.2">
      <c r="A721" s="1" t="s">
        <v>31</v>
      </c>
      <c r="B721" s="1" t="s">
        <v>3064</v>
      </c>
      <c r="C721" s="1" t="s">
        <v>3065</v>
      </c>
      <c r="D721" s="1">
        <f t="shared" si="11"/>
        <v>-1</v>
      </c>
      <c r="E721" s="1" t="s">
        <v>34</v>
      </c>
      <c r="F721" s="1" t="s">
        <v>2755</v>
      </c>
      <c r="G721" s="1" t="s">
        <v>3066</v>
      </c>
      <c r="H721" s="1" t="s">
        <v>37</v>
      </c>
      <c r="I721" s="1" t="s">
        <v>38</v>
      </c>
      <c r="J721" s="1" t="s">
        <v>3067</v>
      </c>
      <c r="K721" s="1" t="s">
        <v>3068</v>
      </c>
      <c r="L721" s="1">
        <v>60969.1</v>
      </c>
      <c r="M721" s="1">
        <v>0</v>
      </c>
      <c r="N721" s="1">
        <v>0</v>
      </c>
      <c r="O721" s="1">
        <v>381859.1</v>
      </c>
      <c r="P721" s="1" t="s">
        <v>41</v>
      </c>
      <c r="Q721" s="1" t="s">
        <v>42</v>
      </c>
      <c r="V721" s="1" t="s">
        <v>43</v>
      </c>
    </row>
    <row r="722" spans="1:24" x14ac:dyDescent="0.2">
      <c r="A722" s="28" t="s">
        <v>31</v>
      </c>
      <c r="B722" s="28" t="s">
        <v>3069</v>
      </c>
      <c r="C722" s="28" t="s">
        <v>3070</v>
      </c>
      <c r="D722" s="28">
        <f t="shared" si="11"/>
        <v>-1</v>
      </c>
      <c r="E722" s="28" t="s">
        <v>34</v>
      </c>
      <c r="F722" s="28" t="s">
        <v>2755</v>
      </c>
      <c r="G722" s="28" t="s">
        <v>3071</v>
      </c>
      <c r="H722" s="28" t="s">
        <v>37</v>
      </c>
      <c r="I722" s="28" t="s">
        <v>38</v>
      </c>
      <c r="J722" s="28" t="s">
        <v>244</v>
      </c>
      <c r="K722" s="28" t="s">
        <v>245</v>
      </c>
      <c r="L722" s="28">
        <v>17827.400000000001</v>
      </c>
      <c r="M722" s="28">
        <v>0</v>
      </c>
      <c r="N722" s="28">
        <v>0</v>
      </c>
      <c r="O722" s="28">
        <v>129207.4</v>
      </c>
      <c r="P722" s="28" t="s">
        <v>41</v>
      </c>
      <c r="Q722" s="28" t="s">
        <v>42</v>
      </c>
      <c r="R722" s="1" t="s">
        <v>43</v>
      </c>
    </row>
    <row r="723" spans="1:24" x14ac:dyDescent="0.2">
      <c r="A723" s="31" t="s">
        <v>31</v>
      </c>
      <c r="B723" s="31" t="s">
        <v>3072</v>
      </c>
      <c r="C723" s="31" t="s">
        <v>3073</v>
      </c>
      <c r="D723" s="31">
        <f t="shared" si="11"/>
        <v>-1</v>
      </c>
      <c r="E723" s="31" t="s">
        <v>34</v>
      </c>
      <c r="F723" s="31" t="s">
        <v>2755</v>
      </c>
      <c r="G723" s="31" t="s">
        <v>3074</v>
      </c>
      <c r="H723" s="31" t="s">
        <v>37</v>
      </c>
      <c r="I723" s="31" t="s">
        <v>38</v>
      </c>
      <c r="J723" s="31" t="s">
        <v>534</v>
      </c>
      <c r="K723" s="31" t="s">
        <v>535</v>
      </c>
      <c r="L723" s="31">
        <v>474217.4</v>
      </c>
      <c r="M723" s="31">
        <v>0</v>
      </c>
      <c r="N723" s="31">
        <v>0</v>
      </c>
      <c r="O723" s="31">
        <v>2970098.47</v>
      </c>
      <c r="P723" s="31" t="s">
        <v>41</v>
      </c>
      <c r="Q723" s="31" t="s">
        <v>42</v>
      </c>
      <c r="U723" s="31" t="s">
        <v>161</v>
      </c>
    </row>
    <row r="724" spans="1:24" x14ac:dyDescent="0.2">
      <c r="A724" s="33" t="s">
        <v>31</v>
      </c>
      <c r="B724" s="33" t="s">
        <v>3075</v>
      </c>
      <c r="C724" s="33" t="s">
        <v>3076</v>
      </c>
      <c r="D724" s="33">
        <f t="shared" si="11"/>
        <v>-1</v>
      </c>
      <c r="E724" s="33" t="s">
        <v>34</v>
      </c>
      <c r="F724" s="33" t="s">
        <v>2755</v>
      </c>
      <c r="G724" s="33" t="s">
        <v>3077</v>
      </c>
      <c r="H724" s="33" t="s">
        <v>37</v>
      </c>
      <c r="I724" s="33" t="s">
        <v>38</v>
      </c>
      <c r="J724" s="33" t="s">
        <v>3078</v>
      </c>
      <c r="K724" s="33" t="s">
        <v>3079</v>
      </c>
      <c r="L724" s="33">
        <v>4393161</v>
      </c>
      <c r="M724" s="33">
        <v>0</v>
      </c>
      <c r="N724" s="33">
        <v>0</v>
      </c>
      <c r="O724" s="33">
        <v>27515061</v>
      </c>
      <c r="P724" s="33" t="s">
        <v>41</v>
      </c>
      <c r="Q724" s="33" t="s">
        <v>42</v>
      </c>
      <c r="W724" s="33" t="s">
        <v>161</v>
      </c>
      <c r="X724" s="1" t="s">
        <v>201</v>
      </c>
    </row>
    <row r="725" spans="1:24" x14ac:dyDescent="0.2">
      <c r="A725" s="31" t="s">
        <v>31</v>
      </c>
      <c r="B725" s="31" t="s">
        <v>3080</v>
      </c>
      <c r="C725" s="31" t="s">
        <v>3081</v>
      </c>
      <c r="D725" s="31">
        <f t="shared" si="11"/>
        <v>-1</v>
      </c>
      <c r="E725" s="31" t="s">
        <v>34</v>
      </c>
      <c r="F725" s="31" t="s">
        <v>2755</v>
      </c>
      <c r="G725" s="31" t="s">
        <v>3082</v>
      </c>
      <c r="H725" s="31" t="s">
        <v>37</v>
      </c>
      <c r="I725" s="31" t="s">
        <v>38</v>
      </c>
      <c r="J725" s="31" t="s">
        <v>822</v>
      </c>
      <c r="K725" s="31" t="s">
        <v>823</v>
      </c>
      <c r="L725" s="31">
        <v>35720</v>
      </c>
      <c r="M725" s="31">
        <v>0</v>
      </c>
      <c r="N725" s="31">
        <v>0</v>
      </c>
      <c r="O725" s="31">
        <v>223720</v>
      </c>
      <c r="P725" s="31" t="s">
        <v>41</v>
      </c>
      <c r="Q725" s="31" t="s">
        <v>42</v>
      </c>
      <c r="U725" s="31" t="s">
        <v>161</v>
      </c>
    </row>
    <row r="726" spans="1:24" x14ac:dyDescent="0.2">
      <c r="A726" s="33" t="s">
        <v>31</v>
      </c>
      <c r="B726" s="33" t="s">
        <v>3083</v>
      </c>
      <c r="C726" s="33" t="s">
        <v>3084</v>
      </c>
      <c r="D726" s="33">
        <f t="shared" si="11"/>
        <v>-1</v>
      </c>
      <c r="E726" s="33" t="s">
        <v>34</v>
      </c>
      <c r="F726" s="33" t="s">
        <v>2755</v>
      </c>
      <c r="G726" s="33" t="s">
        <v>3085</v>
      </c>
      <c r="H726" s="33" t="s">
        <v>37</v>
      </c>
      <c r="I726" s="33" t="s">
        <v>38</v>
      </c>
      <c r="J726" s="33" t="s">
        <v>3086</v>
      </c>
      <c r="K726" s="33" t="s">
        <v>3087</v>
      </c>
      <c r="L726" s="33">
        <v>554486.52</v>
      </c>
      <c r="M726" s="33">
        <v>0</v>
      </c>
      <c r="N726" s="33">
        <v>0</v>
      </c>
      <c r="O726" s="33">
        <v>4889046.5199999996</v>
      </c>
      <c r="P726" s="33" t="s">
        <v>41</v>
      </c>
      <c r="Q726" s="33" t="s">
        <v>42</v>
      </c>
      <c r="W726" s="33" t="s">
        <v>43</v>
      </c>
      <c r="X726" s="1" t="s">
        <v>742</v>
      </c>
    </row>
    <row r="727" spans="1:24" x14ac:dyDescent="0.2">
      <c r="A727" s="28" t="s">
        <v>31</v>
      </c>
      <c r="B727" s="28" t="s">
        <v>3088</v>
      </c>
      <c r="C727" s="28" t="s">
        <v>3089</v>
      </c>
      <c r="D727" s="28">
        <f t="shared" si="11"/>
        <v>-1</v>
      </c>
      <c r="E727" s="28" t="s">
        <v>34</v>
      </c>
      <c r="F727" s="28" t="s">
        <v>2755</v>
      </c>
      <c r="G727" s="28" t="s">
        <v>3090</v>
      </c>
      <c r="H727" s="28" t="s">
        <v>37</v>
      </c>
      <c r="I727" s="28" t="s">
        <v>38</v>
      </c>
      <c r="J727" s="28" t="s">
        <v>1180</v>
      </c>
      <c r="K727" s="28" t="s">
        <v>1181</v>
      </c>
      <c r="L727" s="28">
        <v>55187.05</v>
      </c>
      <c r="M727" s="28">
        <v>0</v>
      </c>
      <c r="N727" s="28">
        <v>0</v>
      </c>
      <c r="O727" s="28">
        <v>359682.05</v>
      </c>
      <c r="P727" s="28" t="s">
        <v>41</v>
      </c>
      <c r="Q727" s="28" t="s">
        <v>42</v>
      </c>
      <c r="R727" s="1" t="s">
        <v>161</v>
      </c>
    </row>
    <row r="728" spans="1:24" x14ac:dyDescent="0.2">
      <c r="A728" s="28" t="s">
        <v>31</v>
      </c>
      <c r="B728" s="28" t="s">
        <v>3091</v>
      </c>
      <c r="C728" s="28" t="s">
        <v>3092</v>
      </c>
      <c r="D728" s="28">
        <f t="shared" si="11"/>
        <v>-1</v>
      </c>
      <c r="E728" s="28" t="s">
        <v>34</v>
      </c>
      <c r="F728" s="28" t="s">
        <v>2755</v>
      </c>
      <c r="G728" s="28" t="s">
        <v>3093</v>
      </c>
      <c r="H728" s="28" t="s">
        <v>37</v>
      </c>
      <c r="I728" s="28" t="s">
        <v>38</v>
      </c>
      <c r="J728" s="28" t="s">
        <v>52</v>
      </c>
      <c r="K728" s="28" t="s">
        <v>53</v>
      </c>
      <c r="L728" s="28">
        <v>1108681.3500000001</v>
      </c>
      <c r="M728" s="28">
        <v>0</v>
      </c>
      <c r="N728" s="28">
        <v>0</v>
      </c>
      <c r="O728" s="28">
        <v>6943846.3499999996</v>
      </c>
      <c r="P728" s="28" t="s">
        <v>41</v>
      </c>
      <c r="Q728" s="28" t="s">
        <v>42</v>
      </c>
      <c r="R728" s="1" t="s">
        <v>161</v>
      </c>
    </row>
    <row r="729" spans="1:24" x14ac:dyDescent="0.2">
      <c r="A729" s="31" t="s">
        <v>31</v>
      </c>
      <c r="B729" s="31" t="s">
        <v>3094</v>
      </c>
      <c r="C729" s="31" t="s">
        <v>3095</v>
      </c>
      <c r="D729" s="31">
        <f t="shared" si="11"/>
        <v>-1</v>
      </c>
      <c r="E729" s="31" t="s">
        <v>34</v>
      </c>
      <c r="F729" s="31" t="s">
        <v>2755</v>
      </c>
      <c r="G729" s="31" t="s">
        <v>3096</v>
      </c>
      <c r="H729" s="31" t="s">
        <v>37</v>
      </c>
      <c r="I729" s="31" t="s">
        <v>38</v>
      </c>
      <c r="J729" s="31" t="s">
        <v>62</v>
      </c>
      <c r="K729" s="31" t="s">
        <v>63</v>
      </c>
      <c r="L729" s="31">
        <v>3296499.24</v>
      </c>
      <c r="M729" s="31">
        <v>0</v>
      </c>
      <c r="N729" s="31">
        <v>0</v>
      </c>
      <c r="O729" s="31">
        <v>20646495.239999998</v>
      </c>
      <c r="P729" s="31" t="s">
        <v>41</v>
      </c>
      <c r="Q729" s="31" t="s">
        <v>42</v>
      </c>
      <c r="U729" s="31" t="s">
        <v>43</v>
      </c>
      <c r="X729" s="1" t="s">
        <v>3097</v>
      </c>
    </row>
    <row r="730" spans="1:24" x14ac:dyDescent="0.2">
      <c r="A730" s="29" t="s">
        <v>31</v>
      </c>
      <c r="B730" s="29" t="s">
        <v>3098</v>
      </c>
      <c r="C730" s="29" t="s">
        <v>3099</v>
      </c>
      <c r="D730" s="29">
        <f t="shared" si="11"/>
        <v>-1</v>
      </c>
      <c r="E730" s="29" t="s">
        <v>34</v>
      </c>
      <c r="F730" s="29" t="s">
        <v>2755</v>
      </c>
      <c r="G730" s="29" t="s">
        <v>3100</v>
      </c>
      <c r="H730" s="29" t="s">
        <v>37</v>
      </c>
      <c r="I730" s="29" t="s">
        <v>38</v>
      </c>
      <c r="J730" s="29" t="s">
        <v>3101</v>
      </c>
      <c r="K730" s="29" t="s">
        <v>3102</v>
      </c>
      <c r="L730" s="29">
        <v>0</v>
      </c>
      <c r="M730" s="29">
        <v>0</v>
      </c>
      <c r="N730" s="29">
        <v>0</v>
      </c>
      <c r="O730" s="29">
        <v>4612454.4000000004</v>
      </c>
      <c r="P730" s="29" t="s">
        <v>41</v>
      </c>
      <c r="Q730" s="29" t="s">
        <v>42</v>
      </c>
      <c r="T730" s="1" t="s">
        <v>43</v>
      </c>
    </row>
    <row r="731" spans="1:24" x14ac:dyDescent="0.2">
      <c r="A731" s="28" t="s">
        <v>31</v>
      </c>
      <c r="B731" s="28" t="s">
        <v>3103</v>
      </c>
      <c r="C731" s="28" t="s">
        <v>3104</v>
      </c>
      <c r="D731" s="28">
        <f t="shared" si="11"/>
        <v>-1</v>
      </c>
      <c r="E731" s="28" t="s">
        <v>34</v>
      </c>
      <c r="F731" s="28" t="s">
        <v>2755</v>
      </c>
      <c r="G731" s="28" t="s">
        <v>3105</v>
      </c>
      <c r="H731" s="28" t="s">
        <v>37</v>
      </c>
      <c r="I731" s="28" t="s">
        <v>38</v>
      </c>
      <c r="J731" s="28" t="s">
        <v>57</v>
      </c>
      <c r="K731" s="28" t="s">
        <v>58</v>
      </c>
      <c r="L731" s="28">
        <v>2014448.21</v>
      </c>
      <c r="M731" s="28">
        <v>0</v>
      </c>
      <c r="N731" s="28">
        <v>0</v>
      </c>
      <c r="O731" s="28">
        <v>13313087.210000001</v>
      </c>
      <c r="P731" s="28" t="s">
        <v>41</v>
      </c>
      <c r="Q731" s="28" t="s">
        <v>42</v>
      </c>
      <c r="R731" s="1" t="s">
        <v>43</v>
      </c>
    </row>
    <row r="732" spans="1:24" x14ac:dyDescent="0.2">
      <c r="A732" s="28" t="s">
        <v>31</v>
      </c>
      <c r="B732" s="28" t="s">
        <v>3106</v>
      </c>
      <c r="C732" s="28" t="s">
        <v>3107</v>
      </c>
      <c r="D732" s="28">
        <f t="shared" si="11"/>
        <v>-1</v>
      </c>
      <c r="E732" s="28" t="s">
        <v>34</v>
      </c>
      <c r="F732" s="28" t="s">
        <v>2755</v>
      </c>
      <c r="G732" s="28" t="s">
        <v>3108</v>
      </c>
      <c r="H732" s="28" t="s">
        <v>37</v>
      </c>
      <c r="I732" s="28" t="s">
        <v>38</v>
      </c>
      <c r="J732" s="28" t="s">
        <v>62</v>
      </c>
      <c r="K732" s="28" t="s">
        <v>63</v>
      </c>
      <c r="L732" s="28">
        <v>13994.64</v>
      </c>
      <c r="M732" s="28">
        <v>0</v>
      </c>
      <c r="N732" s="28">
        <v>0</v>
      </c>
      <c r="O732" s="28">
        <v>87650.64</v>
      </c>
      <c r="P732" s="28" t="s">
        <v>41</v>
      </c>
      <c r="Q732" s="28" t="s">
        <v>42</v>
      </c>
      <c r="R732" s="1" t="s">
        <v>161</v>
      </c>
      <c r="W732" s="40"/>
      <c r="X732" s="40"/>
    </row>
    <row r="733" spans="1:24" x14ac:dyDescent="0.2">
      <c r="A733" s="33" t="s">
        <v>31</v>
      </c>
      <c r="B733" s="33" t="s">
        <v>3109</v>
      </c>
      <c r="C733" s="33" t="s">
        <v>3110</v>
      </c>
      <c r="D733" s="33">
        <f t="shared" si="11"/>
        <v>-1</v>
      </c>
      <c r="E733" s="33" t="s">
        <v>34</v>
      </c>
      <c r="F733" s="33" t="s">
        <v>2755</v>
      </c>
      <c r="G733" s="33" t="s">
        <v>3111</v>
      </c>
      <c r="H733" s="33" t="s">
        <v>37</v>
      </c>
      <c r="I733" s="33" t="s">
        <v>38</v>
      </c>
      <c r="J733" s="33" t="s">
        <v>2345</v>
      </c>
      <c r="K733" s="33" t="s">
        <v>2346</v>
      </c>
      <c r="L733" s="33">
        <v>141394</v>
      </c>
      <c r="M733" s="33">
        <v>0</v>
      </c>
      <c r="N733" s="33">
        <v>0</v>
      </c>
      <c r="O733" s="33">
        <v>1305794</v>
      </c>
      <c r="P733" s="33" t="s">
        <v>41</v>
      </c>
      <c r="Q733" s="33" t="s">
        <v>42</v>
      </c>
      <c r="W733" s="33" t="s">
        <v>43</v>
      </c>
      <c r="X733" s="40"/>
    </row>
    <row r="734" spans="1:24" x14ac:dyDescent="0.2">
      <c r="A734" s="29" t="s">
        <v>31</v>
      </c>
      <c r="B734" s="29" t="s">
        <v>3112</v>
      </c>
      <c r="C734" s="29" t="s">
        <v>3113</v>
      </c>
      <c r="D734" s="29">
        <f t="shared" si="11"/>
        <v>-1</v>
      </c>
      <c r="E734" s="29" t="s">
        <v>34</v>
      </c>
      <c r="F734" s="29" t="s">
        <v>2755</v>
      </c>
      <c r="G734" s="29" t="s">
        <v>3114</v>
      </c>
      <c r="H734" s="29" t="s">
        <v>37</v>
      </c>
      <c r="I734" s="29" t="s">
        <v>38</v>
      </c>
      <c r="J734" s="29" t="s">
        <v>3101</v>
      </c>
      <c r="K734" s="29" t="s">
        <v>3102</v>
      </c>
      <c r="L734" s="29">
        <v>0</v>
      </c>
      <c r="M734" s="29">
        <v>0</v>
      </c>
      <c r="N734" s="29">
        <v>0</v>
      </c>
      <c r="O734" s="29">
        <v>970906</v>
      </c>
      <c r="P734" s="29" t="s">
        <v>41</v>
      </c>
      <c r="Q734" s="29" t="s">
        <v>42</v>
      </c>
      <c r="T734" s="1" t="s">
        <v>43</v>
      </c>
      <c r="W734" s="40"/>
      <c r="X734" s="40"/>
    </row>
    <row r="735" spans="1:24" x14ac:dyDescent="0.2">
      <c r="A735" s="1" t="s">
        <v>31</v>
      </c>
      <c r="B735" s="1" t="s">
        <v>3115</v>
      </c>
      <c r="C735" s="1" t="s">
        <v>3116</v>
      </c>
      <c r="D735" s="1">
        <f t="shared" si="11"/>
        <v>-1</v>
      </c>
      <c r="E735" s="1" t="s">
        <v>34</v>
      </c>
      <c r="F735" s="1" t="s">
        <v>2755</v>
      </c>
      <c r="G735" s="1" t="s">
        <v>3117</v>
      </c>
      <c r="H735" s="1" t="s">
        <v>37</v>
      </c>
      <c r="I735" s="1" t="s">
        <v>38</v>
      </c>
      <c r="J735" s="1" t="s">
        <v>698</v>
      </c>
      <c r="K735" s="1" t="s">
        <v>699</v>
      </c>
      <c r="L735" s="1">
        <v>752020</v>
      </c>
      <c r="M735" s="1">
        <v>0</v>
      </c>
      <c r="N735" s="1">
        <v>0</v>
      </c>
      <c r="O735" s="1">
        <v>4710020</v>
      </c>
      <c r="P735" s="1" t="s">
        <v>41</v>
      </c>
      <c r="Q735" s="1" t="s">
        <v>42</v>
      </c>
      <c r="V735" s="1" t="s">
        <v>43</v>
      </c>
      <c r="W735" s="40"/>
      <c r="X735" s="40"/>
    </row>
    <row r="736" spans="1:24" x14ac:dyDescent="0.2">
      <c r="A736" s="33" t="s">
        <v>31</v>
      </c>
      <c r="B736" s="33" t="s">
        <v>3118</v>
      </c>
      <c r="C736" s="33" t="s">
        <v>3119</v>
      </c>
      <c r="D736" s="33">
        <f t="shared" si="11"/>
        <v>-1</v>
      </c>
      <c r="E736" s="33" t="s">
        <v>34</v>
      </c>
      <c r="F736" s="33" t="s">
        <v>2755</v>
      </c>
      <c r="G736" s="33" t="s">
        <v>3120</v>
      </c>
      <c r="H736" s="33" t="s">
        <v>37</v>
      </c>
      <c r="I736" s="33" t="s">
        <v>38</v>
      </c>
      <c r="J736" s="33" t="s">
        <v>652</v>
      </c>
      <c r="K736" s="33" t="s">
        <v>653</v>
      </c>
      <c r="L736" s="33">
        <v>246050</v>
      </c>
      <c r="M736" s="33">
        <v>0</v>
      </c>
      <c r="N736" s="33">
        <v>0</v>
      </c>
      <c r="O736" s="33">
        <v>1541050</v>
      </c>
      <c r="P736" s="33" t="s">
        <v>41</v>
      </c>
      <c r="Q736" s="33" t="s">
        <v>42</v>
      </c>
      <c r="W736" s="33" t="s">
        <v>43</v>
      </c>
      <c r="X736" s="1" t="s">
        <v>3042</v>
      </c>
    </row>
    <row r="737" spans="1:24" x14ac:dyDescent="0.2">
      <c r="A737" s="33" t="s">
        <v>31</v>
      </c>
      <c r="B737" s="33" t="s">
        <v>3121</v>
      </c>
      <c r="C737" s="33" t="s">
        <v>3122</v>
      </c>
      <c r="D737" s="33">
        <f t="shared" si="11"/>
        <v>-1</v>
      </c>
      <c r="E737" s="33" t="s">
        <v>34</v>
      </c>
      <c r="F737" s="33" t="s">
        <v>2755</v>
      </c>
      <c r="G737" s="33" t="s">
        <v>3123</v>
      </c>
      <c r="H737" s="33" t="s">
        <v>37</v>
      </c>
      <c r="I737" s="33" t="s">
        <v>38</v>
      </c>
      <c r="J737" s="33" t="s">
        <v>3124</v>
      </c>
      <c r="K737" s="33" t="s">
        <v>3125</v>
      </c>
      <c r="L737" s="33">
        <v>144759.1</v>
      </c>
      <c r="M737" s="33">
        <v>0</v>
      </c>
      <c r="N737" s="33">
        <v>0</v>
      </c>
      <c r="O737" s="33">
        <v>906649.1</v>
      </c>
      <c r="P737" s="33" t="s">
        <v>41</v>
      </c>
      <c r="Q737" s="33" t="s">
        <v>42</v>
      </c>
      <c r="W737" s="41" t="s">
        <v>43</v>
      </c>
      <c r="X737" s="40" t="s">
        <v>3126</v>
      </c>
    </row>
    <row r="738" spans="1:24" x14ac:dyDescent="0.2">
      <c r="A738" s="33" t="s">
        <v>31</v>
      </c>
      <c r="B738" s="33" t="s">
        <v>3127</v>
      </c>
      <c r="C738" s="33" t="s">
        <v>3128</v>
      </c>
      <c r="D738" s="33">
        <f t="shared" si="11"/>
        <v>-1</v>
      </c>
      <c r="E738" s="33" t="s">
        <v>34</v>
      </c>
      <c r="F738" s="33" t="s">
        <v>2755</v>
      </c>
      <c r="G738" s="33" t="s">
        <v>3129</v>
      </c>
      <c r="H738" s="33" t="s">
        <v>37</v>
      </c>
      <c r="I738" s="33" t="s">
        <v>38</v>
      </c>
      <c r="J738" s="33" t="s">
        <v>3124</v>
      </c>
      <c r="K738" s="33" t="s">
        <v>3125</v>
      </c>
      <c r="L738" s="33">
        <v>47251.040000000001</v>
      </c>
      <c r="M738" s="33">
        <v>0</v>
      </c>
      <c r="N738" s="33">
        <v>0</v>
      </c>
      <c r="O738" s="33">
        <v>429987.04</v>
      </c>
      <c r="P738" s="33" t="s">
        <v>41</v>
      </c>
      <c r="Q738" s="33" t="s">
        <v>42</v>
      </c>
      <c r="W738" s="33" t="s">
        <v>161</v>
      </c>
      <c r="X738" s="1" t="s">
        <v>2668</v>
      </c>
    </row>
    <row r="739" spans="1:24" x14ac:dyDescent="0.2">
      <c r="A739" s="33" t="s">
        <v>31</v>
      </c>
      <c r="B739" s="33" t="s">
        <v>3130</v>
      </c>
      <c r="C739" s="33" t="s">
        <v>3131</v>
      </c>
      <c r="D739" s="33">
        <f t="shared" si="11"/>
        <v>-1</v>
      </c>
      <c r="E739" s="33" t="s">
        <v>34</v>
      </c>
      <c r="F739" s="33" t="s">
        <v>2755</v>
      </c>
      <c r="G739" s="33" t="s">
        <v>3132</v>
      </c>
      <c r="H739" s="33" t="s">
        <v>37</v>
      </c>
      <c r="I739" s="33" t="s">
        <v>38</v>
      </c>
      <c r="J739" s="33" t="s">
        <v>3133</v>
      </c>
      <c r="K739" s="33" t="s">
        <v>3134</v>
      </c>
      <c r="L739" s="33">
        <v>116783.5</v>
      </c>
      <c r="M739" s="33">
        <v>0</v>
      </c>
      <c r="N739" s="33">
        <v>0</v>
      </c>
      <c r="O739" s="33">
        <v>731433.5</v>
      </c>
      <c r="P739" s="33" t="s">
        <v>41</v>
      </c>
      <c r="Q739" s="33" t="s">
        <v>42</v>
      </c>
      <c r="W739" s="33" t="s">
        <v>43</v>
      </c>
    </row>
    <row r="740" spans="1:24" x14ac:dyDescent="0.2">
      <c r="A740" s="1" t="s">
        <v>31</v>
      </c>
      <c r="B740" s="1" t="s">
        <v>3135</v>
      </c>
      <c r="C740" s="1" t="s">
        <v>3136</v>
      </c>
      <c r="D740" s="1">
        <f t="shared" si="11"/>
        <v>-1</v>
      </c>
      <c r="E740" s="1" t="s">
        <v>34</v>
      </c>
      <c r="F740" s="1" t="s">
        <v>2755</v>
      </c>
      <c r="G740" s="1" t="s">
        <v>3137</v>
      </c>
      <c r="H740" s="1" t="s">
        <v>37</v>
      </c>
      <c r="I740" s="1" t="s">
        <v>38</v>
      </c>
      <c r="J740" s="1" t="s">
        <v>3138</v>
      </c>
      <c r="K740" s="1" t="s">
        <v>3139</v>
      </c>
      <c r="L740" s="1">
        <v>30286</v>
      </c>
      <c r="M740" s="1">
        <v>0</v>
      </c>
      <c r="N740" s="1">
        <v>0</v>
      </c>
      <c r="O740" s="1">
        <v>2512036</v>
      </c>
      <c r="P740" s="1" t="s">
        <v>41</v>
      </c>
      <c r="Q740" s="1" t="s">
        <v>42</v>
      </c>
      <c r="V740" s="1" t="s">
        <v>43</v>
      </c>
    </row>
    <row r="741" spans="1:24" x14ac:dyDescent="0.2">
      <c r="A741" s="31" t="s">
        <v>31</v>
      </c>
      <c r="B741" s="31" t="s">
        <v>3140</v>
      </c>
      <c r="C741" s="31">
        <v>105354</v>
      </c>
      <c r="D741" s="31">
        <f t="shared" si="11"/>
        <v>-1</v>
      </c>
      <c r="E741" s="31" t="s">
        <v>34</v>
      </c>
      <c r="F741" s="31" t="s">
        <v>2755</v>
      </c>
      <c r="G741" s="31" t="s">
        <v>3141</v>
      </c>
      <c r="H741" s="31" t="s">
        <v>37</v>
      </c>
      <c r="I741" s="31" t="s">
        <v>38</v>
      </c>
      <c r="J741" s="31" t="s">
        <v>57</v>
      </c>
      <c r="K741" s="31" t="s">
        <v>58</v>
      </c>
      <c r="L741" s="31">
        <v>3391582.08</v>
      </c>
      <c r="M741" s="31">
        <v>0</v>
      </c>
      <c r="N741" s="31">
        <v>0</v>
      </c>
      <c r="O741" s="31">
        <v>21242014.079999998</v>
      </c>
      <c r="P741" s="31" t="s">
        <v>41</v>
      </c>
      <c r="Q741" s="31" t="s">
        <v>42</v>
      </c>
      <c r="U741" s="31" t="s">
        <v>43</v>
      </c>
    </row>
    <row r="742" spans="1:24" x14ac:dyDescent="0.2">
      <c r="A742" s="33" t="s">
        <v>31</v>
      </c>
      <c r="B742" s="33" t="s">
        <v>3142</v>
      </c>
      <c r="C742" s="33">
        <v>105355</v>
      </c>
      <c r="D742" s="33">
        <f t="shared" si="11"/>
        <v>-1</v>
      </c>
      <c r="E742" s="33" t="s">
        <v>34</v>
      </c>
      <c r="F742" s="33" t="s">
        <v>2755</v>
      </c>
      <c r="G742" s="33" t="s">
        <v>3141</v>
      </c>
      <c r="H742" s="33" t="s">
        <v>37</v>
      </c>
      <c r="I742" s="33" t="s">
        <v>38</v>
      </c>
      <c r="J742" s="33" t="s">
        <v>1315</v>
      </c>
      <c r="K742" s="33" t="s">
        <v>1316</v>
      </c>
      <c r="L742" s="33">
        <v>12698460.6</v>
      </c>
      <c r="M742" s="33">
        <v>0</v>
      </c>
      <c r="N742" s="33">
        <v>0</v>
      </c>
      <c r="O742" s="33">
        <v>79532463.75</v>
      </c>
      <c r="P742" s="33" t="s">
        <v>41</v>
      </c>
      <c r="Q742" s="33" t="s">
        <v>42</v>
      </c>
      <c r="W742" s="33" t="s">
        <v>43</v>
      </c>
      <c r="X742" s="1" t="s">
        <v>3126</v>
      </c>
    </row>
    <row r="743" spans="1:24" x14ac:dyDescent="0.2">
      <c r="A743" s="28" t="s">
        <v>31</v>
      </c>
      <c r="B743" s="28" t="s">
        <v>3143</v>
      </c>
      <c r="C743" s="28" t="s">
        <v>3144</v>
      </c>
      <c r="D743" s="28">
        <f t="shared" si="11"/>
        <v>-1</v>
      </c>
      <c r="E743" s="28" t="s">
        <v>34</v>
      </c>
      <c r="F743" s="28" t="s">
        <v>2755</v>
      </c>
      <c r="G743" s="28" t="s">
        <v>3145</v>
      </c>
      <c r="H743" s="28" t="s">
        <v>37</v>
      </c>
      <c r="I743" s="28" t="s">
        <v>38</v>
      </c>
      <c r="J743" s="28" t="s">
        <v>62</v>
      </c>
      <c r="K743" s="28" t="s">
        <v>63</v>
      </c>
      <c r="L743" s="28">
        <v>209000</v>
      </c>
      <c r="M743" s="28">
        <v>0</v>
      </c>
      <c r="N743" s="28">
        <v>0</v>
      </c>
      <c r="O743" s="28">
        <v>5301594</v>
      </c>
      <c r="P743" s="28" t="s">
        <v>41</v>
      </c>
      <c r="Q743" s="28" t="s">
        <v>42</v>
      </c>
      <c r="R743" s="1" t="s">
        <v>161</v>
      </c>
    </row>
    <row r="744" spans="1:24" x14ac:dyDescent="0.2">
      <c r="A744" s="28" t="s">
        <v>31</v>
      </c>
      <c r="B744" s="28" t="s">
        <v>3146</v>
      </c>
      <c r="C744" s="28" t="s">
        <v>3147</v>
      </c>
      <c r="D744" s="28">
        <f t="shared" si="11"/>
        <v>-1</v>
      </c>
      <c r="E744" s="28" t="s">
        <v>34</v>
      </c>
      <c r="F744" s="28" t="s">
        <v>2755</v>
      </c>
      <c r="G744" s="28" t="s">
        <v>3148</v>
      </c>
      <c r="H744" s="28" t="s">
        <v>37</v>
      </c>
      <c r="I744" s="28" t="s">
        <v>38</v>
      </c>
      <c r="J744" s="28" t="s">
        <v>57</v>
      </c>
      <c r="K744" s="28" t="s">
        <v>58</v>
      </c>
      <c r="L744" s="28">
        <v>2079420.04</v>
      </c>
      <c r="M744" s="28">
        <v>0</v>
      </c>
      <c r="N744" s="28">
        <v>0</v>
      </c>
      <c r="O744" s="28">
        <v>13023736.039999999</v>
      </c>
      <c r="P744" s="28" t="s">
        <v>41</v>
      </c>
      <c r="Q744" s="28" t="s">
        <v>42</v>
      </c>
      <c r="R744" s="1" t="s">
        <v>43</v>
      </c>
    </row>
    <row r="745" spans="1:24" x14ac:dyDescent="0.2">
      <c r="A745" s="33" t="s">
        <v>31</v>
      </c>
      <c r="B745" s="33" t="s">
        <v>3149</v>
      </c>
      <c r="C745" s="33" t="s">
        <v>3150</v>
      </c>
      <c r="D745" s="33">
        <f t="shared" si="11"/>
        <v>-1</v>
      </c>
      <c r="E745" s="33" t="s">
        <v>34</v>
      </c>
      <c r="F745" s="33" t="s">
        <v>2755</v>
      </c>
      <c r="G745" s="33" t="s">
        <v>3151</v>
      </c>
      <c r="H745" s="33" t="s">
        <v>37</v>
      </c>
      <c r="I745" s="33" t="s">
        <v>38</v>
      </c>
      <c r="J745" s="33" t="s">
        <v>3152</v>
      </c>
      <c r="K745" s="33" t="s">
        <v>3153</v>
      </c>
      <c r="L745" s="33">
        <v>17653.28</v>
      </c>
      <c r="M745" s="33">
        <v>0</v>
      </c>
      <c r="N745" s="33">
        <v>0</v>
      </c>
      <c r="O745" s="33">
        <v>110565.28</v>
      </c>
      <c r="P745" s="33" t="s">
        <v>41</v>
      </c>
      <c r="Q745" s="33" t="s">
        <v>42</v>
      </c>
      <c r="W745" s="33" t="s">
        <v>43</v>
      </c>
      <c r="X745" s="1" t="s">
        <v>317</v>
      </c>
    </row>
    <row r="746" spans="1:24" x14ac:dyDescent="0.2">
      <c r="A746" s="1" t="s">
        <v>31</v>
      </c>
      <c r="B746" s="1" t="s">
        <v>3154</v>
      </c>
      <c r="C746" s="1" t="s">
        <v>3155</v>
      </c>
      <c r="D746" s="1">
        <f t="shared" si="11"/>
        <v>-1</v>
      </c>
      <c r="E746" s="1" t="s">
        <v>34</v>
      </c>
      <c r="F746" s="1" t="s">
        <v>2755</v>
      </c>
      <c r="G746" s="1" t="s">
        <v>3156</v>
      </c>
      <c r="H746" s="1" t="s">
        <v>37</v>
      </c>
      <c r="I746" s="1" t="s">
        <v>38</v>
      </c>
      <c r="J746" s="1" t="s">
        <v>3157</v>
      </c>
      <c r="K746" s="1" t="s">
        <v>3158</v>
      </c>
      <c r="L746" s="1">
        <v>307903.19</v>
      </c>
      <c r="M746" s="1">
        <v>0</v>
      </c>
      <c r="N746" s="1">
        <v>0</v>
      </c>
      <c r="O746" s="1">
        <v>2521338.19</v>
      </c>
      <c r="P746" s="1" t="s">
        <v>41</v>
      </c>
      <c r="Q746" s="1" t="s">
        <v>42</v>
      </c>
      <c r="V746" s="1" t="s">
        <v>161</v>
      </c>
    </row>
    <row r="747" spans="1:24" x14ac:dyDescent="0.2">
      <c r="A747" s="28" t="s">
        <v>31</v>
      </c>
      <c r="B747" s="28" t="s">
        <v>3159</v>
      </c>
      <c r="C747" s="28" t="s">
        <v>3160</v>
      </c>
      <c r="D747" s="28">
        <f t="shared" si="11"/>
        <v>-1</v>
      </c>
      <c r="E747" s="28" t="s">
        <v>34</v>
      </c>
      <c r="F747" s="28" t="s">
        <v>2755</v>
      </c>
      <c r="G747" s="28" t="s">
        <v>3161</v>
      </c>
      <c r="H747" s="28" t="s">
        <v>37</v>
      </c>
      <c r="I747" s="28" t="s">
        <v>38</v>
      </c>
      <c r="J747" s="28" t="s">
        <v>3162</v>
      </c>
      <c r="K747" s="28" t="s">
        <v>3163</v>
      </c>
      <c r="L747" s="28">
        <v>52112.83</v>
      </c>
      <c r="M747" s="28">
        <v>0</v>
      </c>
      <c r="N747" s="28">
        <v>0</v>
      </c>
      <c r="O747" s="28">
        <v>407607.83</v>
      </c>
      <c r="P747" s="28" t="s">
        <v>41</v>
      </c>
      <c r="Q747" s="28" t="s">
        <v>42</v>
      </c>
      <c r="R747" s="1" t="s">
        <v>161</v>
      </c>
    </row>
    <row r="748" spans="1:24" x14ac:dyDescent="0.2">
      <c r="A748" s="29" t="s">
        <v>31</v>
      </c>
      <c r="B748" s="29" t="s">
        <v>3164</v>
      </c>
      <c r="C748" s="29" t="s">
        <v>3165</v>
      </c>
      <c r="D748" s="29">
        <f t="shared" si="11"/>
        <v>-1</v>
      </c>
      <c r="E748" s="29" t="s">
        <v>34</v>
      </c>
      <c r="F748" s="29" t="s">
        <v>2755</v>
      </c>
      <c r="G748" s="29" t="s">
        <v>3166</v>
      </c>
      <c r="H748" s="29" t="s">
        <v>37</v>
      </c>
      <c r="I748" s="29" t="s">
        <v>38</v>
      </c>
      <c r="J748" s="29" t="s">
        <v>3167</v>
      </c>
      <c r="K748" s="29" t="s">
        <v>3168</v>
      </c>
      <c r="L748" s="29">
        <v>83770.81</v>
      </c>
      <c r="M748" s="29">
        <v>0</v>
      </c>
      <c r="N748" s="29">
        <v>0</v>
      </c>
      <c r="O748" s="29">
        <v>542269.81000000006</v>
      </c>
      <c r="P748" s="29" t="s">
        <v>41</v>
      </c>
      <c r="Q748" s="29" t="s">
        <v>42</v>
      </c>
      <c r="T748" s="1" t="s">
        <v>43</v>
      </c>
    </row>
    <row r="749" spans="1:24" x14ac:dyDescent="0.2">
      <c r="A749" s="33" t="s">
        <v>31</v>
      </c>
      <c r="B749" s="33" t="s">
        <v>3169</v>
      </c>
      <c r="C749" s="33" t="s">
        <v>3170</v>
      </c>
      <c r="D749" s="33">
        <f t="shared" si="11"/>
        <v>-1</v>
      </c>
      <c r="E749" s="33" t="s">
        <v>34</v>
      </c>
      <c r="F749" s="33" t="s">
        <v>2755</v>
      </c>
      <c r="G749" s="33" t="s">
        <v>3171</v>
      </c>
      <c r="H749" s="33" t="s">
        <v>37</v>
      </c>
      <c r="I749" s="33" t="s">
        <v>38</v>
      </c>
      <c r="J749" s="33" t="s">
        <v>1621</v>
      </c>
      <c r="K749" s="33" t="s">
        <v>1622</v>
      </c>
      <c r="L749" s="33">
        <v>125400</v>
      </c>
      <c r="M749" s="33">
        <v>0</v>
      </c>
      <c r="N749" s="33">
        <v>0</v>
      </c>
      <c r="O749" s="33">
        <v>3268859</v>
      </c>
      <c r="P749" s="33" t="s">
        <v>41</v>
      </c>
      <c r="Q749" s="33" t="s">
        <v>42</v>
      </c>
      <c r="W749" s="33" t="s">
        <v>43</v>
      </c>
      <c r="X749" s="1" t="s">
        <v>3126</v>
      </c>
    </row>
    <row r="750" spans="1:24" x14ac:dyDescent="0.2">
      <c r="A750" s="33" t="s">
        <v>31</v>
      </c>
      <c r="B750" s="33" t="s">
        <v>3172</v>
      </c>
      <c r="C750" s="33" t="s">
        <v>3173</v>
      </c>
      <c r="D750" s="33">
        <f t="shared" si="11"/>
        <v>-1</v>
      </c>
      <c r="E750" s="33" t="s">
        <v>34</v>
      </c>
      <c r="F750" s="33" t="s">
        <v>2755</v>
      </c>
      <c r="G750" s="33" t="s">
        <v>3174</v>
      </c>
      <c r="H750" s="33" t="s">
        <v>37</v>
      </c>
      <c r="I750" s="33" t="s">
        <v>38</v>
      </c>
      <c r="J750" s="33" t="s">
        <v>1621</v>
      </c>
      <c r="K750" s="33" t="s">
        <v>1622</v>
      </c>
      <c r="L750" s="33">
        <v>52440</v>
      </c>
      <c r="M750" s="33">
        <v>0</v>
      </c>
      <c r="N750" s="33">
        <v>0</v>
      </c>
      <c r="O750" s="33">
        <v>328440</v>
      </c>
      <c r="P750" s="33" t="s">
        <v>41</v>
      </c>
      <c r="Q750" s="33" t="s">
        <v>42</v>
      </c>
      <c r="W750" s="33" t="s">
        <v>43</v>
      </c>
      <c r="X750" s="1" t="s">
        <v>3126</v>
      </c>
    </row>
    <row r="751" spans="1:24" x14ac:dyDescent="0.2">
      <c r="A751" s="33" t="s">
        <v>31</v>
      </c>
      <c r="B751" s="33" t="s">
        <v>3175</v>
      </c>
      <c r="C751" s="33" t="s">
        <v>3176</v>
      </c>
      <c r="D751" s="33">
        <f t="shared" si="11"/>
        <v>-1</v>
      </c>
      <c r="E751" s="33" t="s">
        <v>34</v>
      </c>
      <c r="F751" s="33" t="s">
        <v>2755</v>
      </c>
      <c r="G751" s="33" t="s">
        <v>3177</v>
      </c>
      <c r="H751" s="33" t="s">
        <v>37</v>
      </c>
      <c r="I751" s="33" t="s">
        <v>38</v>
      </c>
      <c r="J751" s="33" t="s">
        <v>1621</v>
      </c>
      <c r="K751" s="33" t="s">
        <v>1622</v>
      </c>
      <c r="L751" s="33">
        <v>145369</v>
      </c>
      <c r="M751" s="33">
        <v>0</v>
      </c>
      <c r="N751" s="33">
        <v>0</v>
      </c>
      <c r="O751" s="33">
        <v>910469</v>
      </c>
      <c r="P751" s="33" t="s">
        <v>41</v>
      </c>
      <c r="Q751" s="33" t="s">
        <v>42</v>
      </c>
      <c r="W751" s="33" t="s">
        <v>43</v>
      </c>
      <c r="X751" s="1" t="s">
        <v>3126</v>
      </c>
    </row>
    <row r="752" spans="1:24" x14ac:dyDescent="0.2">
      <c r="A752" s="33" t="s">
        <v>31</v>
      </c>
      <c r="B752" s="33" t="s">
        <v>3178</v>
      </c>
      <c r="C752" s="33" t="s">
        <v>3179</v>
      </c>
      <c r="D752" s="33">
        <f t="shared" si="11"/>
        <v>-1</v>
      </c>
      <c r="E752" s="33" t="s">
        <v>34</v>
      </c>
      <c r="F752" s="33" t="s">
        <v>2755</v>
      </c>
      <c r="G752" s="33" t="s">
        <v>3180</v>
      </c>
      <c r="H752" s="33" t="s">
        <v>37</v>
      </c>
      <c r="I752" s="33" t="s">
        <v>38</v>
      </c>
      <c r="J752" s="33" t="s">
        <v>3181</v>
      </c>
      <c r="K752" s="33" t="s">
        <v>3182</v>
      </c>
      <c r="L752" s="33">
        <v>21660</v>
      </c>
      <c r="M752" s="33">
        <v>0</v>
      </c>
      <c r="N752" s="33">
        <v>0</v>
      </c>
      <c r="O752" s="33">
        <v>135660</v>
      </c>
      <c r="P752" s="33" t="s">
        <v>41</v>
      </c>
      <c r="Q752" s="33" t="s">
        <v>42</v>
      </c>
      <c r="W752" s="33" t="s">
        <v>43</v>
      </c>
      <c r="X752" s="1" t="s">
        <v>3183</v>
      </c>
    </row>
    <row r="753" spans="1:24" x14ac:dyDescent="0.2">
      <c r="A753" s="33" t="s">
        <v>31</v>
      </c>
      <c r="B753" s="33" t="s">
        <v>3184</v>
      </c>
      <c r="C753" s="33" t="s">
        <v>3185</v>
      </c>
      <c r="D753" s="33">
        <f t="shared" si="11"/>
        <v>-1</v>
      </c>
      <c r="E753" s="33" t="s">
        <v>34</v>
      </c>
      <c r="F753" s="33" t="s">
        <v>2755</v>
      </c>
      <c r="G753" s="33" t="s">
        <v>3186</v>
      </c>
      <c r="H753" s="33" t="s">
        <v>37</v>
      </c>
      <c r="I753" s="33" t="s">
        <v>38</v>
      </c>
      <c r="J753" s="33" t="s">
        <v>3187</v>
      </c>
      <c r="K753" s="33" t="s">
        <v>3188</v>
      </c>
      <c r="L753" s="33">
        <v>3192000</v>
      </c>
      <c r="M753" s="33">
        <v>0</v>
      </c>
      <c r="N753" s="33">
        <v>0</v>
      </c>
      <c r="O753" s="33">
        <v>19992000</v>
      </c>
      <c r="P753" s="33" t="s">
        <v>41</v>
      </c>
      <c r="Q753" s="33" t="s">
        <v>42</v>
      </c>
      <c r="W753" s="33" t="s">
        <v>161</v>
      </c>
      <c r="X753" s="1" t="s">
        <v>694</v>
      </c>
    </row>
    <row r="754" spans="1:24" x14ac:dyDescent="0.2">
      <c r="A754" s="33" t="s">
        <v>31</v>
      </c>
      <c r="B754" s="33" t="s">
        <v>3189</v>
      </c>
      <c r="C754" s="33" t="s">
        <v>3190</v>
      </c>
      <c r="D754" s="33">
        <f t="shared" si="11"/>
        <v>-1</v>
      </c>
      <c r="E754" s="33" t="s">
        <v>34</v>
      </c>
      <c r="F754" s="33" t="s">
        <v>2755</v>
      </c>
      <c r="G754" s="33" t="s">
        <v>3191</v>
      </c>
      <c r="H754" s="33" t="s">
        <v>37</v>
      </c>
      <c r="I754" s="33" t="s">
        <v>38</v>
      </c>
      <c r="J754" s="33" t="s">
        <v>3192</v>
      </c>
      <c r="K754" s="33" t="s">
        <v>3193</v>
      </c>
      <c r="L754" s="33">
        <v>20650.72</v>
      </c>
      <c r="M754" s="33">
        <v>0</v>
      </c>
      <c r="N754" s="33">
        <v>0</v>
      </c>
      <c r="O754" s="33">
        <v>140599.72</v>
      </c>
      <c r="P754" s="33" t="s">
        <v>41</v>
      </c>
      <c r="Q754" s="33" t="s">
        <v>42</v>
      </c>
      <c r="W754" s="33" t="s">
        <v>43</v>
      </c>
      <c r="X754" s="1" t="s">
        <v>439</v>
      </c>
    </row>
    <row r="755" spans="1:24" x14ac:dyDescent="0.2">
      <c r="A755" s="33" t="s">
        <v>31</v>
      </c>
      <c r="B755" s="33" t="s">
        <v>3194</v>
      </c>
      <c r="C755" s="33" t="s">
        <v>3195</v>
      </c>
      <c r="D755" s="33">
        <f t="shared" si="11"/>
        <v>-1</v>
      </c>
      <c r="E755" s="33" t="s">
        <v>34</v>
      </c>
      <c r="F755" s="33" t="s">
        <v>2755</v>
      </c>
      <c r="G755" s="33" t="s">
        <v>3196</v>
      </c>
      <c r="H755" s="33" t="s">
        <v>37</v>
      </c>
      <c r="I755" s="33" t="s">
        <v>38</v>
      </c>
      <c r="J755" s="33" t="s">
        <v>1038</v>
      </c>
      <c r="K755" s="33" t="s">
        <v>1039</v>
      </c>
      <c r="L755" s="33">
        <v>2564254.25</v>
      </c>
      <c r="M755" s="33">
        <v>0</v>
      </c>
      <c r="N755" s="33">
        <v>0</v>
      </c>
      <c r="O755" s="33">
        <v>97260329.25</v>
      </c>
      <c r="P755" s="33" t="s">
        <v>41</v>
      </c>
      <c r="Q755" s="33" t="s">
        <v>42</v>
      </c>
      <c r="W755" s="33" t="s">
        <v>43</v>
      </c>
      <c r="X755" s="1" t="s">
        <v>439</v>
      </c>
    </row>
    <row r="756" spans="1:24" x14ac:dyDescent="0.2">
      <c r="A756" s="1" t="s">
        <v>31</v>
      </c>
      <c r="B756" s="1" t="s">
        <v>3197</v>
      </c>
      <c r="C756" s="1" t="s">
        <v>3198</v>
      </c>
      <c r="D756" s="1">
        <f t="shared" si="11"/>
        <v>-1</v>
      </c>
      <c r="E756" s="1" t="s">
        <v>34</v>
      </c>
      <c r="F756" s="1" t="s">
        <v>3199</v>
      </c>
      <c r="G756" s="1" t="s">
        <v>3200</v>
      </c>
      <c r="H756" s="1" t="s">
        <v>37</v>
      </c>
      <c r="I756" s="1" t="s">
        <v>38</v>
      </c>
      <c r="J756" s="1" t="s">
        <v>3201</v>
      </c>
      <c r="K756" s="1" t="s">
        <v>3202</v>
      </c>
      <c r="L756" s="1">
        <v>303728.38</v>
      </c>
      <c r="M756" s="1">
        <v>0</v>
      </c>
      <c r="N756" s="1">
        <v>0</v>
      </c>
      <c r="O756" s="1">
        <v>1960730.38</v>
      </c>
      <c r="P756" s="1" t="s">
        <v>41</v>
      </c>
      <c r="Q756" s="1" t="s">
        <v>42</v>
      </c>
      <c r="V756" s="1" t="s">
        <v>161</v>
      </c>
    </row>
    <row r="757" spans="1:24" x14ac:dyDescent="0.2">
      <c r="A757" s="33" t="s">
        <v>31</v>
      </c>
      <c r="B757" s="33" t="s">
        <v>3203</v>
      </c>
      <c r="C757" s="33" t="s">
        <v>3204</v>
      </c>
      <c r="D757" s="33">
        <f t="shared" si="11"/>
        <v>-1</v>
      </c>
      <c r="E757" s="33" t="s">
        <v>34</v>
      </c>
      <c r="F757" s="33" t="s">
        <v>3199</v>
      </c>
      <c r="G757" s="33" t="s">
        <v>3205</v>
      </c>
      <c r="H757" s="33" t="s">
        <v>37</v>
      </c>
      <c r="I757" s="33" t="s">
        <v>38</v>
      </c>
      <c r="J757" s="33" t="s">
        <v>499</v>
      </c>
      <c r="K757" s="33" t="s">
        <v>500</v>
      </c>
      <c r="L757" s="33">
        <v>117230</v>
      </c>
      <c r="M757" s="33">
        <v>0</v>
      </c>
      <c r="N757" s="33">
        <v>0</v>
      </c>
      <c r="O757" s="33">
        <v>734230</v>
      </c>
      <c r="P757" s="33" t="s">
        <v>41</v>
      </c>
      <c r="Q757" s="33" t="s">
        <v>42</v>
      </c>
      <c r="W757" s="33" t="s">
        <v>161</v>
      </c>
      <c r="X757" s="1" t="s">
        <v>1681</v>
      </c>
    </row>
    <row r="758" spans="1:24" x14ac:dyDescent="0.2">
      <c r="A758" s="33" t="s">
        <v>31</v>
      </c>
      <c r="B758" s="33" t="s">
        <v>3206</v>
      </c>
      <c r="C758" s="33" t="s">
        <v>3207</v>
      </c>
      <c r="D758" s="33">
        <f t="shared" si="11"/>
        <v>-1</v>
      </c>
      <c r="E758" s="33" t="s">
        <v>34</v>
      </c>
      <c r="F758" s="33" t="s">
        <v>3199</v>
      </c>
      <c r="G758" s="33" t="s">
        <v>3208</v>
      </c>
      <c r="H758" s="33" t="s">
        <v>37</v>
      </c>
      <c r="I758" s="33" t="s">
        <v>38</v>
      </c>
      <c r="J758" s="33" t="s">
        <v>499</v>
      </c>
      <c r="K758" s="33" t="s">
        <v>500</v>
      </c>
      <c r="L758" s="33">
        <v>12730</v>
      </c>
      <c r="M758" s="33">
        <v>0</v>
      </c>
      <c r="N758" s="33">
        <v>0</v>
      </c>
      <c r="O758" s="33">
        <v>79730</v>
      </c>
      <c r="P758" s="33" t="s">
        <v>41</v>
      </c>
      <c r="Q758" s="33" t="s">
        <v>42</v>
      </c>
      <c r="W758" s="33" t="s">
        <v>161</v>
      </c>
      <c r="X758" s="1" t="s">
        <v>1681</v>
      </c>
    </row>
    <row r="759" spans="1:24" x14ac:dyDescent="0.2">
      <c r="A759" s="33" t="s">
        <v>31</v>
      </c>
      <c r="B759" s="33" t="s">
        <v>3209</v>
      </c>
      <c r="C759" s="33" t="s">
        <v>3210</v>
      </c>
      <c r="D759" s="33">
        <f t="shared" si="11"/>
        <v>-1</v>
      </c>
      <c r="E759" s="33" t="s">
        <v>34</v>
      </c>
      <c r="F759" s="33" t="s">
        <v>3199</v>
      </c>
      <c r="G759" s="33" t="s">
        <v>3211</v>
      </c>
      <c r="H759" s="33" t="s">
        <v>37</v>
      </c>
      <c r="I759" s="33" t="s">
        <v>38</v>
      </c>
      <c r="J759" s="33" t="s">
        <v>499</v>
      </c>
      <c r="K759" s="33" t="s">
        <v>500</v>
      </c>
      <c r="L759" s="33">
        <v>114570</v>
      </c>
      <c r="M759" s="33">
        <v>0</v>
      </c>
      <c r="N759" s="33">
        <v>0</v>
      </c>
      <c r="O759" s="33">
        <v>717570</v>
      </c>
      <c r="P759" s="33" t="s">
        <v>41</v>
      </c>
      <c r="Q759" s="33" t="s">
        <v>42</v>
      </c>
      <c r="W759" s="33" t="s">
        <v>161</v>
      </c>
      <c r="X759" s="1" t="s">
        <v>1681</v>
      </c>
    </row>
    <row r="760" spans="1:24" x14ac:dyDescent="0.2">
      <c r="A760" s="33" t="s">
        <v>31</v>
      </c>
      <c r="B760" s="33" t="s">
        <v>3212</v>
      </c>
      <c r="C760" s="33" t="s">
        <v>3213</v>
      </c>
      <c r="D760" s="33">
        <f t="shared" si="11"/>
        <v>-1</v>
      </c>
      <c r="E760" s="33" t="s">
        <v>34</v>
      </c>
      <c r="F760" s="33" t="s">
        <v>3199</v>
      </c>
      <c r="G760" s="33" t="s">
        <v>3214</v>
      </c>
      <c r="H760" s="33" t="s">
        <v>37</v>
      </c>
      <c r="I760" s="33" t="s">
        <v>38</v>
      </c>
      <c r="J760" s="33" t="s">
        <v>499</v>
      </c>
      <c r="K760" s="33" t="s">
        <v>500</v>
      </c>
      <c r="L760" s="33">
        <v>327750</v>
      </c>
      <c r="M760" s="33">
        <v>0</v>
      </c>
      <c r="N760" s="33">
        <v>0</v>
      </c>
      <c r="O760" s="33">
        <v>2052750</v>
      </c>
      <c r="P760" s="33" t="s">
        <v>41</v>
      </c>
      <c r="Q760" s="33" t="s">
        <v>42</v>
      </c>
      <c r="W760" s="33" t="s">
        <v>161</v>
      </c>
      <c r="X760" s="1" t="s">
        <v>1681</v>
      </c>
    </row>
    <row r="761" spans="1:24" x14ac:dyDescent="0.2">
      <c r="A761" s="33" t="s">
        <v>31</v>
      </c>
      <c r="B761" s="33" t="s">
        <v>3215</v>
      </c>
      <c r="C761" s="33" t="s">
        <v>3216</v>
      </c>
      <c r="D761" s="33">
        <f t="shared" si="11"/>
        <v>-1</v>
      </c>
      <c r="E761" s="33" t="s">
        <v>34</v>
      </c>
      <c r="F761" s="33" t="s">
        <v>3199</v>
      </c>
      <c r="G761" s="33" t="s">
        <v>3217</v>
      </c>
      <c r="H761" s="33" t="s">
        <v>37</v>
      </c>
      <c r="I761" s="33" t="s">
        <v>38</v>
      </c>
      <c r="J761" s="33" t="s">
        <v>499</v>
      </c>
      <c r="K761" s="33" t="s">
        <v>500</v>
      </c>
      <c r="L761" s="33">
        <v>68400</v>
      </c>
      <c r="M761" s="33">
        <v>0</v>
      </c>
      <c r="N761" s="33">
        <v>0</v>
      </c>
      <c r="O761" s="33">
        <v>428400</v>
      </c>
      <c r="P761" s="33" t="s">
        <v>41</v>
      </c>
      <c r="Q761" s="33" t="s">
        <v>42</v>
      </c>
      <c r="W761" s="33" t="s">
        <v>161</v>
      </c>
      <c r="X761" s="1" t="s">
        <v>1681</v>
      </c>
    </row>
    <row r="762" spans="1:24" x14ac:dyDescent="0.2">
      <c r="A762" s="33" t="s">
        <v>31</v>
      </c>
      <c r="B762" s="33" t="s">
        <v>3218</v>
      </c>
      <c r="C762" s="33" t="s">
        <v>3219</v>
      </c>
      <c r="D762" s="33">
        <f t="shared" si="11"/>
        <v>-1</v>
      </c>
      <c r="E762" s="33" t="s">
        <v>34</v>
      </c>
      <c r="F762" s="33" t="s">
        <v>3199</v>
      </c>
      <c r="G762" s="33" t="s">
        <v>3220</v>
      </c>
      <c r="H762" s="33" t="s">
        <v>37</v>
      </c>
      <c r="I762" s="33" t="s">
        <v>38</v>
      </c>
      <c r="J762" s="33" t="s">
        <v>499</v>
      </c>
      <c r="K762" s="33" t="s">
        <v>500</v>
      </c>
      <c r="L762" s="33">
        <v>304000</v>
      </c>
      <c r="M762" s="33">
        <v>0</v>
      </c>
      <c r="N762" s="33">
        <v>0</v>
      </c>
      <c r="O762" s="33">
        <v>1904000</v>
      </c>
      <c r="P762" s="33" t="s">
        <v>41</v>
      </c>
      <c r="Q762" s="33" t="s">
        <v>42</v>
      </c>
      <c r="W762" s="33" t="s">
        <v>161</v>
      </c>
      <c r="X762" s="1" t="s">
        <v>1681</v>
      </c>
    </row>
    <row r="763" spans="1:24" x14ac:dyDescent="0.2">
      <c r="A763" s="33" t="s">
        <v>31</v>
      </c>
      <c r="B763" s="33" t="s">
        <v>3221</v>
      </c>
      <c r="C763" s="33" t="s">
        <v>3222</v>
      </c>
      <c r="D763" s="33">
        <f t="shared" si="11"/>
        <v>-1</v>
      </c>
      <c r="E763" s="33" t="s">
        <v>34</v>
      </c>
      <c r="F763" s="33" t="s">
        <v>3199</v>
      </c>
      <c r="G763" s="33" t="s">
        <v>3223</v>
      </c>
      <c r="H763" s="33" t="s">
        <v>37</v>
      </c>
      <c r="I763" s="33" t="s">
        <v>38</v>
      </c>
      <c r="J763" s="33" t="s">
        <v>3224</v>
      </c>
      <c r="K763" s="33" t="s">
        <v>3225</v>
      </c>
      <c r="L763" s="33">
        <v>3315500</v>
      </c>
      <c r="M763" s="33">
        <v>0</v>
      </c>
      <c r="N763" s="33">
        <v>0</v>
      </c>
      <c r="O763" s="33">
        <v>20765500</v>
      </c>
      <c r="P763" s="33" t="s">
        <v>41</v>
      </c>
      <c r="Q763" s="33" t="s">
        <v>42</v>
      </c>
      <c r="W763" s="33" t="s">
        <v>43</v>
      </c>
      <c r="X763" s="1" t="s">
        <v>69</v>
      </c>
    </row>
    <row r="764" spans="1:24" x14ac:dyDescent="0.2">
      <c r="A764" s="33" t="s">
        <v>31</v>
      </c>
      <c r="B764" s="33" t="s">
        <v>3226</v>
      </c>
      <c r="C764" s="33" t="s">
        <v>3227</v>
      </c>
      <c r="D764" s="33">
        <f t="shared" si="11"/>
        <v>-1</v>
      </c>
      <c r="E764" s="33" t="s">
        <v>34</v>
      </c>
      <c r="F764" s="33" t="s">
        <v>3199</v>
      </c>
      <c r="G764" s="33" t="s">
        <v>3228</v>
      </c>
      <c r="H764" s="33" t="s">
        <v>37</v>
      </c>
      <c r="I764" s="33" t="s">
        <v>38</v>
      </c>
      <c r="J764" s="33" t="s">
        <v>3229</v>
      </c>
      <c r="K764" s="33" t="s">
        <v>3230</v>
      </c>
      <c r="L764" s="33">
        <v>6840</v>
      </c>
      <c r="M764" s="33">
        <v>0</v>
      </c>
      <c r="N764" s="33">
        <v>0</v>
      </c>
      <c r="O764" s="33">
        <v>42840</v>
      </c>
      <c r="P764" s="33" t="s">
        <v>41</v>
      </c>
      <c r="Q764" s="33" t="s">
        <v>42</v>
      </c>
      <c r="W764" s="33" t="s">
        <v>43</v>
      </c>
      <c r="X764" s="1" t="s">
        <v>439</v>
      </c>
    </row>
    <row r="765" spans="1:24" x14ac:dyDescent="0.2">
      <c r="A765" s="33" t="s">
        <v>31</v>
      </c>
      <c r="B765" s="33" t="s">
        <v>3231</v>
      </c>
      <c r="C765" s="33" t="s">
        <v>3232</v>
      </c>
      <c r="D765" s="33">
        <f t="shared" si="11"/>
        <v>-1</v>
      </c>
      <c r="E765" s="33" t="s">
        <v>34</v>
      </c>
      <c r="F765" s="33" t="s">
        <v>3199</v>
      </c>
      <c r="G765" s="33" t="s">
        <v>3233</v>
      </c>
      <c r="H765" s="33" t="s">
        <v>37</v>
      </c>
      <c r="I765" s="33" t="s">
        <v>38</v>
      </c>
      <c r="J765" s="33" t="s">
        <v>3234</v>
      </c>
      <c r="K765" s="33" t="s">
        <v>3235</v>
      </c>
      <c r="L765" s="33">
        <v>546972</v>
      </c>
      <c r="M765" s="33">
        <v>0</v>
      </c>
      <c r="N765" s="33">
        <v>0</v>
      </c>
      <c r="O765" s="33">
        <v>3425772</v>
      </c>
      <c r="P765" s="33" t="s">
        <v>41</v>
      </c>
      <c r="Q765" s="33" t="s">
        <v>42</v>
      </c>
      <c r="W765" s="33" t="s">
        <v>161</v>
      </c>
      <c r="X765" s="1" t="s">
        <v>1681</v>
      </c>
    </row>
    <row r="766" spans="1:24" x14ac:dyDescent="0.2">
      <c r="A766" s="33" t="s">
        <v>31</v>
      </c>
      <c r="B766" s="33" t="s">
        <v>3236</v>
      </c>
      <c r="C766" s="33" t="s">
        <v>3237</v>
      </c>
      <c r="D766" s="33">
        <f t="shared" si="11"/>
        <v>-1</v>
      </c>
      <c r="E766" s="33" t="s">
        <v>34</v>
      </c>
      <c r="F766" s="33" t="s">
        <v>3199</v>
      </c>
      <c r="G766" s="33" t="s">
        <v>3238</v>
      </c>
      <c r="H766" s="33" t="s">
        <v>37</v>
      </c>
      <c r="I766" s="33" t="s">
        <v>38</v>
      </c>
      <c r="J766" s="33" t="s">
        <v>3239</v>
      </c>
      <c r="K766" s="33" t="s">
        <v>3240</v>
      </c>
      <c r="L766" s="33">
        <v>28500</v>
      </c>
      <c r="M766" s="33">
        <v>0</v>
      </c>
      <c r="N766" s="33">
        <v>0</v>
      </c>
      <c r="O766" s="33">
        <v>178500</v>
      </c>
      <c r="P766" s="33" t="s">
        <v>41</v>
      </c>
      <c r="Q766" s="33" t="s">
        <v>42</v>
      </c>
      <c r="W766" s="33" t="s">
        <v>161</v>
      </c>
      <c r="X766" s="1" t="s">
        <v>129</v>
      </c>
    </row>
    <row r="767" spans="1:24" x14ac:dyDescent="0.2">
      <c r="A767" s="29" t="s">
        <v>31</v>
      </c>
      <c r="B767" s="29" t="s">
        <v>3241</v>
      </c>
      <c r="C767" s="29" t="s">
        <v>3242</v>
      </c>
      <c r="D767" s="29">
        <f t="shared" si="11"/>
        <v>-1</v>
      </c>
      <c r="E767" s="29" t="s">
        <v>34</v>
      </c>
      <c r="F767" s="29" t="s">
        <v>3199</v>
      </c>
      <c r="G767" s="29" t="s">
        <v>3243</v>
      </c>
      <c r="H767" s="29" t="s">
        <v>37</v>
      </c>
      <c r="I767" s="29" t="s">
        <v>38</v>
      </c>
      <c r="J767" s="29" t="s">
        <v>3244</v>
      </c>
      <c r="K767" s="29" t="s">
        <v>3245</v>
      </c>
      <c r="L767" s="29">
        <v>7837.5</v>
      </c>
      <c r="M767" s="29">
        <v>0</v>
      </c>
      <c r="N767" s="29">
        <v>0</v>
      </c>
      <c r="O767" s="29">
        <v>49087.5</v>
      </c>
      <c r="P767" s="29" t="s">
        <v>41</v>
      </c>
      <c r="Q767" s="29" t="s">
        <v>42</v>
      </c>
      <c r="T767" s="1" t="s">
        <v>43</v>
      </c>
    </row>
    <row r="768" spans="1:24" x14ac:dyDescent="0.2">
      <c r="A768" s="28" t="s">
        <v>31</v>
      </c>
      <c r="B768" s="28" t="s">
        <v>3246</v>
      </c>
      <c r="C768" s="28" t="s">
        <v>3247</v>
      </c>
      <c r="D768" s="28">
        <f t="shared" si="11"/>
        <v>-1</v>
      </c>
      <c r="E768" s="28" t="s">
        <v>34</v>
      </c>
      <c r="F768" s="28" t="s">
        <v>3199</v>
      </c>
      <c r="G768" s="28" t="s">
        <v>3248</v>
      </c>
      <c r="H768" s="28" t="s">
        <v>37</v>
      </c>
      <c r="I768" s="28" t="s">
        <v>38</v>
      </c>
      <c r="J768" s="28" t="s">
        <v>1421</v>
      </c>
      <c r="K768" s="28" t="s">
        <v>1422</v>
      </c>
      <c r="L768" s="28">
        <v>215156</v>
      </c>
      <c r="M768" s="28">
        <v>0</v>
      </c>
      <c r="N768" s="28">
        <v>0</v>
      </c>
      <c r="O768" s="28">
        <v>1347556</v>
      </c>
      <c r="P768" s="28" t="s">
        <v>41</v>
      </c>
      <c r="Q768" s="28" t="s">
        <v>42</v>
      </c>
      <c r="R768" s="1" t="s">
        <v>161</v>
      </c>
    </row>
    <row r="769" spans="1:24" x14ac:dyDescent="0.2">
      <c r="A769" s="33" t="s">
        <v>31</v>
      </c>
      <c r="B769" s="33" t="s">
        <v>3249</v>
      </c>
      <c r="C769" s="33" t="s">
        <v>3250</v>
      </c>
      <c r="D769" s="33">
        <f t="shared" si="11"/>
        <v>-1</v>
      </c>
      <c r="E769" s="33" t="s">
        <v>34</v>
      </c>
      <c r="F769" s="33" t="s">
        <v>3199</v>
      </c>
      <c r="G769" s="33" t="s">
        <v>3251</v>
      </c>
      <c r="H769" s="33" t="s">
        <v>37</v>
      </c>
      <c r="I769" s="33" t="s">
        <v>38</v>
      </c>
      <c r="J769" s="33" t="s">
        <v>3252</v>
      </c>
      <c r="K769" s="33" t="s">
        <v>3253</v>
      </c>
      <c r="L769" s="33">
        <v>11400</v>
      </c>
      <c r="M769" s="33">
        <v>0</v>
      </c>
      <c r="N769" s="33">
        <v>0</v>
      </c>
      <c r="O769" s="33">
        <v>71400</v>
      </c>
      <c r="P769" s="33" t="s">
        <v>41</v>
      </c>
      <c r="Q769" s="33" t="s">
        <v>42</v>
      </c>
      <c r="W769" s="33" t="s">
        <v>43</v>
      </c>
      <c r="X769" s="1" t="s">
        <v>3051</v>
      </c>
    </row>
    <row r="770" spans="1:24" x14ac:dyDescent="0.2">
      <c r="A770" s="31" t="s">
        <v>31</v>
      </c>
      <c r="B770" s="31" t="s">
        <v>3254</v>
      </c>
      <c r="C770" s="31" t="s">
        <v>3255</v>
      </c>
      <c r="D770" s="31">
        <f t="shared" si="11"/>
        <v>-1</v>
      </c>
      <c r="E770" s="31" t="s">
        <v>34</v>
      </c>
      <c r="F770" s="31" t="s">
        <v>3199</v>
      </c>
      <c r="G770" s="31" t="s">
        <v>3256</v>
      </c>
      <c r="H770" s="31" t="s">
        <v>37</v>
      </c>
      <c r="I770" s="31" t="s">
        <v>38</v>
      </c>
      <c r="J770" s="31" t="s">
        <v>3257</v>
      </c>
      <c r="K770" s="31" t="s">
        <v>3258</v>
      </c>
      <c r="L770" s="31">
        <v>1176860</v>
      </c>
      <c r="M770" s="31">
        <v>0</v>
      </c>
      <c r="N770" s="31">
        <v>0</v>
      </c>
      <c r="O770" s="31">
        <v>7370860</v>
      </c>
      <c r="P770" s="31" t="s">
        <v>41</v>
      </c>
      <c r="Q770" s="31" t="s">
        <v>42</v>
      </c>
      <c r="U770" s="31" t="s">
        <v>161</v>
      </c>
    </row>
    <row r="771" spans="1:24" x14ac:dyDescent="0.2">
      <c r="A771" s="33" t="s">
        <v>31</v>
      </c>
      <c r="B771" s="33" t="s">
        <v>3259</v>
      </c>
      <c r="C771" s="33" t="s">
        <v>3260</v>
      </c>
      <c r="D771" s="33">
        <f t="shared" si="11"/>
        <v>-1</v>
      </c>
      <c r="E771" s="33" t="s">
        <v>34</v>
      </c>
      <c r="F771" s="33" t="s">
        <v>3199</v>
      </c>
      <c r="G771" s="33" t="s">
        <v>3261</v>
      </c>
      <c r="H771" s="33" t="s">
        <v>37</v>
      </c>
      <c r="I771" s="33" t="s">
        <v>38</v>
      </c>
      <c r="J771" s="33" t="s">
        <v>3262</v>
      </c>
      <c r="K771" s="33" t="s">
        <v>3263</v>
      </c>
      <c r="L771" s="33">
        <v>0</v>
      </c>
      <c r="M771" s="33">
        <v>0</v>
      </c>
      <c r="N771" s="33">
        <v>0</v>
      </c>
      <c r="O771" s="33">
        <v>472826</v>
      </c>
      <c r="P771" s="33" t="s">
        <v>41</v>
      </c>
      <c r="Q771" s="33" t="s">
        <v>42</v>
      </c>
      <c r="W771" s="33" t="s">
        <v>43</v>
      </c>
      <c r="X771" s="1" t="s">
        <v>439</v>
      </c>
    </row>
    <row r="772" spans="1:24" x14ac:dyDescent="0.2">
      <c r="A772" s="33" t="s">
        <v>31</v>
      </c>
      <c r="B772" s="33" t="s">
        <v>3264</v>
      </c>
      <c r="C772" s="33" t="s">
        <v>3265</v>
      </c>
      <c r="D772" s="33">
        <f t="shared" si="11"/>
        <v>-1</v>
      </c>
      <c r="E772" s="33" t="s">
        <v>34</v>
      </c>
      <c r="F772" s="33" t="s">
        <v>3199</v>
      </c>
      <c r="G772" s="33" t="s">
        <v>3266</v>
      </c>
      <c r="H772" s="33" t="s">
        <v>37</v>
      </c>
      <c r="I772" s="33" t="s">
        <v>38</v>
      </c>
      <c r="J772" s="33" t="s">
        <v>3059</v>
      </c>
      <c r="K772" s="33" t="s">
        <v>3060</v>
      </c>
      <c r="L772" s="33">
        <v>1060200</v>
      </c>
      <c r="M772" s="33">
        <v>0</v>
      </c>
      <c r="N772" s="33">
        <v>0</v>
      </c>
      <c r="O772" s="33">
        <v>6640200</v>
      </c>
      <c r="P772" s="33" t="s">
        <v>41</v>
      </c>
      <c r="Q772" s="33" t="s">
        <v>42</v>
      </c>
      <c r="W772" s="33" t="s">
        <v>161</v>
      </c>
      <c r="X772" s="1" t="s">
        <v>742</v>
      </c>
    </row>
    <row r="773" spans="1:24" x14ac:dyDescent="0.2">
      <c r="A773" s="33" t="s">
        <v>31</v>
      </c>
      <c r="B773" s="33" t="s">
        <v>3267</v>
      </c>
      <c r="C773" s="33" t="s">
        <v>3268</v>
      </c>
      <c r="D773" s="33">
        <f t="shared" si="11"/>
        <v>-1</v>
      </c>
      <c r="E773" s="33" t="s">
        <v>34</v>
      </c>
      <c r="F773" s="33" t="s">
        <v>3199</v>
      </c>
      <c r="G773" s="33" t="s">
        <v>3269</v>
      </c>
      <c r="H773" s="33" t="s">
        <v>37</v>
      </c>
      <c r="I773" s="33" t="s">
        <v>38</v>
      </c>
      <c r="J773" s="33" t="s">
        <v>1773</v>
      </c>
      <c r="K773" s="33" t="s">
        <v>1774</v>
      </c>
      <c r="L773" s="33">
        <v>57000</v>
      </c>
      <c r="M773" s="33">
        <v>0</v>
      </c>
      <c r="N773" s="33">
        <v>0</v>
      </c>
      <c r="O773" s="33">
        <v>357000</v>
      </c>
      <c r="P773" s="33" t="s">
        <v>41</v>
      </c>
      <c r="Q773" s="33" t="s">
        <v>42</v>
      </c>
      <c r="W773" s="1" t="s">
        <v>43</v>
      </c>
      <c r="X773" s="1" t="s">
        <v>69</v>
      </c>
    </row>
    <row r="774" spans="1:24" x14ac:dyDescent="0.2">
      <c r="A774" s="33" t="s">
        <v>31</v>
      </c>
      <c r="B774" s="33" t="s">
        <v>3270</v>
      </c>
      <c r="C774" s="33" t="s">
        <v>3271</v>
      </c>
      <c r="D774" s="33">
        <f t="shared" si="11"/>
        <v>-1</v>
      </c>
      <c r="E774" s="33" t="s">
        <v>34</v>
      </c>
      <c r="F774" s="33" t="s">
        <v>3199</v>
      </c>
      <c r="G774" s="33" t="s">
        <v>3272</v>
      </c>
      <c r="H774" s="33" t="s">
        <v>37</v>
      </c>
      <c r="I774" s="33" t="s">
        <v>38</v>
      </c>
      <c r="J774" s="33" t="s">
        <v>1773</v>
      </c>
      <c r="K774" s="33" t="s">
        <v>1774</v>
      </c>
      <c r="L774" s="33">
        <v>5700</v>
      </c>
      <c r="M774" s="33">
        <v>0</v>
      </c>
      <c r="N774" s="33">
        <v>0</v>
      </c>
      <c r="O774" s="33">
        <v>35700</v>
      </c>
      <c r="P774" s="33" t="s">
        <v>41</v>
      </c>
      <c r="Q774" s="33" t="s">
        <v>42</v>
      </c>
      <c r="W774" s="1" t="s">
        <v>43</v>
      </c>
      <c r="X774" s="1" t="s">
        <v>69</v>
      </c>
    </row>
    <row r="775" spans="1:24" x14ac:dyDescent="0.2">
      <c r="A775" s="33" t="s">
        <v>31</v>
      </c>
      <c r="B775" s="33" t="s">
        <v>3273</v>
      </c>
      <c r="C775" s="33" t="s">
        <v>3274</v>
      </c>
      <c r="D775" s="33">
        <f t="shared" si="11"/>
        <v>-1</v>
      </c>
      <c r="E775" s="33" t="s">
        <v>34</v>
      </c>
      <c r="F775" s="33" t="s">
        <v>3199</v>
      </c>
      <c r="G775" s="33" t="s">
        <v>3275</v>
      </c>
      <c r="H775" s="33" t="s">
        <v>37</v>
      </c>
      <c r="I775" s="33" t="s">
        <v>38</v>
      </c>
      <c r="J775" s="33" t="s">
        <v>1779</v>
      </c>
      <c r="K775" s="33" t="s">
        <v>1780</v>
      </c>
      <c r="L775" s="33">
        <v>62130</v>
      </c>
      <c r="M775" s="33">
        <v>0</v>
      </c>
      <c r="N775" s="33">
        <v>0</v>
      </c>
      <c r="O775" s="33">
        <v>416156</v>
      </c>
      <c r="P775" s="33" t="s">
        <v>41</v>
      </c>
      <c r="Q775" s="33" t="s">
        <v>42</v>
      </c>
      <c r="W775" s="1" t="s">
        <v>43</v>
      </c>
      <c r="X775" s="1" t="s">
        <v>69</v>
      </c>
    </row>
    <row r="776" spans="1:24" x14ac:dyDescent="0.2">
      <c r="A776" s="33" t="s">
        <v>31</v>
      </c>
      <c r="B776" s="33" t="s">
        <v>3276</v>
      </c>
      <c r="C776" s="33" t="s">
        <v>3277</v>
      </c>
      <c r="D776" s="33">
        <f t="shared" si="11"/>
        <v>-1</v>
      </c>
      <c r="E776" s="33" t="s">
        <v>34</v>
      </c>
      <c r="F776" s="33" t="s">
        <v>3199</v>
      </c>
      <c r="G776" s="33" t="s">
        <v>3278</v>
      </c>
      <c r="H776" s="33" t="s">
        <v>37</v>
      </c>
      <c r="I776" s="33" t="s">
        <v>38</v>
      </c>
      <c r="J776" s="33" t="s">
        <v>3279</v>
      </c>
      <c r="K776" s="33" t="s">
        <v>3280</v>
      </c>
      <c r="L776" s="33">
        <v>207573.1</v>
      </c>
      <c r="M776" s="33">
        <v>0</v>
      </c>
      <c r="N776" s="33">
        <v>0</v>
      </c>
      <c r="O776" s="33">
        <v>1384623.1</v>
      </c>
      <c r="P776" s="33" t="s">
        <v>41</v>
      </c>
      <c r="Q776" s="33" t="s">
        <v>42</v>
      </c>
      <c r="W776" s="33" t="s">
        <v>43</v>
      </c>
      <c r="X776" s="1" t="s">
        <v>665</v>
      </c>
    </row>
    <row r="777" spans="1:24" x14ac:dyDescent="0.2">
      <c r="A777" s="29" t="s">
        <v>31</v>
      </c>
      <c r="B777" s="29" t="s">
        <v>3281</v>
      </c>
      <c r="C777" s="29" t="s">
        <v>3282</v>
      </c>
      <c r="D777" s="29">
        <f t="shared" si="11"/>
        <v>-1</v>
      </c>
      <c r="E777" s="29" t="s">
        <v>34</v>
      </c>
      <c r="F777" s="29" t="s">
        <v>3199</v>
      </c>
      <c r="G777" s="29" t="s">
        <v>3283</v>
      </c>
      <c r="H777" s="29" t="s">
        <v>37</v>
      </c>
      <c r="I777" s="29" t="s">
        <v>38</v>
      </c>
      <c r="J777" s="29" t="s">
        <v>3101</v>
      </c>
      <c r="K777" s="29" t="s">
        <v>3102</v>
      </c>
      <c r="L777" s="29">
        <v>156883</v>
      </c>
      <c r="M777" s="29">
        <v>0</v>
      </c>
      <c r="N777" s="29">
        <v>0</v>
      </c>
      <c r="O777" s="29">
        <v>982583</v>
      </c>
      <c r="P777" s="29" t="s">
        <v>41</v>
      </c>
      <c r="Q777" s="29" t="s">
        <v>42</v>
      </c>
      <c r="T777" s="1" t="s">
        <v>43</v>
      </c>
    </row>
    <row r="778" spans="1:24" x14ac:dyDescent="0.2">
      <c r="A778" s="33" t="s">
        <v>31</v>
      </c>
      <c r="B778" s="33" t="s">
        <v>3284</v>
      </c>
      <c r="C778" s="33" t="s">
        <v>3285</v>
      </c>
      <c r="D778" s="33">
        <f t="shared" si="11"/>
        <v>-1</v>
      </c>
      <c r="E778" s="33" t="s">
        <v>34</v>
      </c>
      <c r="F778" s="33" t="s">
        <v>3199</v>
      </c>
      <c r="G778" s="33" t="s">
        <v>3286</v>
      </c>
      <c r="H778" s="33" t="s">
        <v>37</v>
      </c>
      <c r="I778" s="33" t="s">
        <v>38</v>
      </c>
      <c r="J778" s="33" t="s">
        <v>2655</v>
      </c>
      <c r="K778" s="33" t="s">
        <v>2656</v>
      </c>
      <c r="L778" s="33">
        <v>91143</v>
      </c>
      <c r="M778" s="33">
        <v>0</v>
      </c>
      <c r="N778" s="33">
        <v>0</v>
      </c>
      <c r="O778" s="33">
        <v>570843</v>
      </c>
      <c r="P778" s="33" t="s">
        <v>41</v>
      </c>
      <c r="Q778" s="33" t="s">
        <v>42</v>
      </c>
      <c r="W778" s="33" t="s">
        <v>43</v>
      </c>
      <c r="X778" s="1" t="s">
        <v>439</v>
      </c>
    </row>
    <row r="779" spans="1:24" x14ac:dyDescent="0.2">
      <c r="A779" s="29" t="s">
        <v>31</v>
      </c>
      <c r="B779" s="29" t="s">
        <v>3287</v>
      </c>
      <c r="C779" s="29" t="s">
        <v>3288</v>
      </c>
      <c r="D779" s="29">
        <f t="shared" ref="D779:D842" si="12">C779-C780</f>
        <v>-1</v>
      </c>
      <c r="E779" s="29" t="s">
        <v>34</v>
      </c>
      <c r="F779" s="29" t="s">
        <v>3199</v>
      </c>
      <c r="G779" s="29" t="s">
        <v>3289</v>
      </c>
      <c r="H779" s="29" t="s">
        <v>37</v>
      </c>
      <c r="I779" s="29" t="s">
        <v>38</v>
      </c>
      <c r="J779" s="29" t="s">
        <v>2360</v>
      </c>
      <c r="K779" s="29" t="s">
        <v>2361</v>
      </c>
      <c r="L779" s="29">
        <v>28500</v>
      </c>
      <c r="M779" s="29">
        <v>0</v>
      </c>
      <c r="N779" s="29">
        <v>0</v>
      </c>
      <c r="O779" s="29">
        <v>178500</v>
      </c>
      <c r="P779" s="29" t="s">
        <v>41</v>
      </c>
      <c r="Q779" s="29" t="s">
        <v>42</v>
      </c>
      <c r="T779" s="1" t="s">
        <v>43</v>
      </c>
    </row>
    <row r="780" spans="1:24" x14ac:dyDescent="0.2">
      <c r="A780" s="29" t="s">
        <v>31</v>
      </c>
      <c r="B780" s="29" t="s">
        <v>3290</v>
      </c>
      <c r="C780" s="29" t="s">
        <v>3291</v>
      </c>
      <c r="D780" s="29">
        <f t="shared" si="12"/>
        <v>-1</v>
      </c>
      <c r="E780" s="29" t="s">
        <v>34</v>
      </c>
      <c r="F780" s="29" t="s">
        <v>3199</v>
      </c>
      <c r="G780" s="29" t="s">
        <v>3292</v>
      </c>
      <c r="H780" s="29" t="s">
        <v>37</v>
      </c>
      <c r="I780" s="29" t="s">
        <v>38</v>
      </c>
      <c r="J780" s="29" t="s">
        <v>3101</v>
      </c>
      <c r="K780" s="29" t="s">
        <v>3102</v>
      </c>
      <c r="L780" s="29">
        <v>755562.55</v>
      </c>
      <c r="M780" s="29">
        <v>0</v>
      </c>
      <c r="N780" s="29">
        <v>0</v>
      </c>
      <c r="O780" s="29">
        <v>6078207.5499999998</v>
      </c>
      <c r="P780" s="29" t="s">
        <v>41</v>
      </c>
      <c r="Q780" s="29" t="s">
        <v>42</v>
      </c>
      <c r="T780" s="1" t="s">
        <v>43</v>
      </c>
    </row>
    <row r="781" spans="1:24" x14ac:dyDescent="0.2">
      <c r="A781" s="29" t="s">
        <v>31</v>
      </c>
      <c r="B781" s="29" t="s">
        <v>3293</v>
      </c>
      <c r="C781" s="29" t="s">
        <v>3294</v>
      </c>
      <c r="D781" s="29">
        <f t="shared" si="12"/>
        <v>-1</v>
      </c>
      <c r="E781" s="29" t="s">
        <v>34</v>
      </c>
      <c r="F781" s="29" t="s">
        <v>3199</v>
      </c>
      <c r="G781" s="29" t="s">
        <v>3295</v>
      </c>
      <c r="H781" s="29" t="s">
        <v>37</v>
      </c>
      <c r="I781" s="29" t="s">
        <v>38</v>
      </c>
      <c r="J781" s="29" t="s">
        <v>3101</v>
      </c>
      <c r="K781" s="29" t="s">
        <v>3102</v>
      </c>
      <c r="L781" s="29">
        <v>2736037.62</v>
      </c>
      <c r="M781" s="29">
        <v>0</v>
      </c>
      <c r="N781" s="29">
        <v>0</v>
      </c>
      <c r="O781" s="29">
        <v>20012385.989999998</v>
      </c>
      <c r="P781" s="29" t="s">
        <v>41</v>
      </c>
      <c r="Q781" s="29" t="s">
        <v>42</v>
      </c>
      <c r="T781" s="1" t="s">
        <v>43</v>
      </c>
    </row>
    <row r="782" spans="1:24" x14ac:dyDescent="0.2">
      <c r="A782" s="33" t="s">
        <v>31</v>
      </c>
      <c r="B782" s="33" t="s">
        <v>3296</v>
      </c>
      <c r="C782" s="33" t="s">
        <v>3297</v>
      </c>
      <c r="D782" s="33">
        <f t="shared" si="12"/>
        <v>-1</v>
      </c>
      <c r="E782" s="33" t="s">
        <v>34</v>
      </c>
      <c r="F782" s="33" t="s">
        <v>3199</v>
      </c>
      <c r="G782" s="33" t="s">
        <v>3298</v>
      </c>
      <c r="H782" s="33" t="s">
        <v>37</v>
      </c>
      <c r="I782" s="33" t="s">
        <v>38</v>
      </c>
      <c r="J782" s="33" t="s">
        <v>159</v>
      </c>
      <c r="K782" s="33" t="s">
        <v>160</v>
      </c>
      <c r="L782" s="33">
        <v>517092.98</v>
      </c>
      <c r="M782" s="33">
        <v>0</v>
      </c>
      <c r="N782" s="33">
        <v>0</v>
      </c>
      <c r="O782" s="33">
        <v>3238634.98</v>
      </c>
      <c r="P782" s="33" t="s">
        <v>41</v>
      </c>
      <c r="Q782" s="33" t="s">
        <v>42</v>
      </c>
      <c r="W782" s="33" t="s">
        <v>161</v>
      </c>
      <c r="X782" s="1" t="s">
        <v>2384</v>
      </c>
    </row>
    <row r="783" spans="1:24" x14ac:dyDescent="0.2">
      <c r="A783" s="33" t="s">
        <v>31</v>
      </c>
      <c r="B783" s="33" t="s">
        <v>3299</v>
      </c>
      <c r="C783" s="33" t="s">
        <v>3300</v>
      </c>
      <c r="D783" s="33">
        <f t="shared" si="12"/>
        <v>-1</v>
      </c>
      <c r="E783" s="33" t="s">
        <v>34</v>
      </c>
      <c r="F783" s="33" t="s">
        <v>3199</v>
      </c>
      <c r="G783" s="33" t="s">
        <v>3301</v>
      </c>
      <c r="H783" s="33" t="s">
        <v>37</v>
      </c>
      <c r="I783" s="33" t="s">
        <v>38</v>
      </c>
      <c r="J783" s="33" t="s">
        <v>930</v>
      </c>
      <c r="K783" s="33" t="s">
        <v>931</v>
      </c>
      <c r="L783" s="33">
        <v>732450</v>
      </c>
      <c r="M783" s="33">
        <v>0</v>
      </c>
      <c r="N783" s="33">
        <v>0</v>
      </c>
      <c r="O783" s="33">
        <v>4587450</v>
      </c>
      <c r="P783" s="33" t="s">
        <v>41</v>
      </c>
      <c r="Q783" s="33" t="s">
        <v>42</v>
      </c>
      <c r="W783" s="33" t="s">
        <v>161</v>
      </c>
      <c r="X783" s="1" t="s">
        <v>369</v>
      </c>
    </row>
    <row r="784" spans="1:24" x14ac:dyDescent="0.2">
      <c r="A784" s="33" t="s">
        <v>31</v>
      </c>
      <c r="B784" s="33" t="s">
        <v>3302</v>
      </c>
      <c r="C784" s="33" t="s">
        <v>3303</v>
      </c>
      <c r="D784" s="33">
        <f t="shared" si="12"/>
        <v>-1</v>
      </c>
      <c r="E784" s="33" t="s">
        <v>34</v>
      </c>
      <c r="F784" s="33" t="s">
        <v>3199</v>
      </c>
      <c r="G784" s="33" t="s">
        <v>3304</v>
      </c>
      <c r="H784" s="33" t="s">
        <v>37</v>
      </c>
      <c r="I784" s="33" t="s">
        <v>38</v>
      </c>
      <c r="J784" s="33" t="s">
        <v>3305</v>
      </c>
      <c r="K784" s="33" t="s">
        <v>3306</v>
      </c>
      <c r="L784" s="33">
        <v>95418</v>
      </c>
      <c r="M784" s="33">
        <v>0</v>
      </c>
      <c r="N784" s="33">
        <v>0</v>
      </c>
      <c r="O784" s="33">
        <v>597618</v>
      </c>
      <c r="P784" s="33" t="s">
        <v>41</v>
      </c>
      <c r="Q784" s="33" t="s">
        <v>42</v>
      </c>
      <c r="W784" s="33" t="s">
        <v>43</v>
      </c>
      <c r="X784" s="1" t="s">
        <v>742</v>
      </c>
    </row>
    <row r="785" spans="1:24" x14ac:dyDescent="0.2">
      <c r="A785" s="28" t="s">
        <v>31</v>
      </c>
      <c r="B785" s="28" t="s">
        <v>3307</v>
      </c>
      <c r="C785" s="28" t="s">
        <v>3308</v>
      </c>
      <c r="D785" s="28">
        <f t="shared" si="12"/>
        <v>-1</v>
      </c>
      <c r="E785" s="28" t="s">
        <v>34</v>
      </c>
      <c r="F785" s="28" t="s">
        <v>3199</v>
      </c>
      <c r="G785" s="28" t="s">
        <v>3309</v>
      </c>
      <c r="H785" s="28" t="s">
        <v>37</v>
      </c>
      <c r="I785" s="28" t="s">
        <v>38</v>
      </c>
      <c r="J785" s="28" t="s">
        <v>2026</v>
      </c>
      <c r="K785" s="28" t="s">
        <v>2027</v>
      </c>
      <c r="L785" s="28">
        <v>34931.5</v>
      </c>
      <c r="M785" s="28">
        <v>0</v>
      </c>
      <c r="N785" s="28">
        <v>0</v>
      </c>
      <c r="O785" s="28">
        <v>218781.5</v>
      </c>
      <c r="P785" s="28" t="s">
        <v>41</v>
      </c>
      <c r="Q785" s="28" t="s">
        <v>42</v>
      </c>
      <c r="R785" s="1" t="s">
        <v>43</v>
      </c>
    </row>
    <row r="786" spans="1:24" x14ac:dyDescent="0.2">
      <c r="A786" s="28" t="s">
        <v>31</v>
      </c>
      <c r="B786" s="28" t="s">
        <v>3310</v>
      </c>
      <c r="C786" s="28" t="s">
        <v>3311</v>
      </c>
      <c r="D786" s="28">
        <f t="shared" si="12"/>
        <v>-1</v>
      </c>
      <c r="E786" s="28" t="s">
        <v>34</v>
      </c>
      <c r="F786" s="28" t="s">
        <v>3199</v>
      </c>
      <c r="G786" s="28" t="s">
        <v>3312</v>
      </c>
      <c r="H786" s="28" t="s">
        <v>37</v>
      </c>
      <c r="I786" s="28" t="s">
        <v>38</v>
      </c>
      <c r="J786" s="28" t="s">
        <v>2026</v>
      </c>
      <c r="K786" s="28" t="s">
        <v>2027</v>
      </c>
      <c r="L786" s="28">
        <v>1102</v>
      </c>
      <c r="M786" s="28">
        <v>0</v>
      </c>
      <c r="N786" s="28">
        <v>0</v>
      </c>
      <c r="O786" s="28">
        <v>6902</v>
      </c>
      <c r="P786" s="28" t="s">
        <v>41</v>
      </c>
      <c r="Q786" s="28" t="s">
        <v>42</v>
      </c>
      <c r="R786" s="1" t="s">
        <v>43</v>
      </c>
    </row>
    <row r="787" spans="1:24" x14ac:dyDescent="0.2">
      <c r="A787" s="28" t="s">
        <v>31</v>
      </c>
      <c r="B787" s="28" t="s">
        <v>3313</v>
      </c>
      <c r="C787" s="28" t="s">
        <v>3314</v>
      </c>
      <c r="D787" s="28">
        <f t="shared" si="12"/>
        <v>-1</v>
      </c>
      <c r="E787" s="28" t="s">
        <v>34</v>
      </c>
      <c r="F787" s="28" t="s">
        <v>3199</v>
      </c>
      <c r="G787" s="28" t="s">
        <v>3315</v>
      </c>
      <c r="H787" s="28" t="s">
        <v>37</v>
      </c>
      <c r="I787" s="28" t="s">
        <v>38</v>
      </c>
      <c r="J787" s="28" t="s">
        <v>2026</v>
      </c>
      <c r="K787" s="28" t="s">
        <v>2027</v>
      </c>
      <c r="L787" s="28">
        <v>1102000</v>
      </c>
      <c r="M787" s="28">
        <v>0</v>
      </c>
      <c r="N787" s="28">
        <v>0</v>
      </c>
      <c r="O787" s="28">
        <v>6902000</v>
      </c>
      <c r="P787" s="28" t="s">
        <v>41</v>
      </c>
      <c r="Q787" s="28" t="s">
        <v>42</v>
      </c>
      <c r="R787" s="1" t="s">
        <v>43</v>
      </c>
    </row>
    <row r="788" spans="1:24" x14ac:dyDescent="0.2">
      <c r="A788" s="33" t="s">
        <v>31</v>
      </c>
      <c r="B788" s="33" t="s">
        <v>3316</v>
      </c>
      <c r="C788" s="33" t="s">
        <v>3317</v>
      </c>
      <c r="D788" s="33">
        <f t="shared" si="12"/>
        <v>-1</v>
      </c>
      <c r="E788" s="33" t="s">
        <v>34</v>
      </c>
      <c r="F788" s="33" t="s">
        <v>3199</v>
      </c>
      <c r="G788" s="33" t="s">
        <v>3318</v>
      </c>
      <c r="H788" s="33" t="s">
        <v>37</v>
      </c>
      <c r="I788" s="33" t="s">
        <v>38</v>
      </c>
      <c r="J788" s="33" t="s">
        <v>3319</v>
      </c>
      <c r="K788" s="33" t="s">
        <v>3320</v>
      </c>
      <c r="L788" s="33">
        <v>29245.759999999998</v>
      </c>
      <c r="M788" s="33">
        <v>0</v>
      </c>
      <c r="N788" s="33">
        <v>0</v>
      </c>
      <c r="O788" s="33">
        <v>183170.81</v>
      </c>
      <c r="P788" s="33" t="s">
        <v>41</v>
      </c>
      <c r="Q788" s="33" t="s">
        <v>42</v>
      </c>
      <c r="W788" s="33" t="s">
        <v>43</v>
      </c>
      <c r="X788" s="1" t="s">
        <v>439</v>
      </c>
    </row>
    <row r="789" spans="1:24" x14ac:dyDescent="0.2">
      <c r="A789" s="1" t="s">
        <v>31</v>
      </c>
      <c r="B789" s="1" t="s">
        <v>3321</v>
      </c>
      <c r="C789" s="1" t="s">
        <v>3322</v>
      </c>
      <c r="D789" s="1">
        <f t="shared" si="12"/>
        <v>-1</v>
      </c>
      <c r="E789" s="1" t="s">
        <v>34</v>
      </c>
      <c r="F789" s="1" t="s">
        <v>3199</v>
      </c>
      <c r="G789" s="1" t="s">
        <v>3323</v>
      </c>
      <c r="H789" s="1" t="s">
        <v>37</v>
      </c>
      <c r="I789" s="1" t="s">
        <v>38</v>
      </c>
      <c r="J789" s="1" t="s">
        <v>3324</v>
      </c>
      <c r="K789" s="1" t="s">
        <v>3325</v>
      </c>
      <c r="L789" s="1">
        <v>1300230.02</v>
      </c>
      <c r="M789" s="1">
        <v>0</v>
      </c>
      <c r="N789" s="1">
        <v>0</v>
      </c>
      <c r="O789" s="1">
        <v>11119012.02</v>
      </c>
      <c r="P789" s="1" t="s">
        <v>41</v>
      </c>
      <c r="Q789" s="1" t="s">
        <v>42</v>
      </c>
      <c r="V789" s="1" t="s">
        <v>161</v>
      </c>
    </row>
    <row r="790" spans="1:24" x14ac:dyDescent="0.2">
      <c r="A790" s="33" t="s">
        <v>31</v>
      </c>
      <c r="B790" s="33" t="s">
        <v>3326</v>
      </c>
      <c r="C790" s="33" t="s">
        <v>3327</v>
      </c>
      <c r="D790" s="33">
        <f t="shared" si="12"/>
        <v>-1</v>
      </c>
      <c r="E790" s="33" t="s">
        <v>34</v>
      </c>
      <c r="F790" s="33" t="s">
        <v>3199</v>
      </c>
      <c r="G790" s="33" t="s">
        <v>3328</v>
      </c>
      <c r="H790" s="33" t="s">
        <v>37</v>
      </c>
      <c r="I790" s="33" t="s">
        <v>38</v>
      </c>
      <c r="J790" s="33" t="s">
        <v>3329</v>
      </c>
      <c r="K790" s="33" t="s">
        <v>3330</v>
      </c>
      <c r="L790" s="33">
        <v>3692.56</v>
      </c>
      <c r="M790" s="33">
        <v>0</v>
      </c>
      <c r="N790" s="33">
        <v>0</v>
      </c>
      <c r="O790" s="33">
        <v>23127.279999999999</v>
      </c>
      <c r="P790" s="33" t="s">
        <v>41</v>
      </c>
      <c r="Q790" s="33" t="s">
        <v>42</v>
      </c>
      <c r="W790" s="33" t="s">
        <v>43</v>
      </c>
      <c r="X790" s="1" t="s">
        <v>439</v>
      </c>
    </row>
    <row r="791" spans="1:24" x14ac:dyDescent="0.2">
      <c r="A791" s="29" t="s">
        <v>31</v>
      </c>
      <c r="B791" s="29" t="s">
        <v>3331</v>
      </c>
      <c r="C791" s="29" t="s">
        <v>3332</v>
      </c>
      <c r="D791" s="29">
        <f t="shared" si="12"/>
        <v>-1</v>
      </c>
      <c r="E791" s="29" t="s">
        <v>34</v>
      </c>
      <c r="F791" s="29" t="s">
        <v>3199</v>
      </c>
      <c r="G791" s="29" t="s">
        <v>3333</v>
      </c>
      <c r="H791" s="29" t="s">
        <v>37</v>
      </c>
      <c r="I791" s="29" t="s">
        <v>38</v>
      </c>
      <c r="J791" s="29" t="s">
        <v>3334</v>
      </c>
      <c r="K791" s="29" t="s">
        <v>3335</v>
      </c>
      <c r="L791" s="29">
        <v>711505.92000000004</v>
      </c>
      <c r="M791" s="29">
        <v>0</v>
      </c>
      <c r="N791" s="29">
        <v>0</v>
      </c>
      <c r="O791" s="29">
        <v>7064968.9199999999</v>
      </c>
      <c r="P791" s="29" t="s">
        <v>41</v>
      </c>
      <c r="Q791" s="29" t="s">
        <v>42</v>
      </c>
      <c r="T791" s="1" t="s">
        <v>161</v>
      </c>
    </row>
    <row r="792" spans="1:24" x14ac:dyDescent="0.2">
      <c r="A792" s="1" t="s">
        <v>31</v>
      </c>
      <c r="B792" s="1" t="s">
        <v>3336</v>
      </c>
      <c r="C792" s="1" t="s">
        <v>3337</v>
      </c>
      <c r="D792" s="1">
        <f t="shared" si="12"/>
        <v>-1</v>
      </c>
      <c r="E792" s="1" t="s">
        <v>34</v>
      </c>
      <c r="F792" s="1" t="s">
        <v>3199</v>
      </c>
      <c r="G792" s="1" t="s">
        <v>3338</v>
      </c>
      <c r="H792" s="1" t="s">
        <v>37</v>
      </c>
      <c r="I792" s="1" t="s">
        <v>38</v>
      </c>
      <c r="J792" s="1" t="s">
        <v>2417</v>
      </c>
      <c r="K792" s="1" t="s">
        <v>2418</v>
      </c>
      <c r="L792" s="1">
        <v>794274.67</v>
      </c>
      <c r="M792" s="1">
        <v>0</v>
      </c>
      <c r="N792" s="1">
        <v>0</v>
      </c>
      <c r="O792" s="1">
        <v>5479667.6699999999</v>
      </c>
      <c r="P792" s="1" t="s">
        <v>41</v>
      </c>
      <c r="Q792" s="1" t="s">
        <v>42</v>
      </c>
      <c r="V792" s="1" t="s">
        <v>161</v>
      </c>
    </row>
    <row r="793" spans="1:24" x14ac:dyDescent="0.2">
      <c r="A793" s="29" t="s">
        <v>31</v>
      </c>
      <c r="B793" s="29" t="s">
        <v>3339</v>
      </c>
      <c r="C793" s="29" t="s">
        <v>3340</v>
      </c>
      <c r="D793" s="29">
        <f t="shared" si="12"/>
        <v>-1</v>
      </c>
      <c r="E793" s="29" t="s">
        <v>34</v>
      </c>
      <c r="F793" s="29" t="s">
        <v>3199</v>
      </c>
      <c r="G793" s="29" t="s">
        <v>3341</v>
      </c>
      <c r="H793" s="29" t="s">
        <v>37</v>
      </c>
      <c r="I793" s="29" t="s">
        <v>38</v>
      </c>
      <c r="J793" s="29" t="s">
        <v>171</v>
      </c>
      <c r="K793" s="29" t="s">
        <v>172</v>
      </c>
      <c r="L793" s="29">
        <v>136925.97</v>
      </c>
      <c r="M793" s="29">
        <v>0</v>
      </c>
      <c r="N793" s="29">
        <v>0</v>
      </c>
      <c r="O793" s="29">
        <v>857588.97</v>
      </c>
      <c r="P793" s="29" t="s">
        <v>41</v>
      </c>
      <c r="Q793" s="29" t="s">
        <v>42</v>
      </c>
      <c r="T793" s="1" t="s">
        <v>161</v>
      </c>
    </row>
    <row r="794" spans="1:24" x14ac:dyDescent="0.2">
      <c r="A794" s="28" t="s">
        <v>31</v>
      </c>
      <c r="B794" s="28" t="s">
        <v>3342</v>
      </c>
      <c r="C794" s="28" t="s">
        <v>3343</v>
      </c>
      <c r="D794" s="28">
        <f t="shared" si="12"/>
        <v>-1</v>
      </c>
      <c r="E794" s="28" t="s">
        <v>34</v>
      </c>
      <c r="F794" s="28" t="s">
        <v>3199</v>
      </c>
      <c r="G794" s="28" t="s">
        <v>3344</v>
      </c>
      <c r="H794" s="28" t="s">
        <v>37</v>
      </c>
      <c r="I794" s="28" t="s">
        <v>38</v>
      </c>
      <c r="J794" s="28" t="s">
        <v>1569</v>
      </c>
      <c r="K794" s="28" t="s">
        <v>1570</v>
      </c>
      <c r="L794" s="28">
        <v>11268.14</v>
      </c>
      <c r="M794" s="28">
        <v>0</v>
      </c>
      <c r="N794" s="28">
        <v>0</v>
      </c>
      <c r="O794" s="28">
        <v>70574.14</v>
      </c>
      <c r="P794" s="28" t="s">
        <v>41</v>
      </c>
      <c r="Q794" s="28" t="s">
        <v>42</v>
      </c>
      <c r="R794" s="1" t="s">
        <v>161</v>
      </c>
    </row>
    <row r="795" spans="1:24" x14ac:dyDescent="0.2">
      <c r="A795" s="29" t="s">
        <v>31</v>
      </c>
      <c r="B795" s="29" t="s">
        <v>3345</v>
      </c>
      <c r="C795" s="29" t="s">
        <v>3346</v>
      </c>
      <c r="D795" s="29">
        <f t="shared" si="12"/>
        <v>-1</v>
      </c>
      <c r="E795" s="29" t="s">
        <v>34</v>
      </c>
      <c r="F795" s="29" t="s">
        <v>3199</v>
      </c>
      <c r="G795" s="29" t="s">
        <v>3347</v>
      </c>
      <c r="H795" s="29" t="s">
        <v>37</v>
      </c>
      <c r="I795" s="29" t="s">
        <v>38</v>
      </c>
      <c r="J795" s="29" t="s">
        <v>1510</v>
      </c>
      <c r="K795" s="29" t="s">
        <v>1511</v>
      </c>
      <c r="L795" s="29">
        <v>0</v>
      </c>
      <c r="M795" s="29">
        <v>0</v>
      </c>
      <c r="N795" s="29">
        <v>0</v>
      </c>
      <c r="O795" s="29">
        <v>7231500</v>
      </c>
      <c r="P795" s="29" t="s">
        <v>41</v>
      </c>
      <c r="Q795" s="29" t="s">
        <v>42</v>
      </c>
      <c r="T795" s="1" t="s">
        <v>161</v>
      </c>
    </row>
    <row r="796" spans="1:24" x14ac:dyDescent="0.2">
      <c r="A796" s="28" t="s">
        <v>31</v>
      </c>
      <c r="B796" s="28" t="s">
        <v>3348</v>
      </c>
      <c r="C796" s="28" t="s">
        <v>3349</v>
      </c>
      <c r="D796" s="28">
        <f t="shared" si="12"/>
        <v>-1</v>
      </c>
      <c r="E796" s="28" t="s">
        <v>34</v>
      </c>
      <c r="F796" s="28" t="s">
        <v>3199</v>
      </c>
      <c r="G796" s="28" t="s">
        <v>3350</v>
      </c>
      <c r="H796" s="28" t="s">
        <v>37</v>
      </c>
      <c r="I796" s="28" t="s">
        <v>38</v>
      </c>
      <c r="J796" s="28" t="s">
        <v>3351</v>
      </c>
      <c r="K796" s="28" t="s">
        <v>3352</v>
      </c>
      <c r="L796" s="28">
        <v>344280</v>
      </c>
      <c r="M796" s="28">
        <v>0</v>
      </c>
      <c r="N796" s="28">
        <v>0</v>
      </c>
      <c r="O796" s="28">
        <v>2156280</v>
      </c>
      <c r="P796" s="28" t="s">
        <v>41</v>
      </c>
      <c r="Q796" s="28" t="s">
        <v>42</v>
      </c>
      <c r="R796" s="1" t="s">
        <v>161</v>
      </c>
    </row>
    <row r="797" spans="1:24" x14ac:dyDescent="0.2">
      <c r="A797" s="28" t="s">
        <v>31</v>
      </c>
      <c r="B797" s="28" t="s">
        <v>3353</v>
      </c>
      <c r="C797" s="28" t="s">
        <v>3354</v>
      </c>
      <c r="D797" s="28">
        <f t="shared" si="12"/>
        <v>-1</v>
      </c>
      <c r="E797" s="28" t="s">
        <v>34</v>
      </c>
      <c r="F797" s="28" t="s">
        <v>3199</v>
      </c>
      <c r="G797" s="28" t="s">
        <v>3355</v>
      </c>
      <c r="H797" s="28" t="s">
        <v>37</v>
      </c>
      <c r="I797" s="28" t="s">
        <v>38</v>
      </c>
      <c r="J797" s="28" t="s">
        <v>3351</v>
      </c>
      <c r="K797" s="28" t="s">
        <v>3352</v>
      </c>
      <c r="L797" s="28">
        <v>178980</v>
      </c>
      <c r="M797" s="28">
        <v>0</v>
      </c>
      <c r="N797" s="28">
        <v>0</v>
      </c>
      <c r="O797" s="28">
        <v>1120980</v>
      </c>
      <c r="P797" s="28" t="s">
        <v>41</v>
      </c>
      <c r="Q797" s="28" t="s">
        <v>42</v>
      </c>
      <c r="R797" s="1" t="s">
        <v>161</v>
      </c>
    </row>
    <row r="798" spans="1:24" x14ac:dyDescent="0.2">
      <c r="A798" s="28" t="s">
        <v>31</v>
      </c>
      <c r="B798" s="28" t="s">
        <v>3356</v>
      </c>
      <c r="C798" s="28" t="s">
        <v>3357</v>
      </c>
      <c r="D798" s="28">
        <f t="shared" si="12"/>
        <v>-1</v>
      </c>
      <c r="E798" s="28" t="s">
        <v>34</v>
      </c>
      <c r="F798" s="28" t="s">
        <v>3199</v>
      </c>
      <c r="G798" s="28" t="s">
        <v>3358</v>
      </c>
      <c r="H798" s="28" t="s">
        <v>37</v>
      </c>
      <c r="I798" s="28" t="s">
        <v>38</v>
      </c>
      <c r="J798" s="28" t="s">
        <v>3351</v>
      </c>
      <c r="K798" s="28" t="s">
        <v>3352</v>
      </c>
      <c r="L798" s="28">
        <v>1539000</v>
      </c>
      <c r="M798" s="28">
        <v>0</v>
      </c>
      <c r="N798" s="28">
        <v>0</v>
      </c>
      <c r="O798" s="28">
        <v>9639000</v>
      </c>
      <c r="P798" s="28" t="s">
        <v>41</v>
      </c>
      <c r="Q798" s="28" t="s">
        <v>42</v>
      </c>
      <c r="R798" s="1" t="s">
        <v>161</v>
      </c>
    </row>
    <row r="799" spans="1:24" x14ac:dyDescent="0.2">
      <c r="A799" s="33" t="s">
        <v>31</v>
      </c>
      <c r="B799" s="33" t="s">
        <v>3359</v>
      </c>
      <c r="C799" s="33" t="s">
        <v>3360</v>
      </c>
      <c r="D799" s="33">
        <f t="shared" si="12"/>
        <v>-1</v>
      </c>
      <c r="E799" s="33" t="s">
        <v>34</v>
      </c>
      <c r="F799" s="33" t="s">
        <v>3199</v>
      </c>
      <c r="G799" s="33" t="s">
        <v>3361</v>
      </c>
      <c r="H799" s="33" t="s">
        <v>37</v>
      </c>
      <c r="I799" s="33" t="s">
        <v>38</v>
      </c>
      <c r="J799" s="33" t="s">
        <v>735</v>
      </c>
      <c r="K799" s="33" t="s">
        <v>736</v>
      </c>
      <c r="L799" s="33">
        <v>0</v>
      </c>
      <c r="M799" s="33">
        <v>0</v>
      </c>
      <c r="N799" s="33">
        <v>0</v>
      </c>
      <c r="O799" s="33">
        <v>1219150</v>
      </c>
      <c r="P799" s="33" t="s">
        <v>41</v>
      </c>
      <c r="Q799" s="33" t="s">
        <v>42</v>
      </c>
      <c r="W799" s="33" t="s">
        <v>43</v>
      </c>
      <c r="X799" s="1" t="s">
        <v>990</v>
      </c>
    </row>
    <row r="800" spans="1:24" x14ac:dyDescent="0.2">
      <c r="A800" s="33" t="s">
        <v>31</v>
      </c>
      <c r="B800" s="33" t="s">
        <v>3362</v>
      </c>
      <c r="C800" s="33" t="s">
        <v>3363</v>
      </c>
      <c r="D800" s="33">
        <f t="shared" si="12"/>
        <v>-1</v>
      </c>
      <c r="E800" s="33" t="s">
        <v>34</v>
      </c>
      <c r="F800" s="33" t="s">
        <v>3199</v>
      </c>
      <c r="G800" s="33" t="s">
        <v>3364</v>
      </c>
      <c r="H800" s="33" t="s">
        <v>37</v>
      </c>
      <c r="I800" s="33" t="s">
        <v>38</v>
      </c>
      <c r="J800" s="33" t="s">
        <v>3365</v>
      </c>
      <c r="K800" s="33" t="s">
        <v>3366</v>
      </c>
      <c r="L800" s="33">
        <v>77290.100000000006</v>
      </c>
      <c r="M800" s="33">
        <v>0</v>
      </c>
      <c r="N800" s="33">
        <v>0</v>
      </c>
      <c r="O800" s="33">
        <v>484080.1</v>
      </c>
      <c r="P800" s="33" t="s">
        <v>41</v>
      </c>
      <c r="Q800" s="33" t="s">
        <v>42</v>
      </c>
      <c r="W800" s="33" t="s">
        <v>43</v>
      </c>
      <c r="X800" s="1" t="s">
        <v>2937</v>
      </c>
    </row>
    <row r="801" spans="1:24" x14ac:dyDescent="0.2">
      <c r="A801" s="33" t="s">
        <v>31</v>
      </c>
      <c r="B801" s="33" t="s">
        <v>3367</v>
      </c>
      <c r="C801" s="33" t="s">
        <v>3368</v>
      </c>
      <c r="D801" s="33">
        <f t="shared" si="12"/>
        <v>-1</v>
      </c>
      <c r="E801" s="33" t="s">
        <v>34</v>
      </c>
      <c r="F801" s="33" t="s">
        <v>3199</v>
      </c>
      <c r="G801" s="33" t="s">
        <v>3369</v>
      </c>
      <c r="H801" s="33" t="s">
        <v>37</v>
      </c>
      <c r="I801" s="33" t="s">
        <v>38</v>
      </c>
      <c r="J801" s="33" t="s">
        <v>2590</v>
      </c>
      <c r="K801" s="33" t="s">
        <v>2591</v>
      </c>
      <c r="L801" s="33">
        <v>369360</v>
      </c>
      <c r="M801" s="33">
        <v>0</v>
      </c>
      <c r="N801" s="33">
        <v>0</v>
      </c>
      <c r="O801" s="33">
        <v>2313360</v>
      </c>
      <c r="P801" s="33" t="s">
        <v>41</v>
      </c>
      <c r="Q801" s="33" t="s">
        <v>42</v>
      </c>
      <c r="W801" s="33" t="s">
        <v>43</v>
      </c>
      <c r="X801" s="1" t="s">
        <v>3370</v>
      </c>
    </row>
    <row r="802" spans="1:24" x14ac:dyDescent="0.2">
      <c r="A802" s="33" t="s">
        <v>31</v>
      </c>
      <c r="B802" s="33" t="s">
        <v>3371</v>
      </c>
      <c r="C802" s="33" t="s">
        <v>3372</v>
      </c>
      <c r="D802" s="33">
        <f t="shared" si="12"/>
        <v>-1</v>
      </c>
      <c r="E802" s="33" t="s">
        <v>34</v>
      </c>
      <c r="F802" s="33" t="s">
        <v>3199</v>
      </c>
      <c r="G802" s="33" t="s">
        <v>3373</v>
      </c>
      <c r="H802" s="33" t="s">
        <v>37</v>
      </c>
      <c r="I802" s="33" t="s">
        <v>38</v>
      </c>
      <c r="J802" s="33" t="s">
        <v>3374</v>
      </c>
      <c r="K802" s="33" t="s">
        <v>3375</v>
      </c>
      <c r="L802" s="33">
        <v>7790</v>
      </c>
      <c r="M802" s="33">
        <v>0</v>
      </c>
      <c r="N802" s="33">
        <v>0</v>
      </c>
      <c r="O802" s="33">
        <v>48790</v>
      </c>
      <c r="P802" s="33" t="s">
        <v>41</v>
      </c>
      <c r="Q802" s="33" t="s">
        <v>42</v>
      </c>
      <c r="W802" s="33" t="s">
        <v>161</v>
      </c>
      <c r="X802" s="1" t="s">
        <v>2384</v>
      </c>
    </row>
    <row r="803" spans="1:24" x14ac:dyDescent="0.2">
      <c r="A803" s="33" t="s">
        <v>31</v>
      </c>
      <c r="B803" s="33" t="s">
        <v>3376</v>
      </c>
      <c r="C803" s="33" t="s">
        <v>3377</v>
      </c>
      <c r="D803" s="33">
        <f t="shared" si="12"/>
        <v>-1</v>
      </c>
      <c r="E803" s="33" t="s">
        <v>34</v>
      </c>
      <c r="F803" s="33" t="s">
        <v>3199</v>
      </c>
      <c r="G803" s="33" t="s">
        <v>3378</v>
      </c>
      <c r="H803" s="33" t="s">
        <v>37</v>
      </c>
      <c r="I803" s="33" t="s">
        <v>38</v>
      </c>
      <c r="J803" s="33" t="s">
        <v>2595</v>
      </c>
      <c r="K803" s="33" t="s">
        <v>2596</v>
      </c>
      <c r="L803" s="33">
        <v>16511</v>
      </c>
      <c r="M803" s="33">
        <v>0</v>
      </c>
      <c r="N803" s="33">
        <v>0</v>
      </c>
      <c r="O803" s="33">
        <v>103411</v>
      </c>
      <c r="P803" s="33" t="s">
        <v>41</v>
      </c>
      <c r="Q803" s="33" t="s">
        <v>42</v>
      </c>
      <c r="W803" s="33" t="s">
        <v>161</v>
      </c>
      <c r="X803" s="1" t="s">
        <v>2004</v>
      </c>
    </row>
    <row r="804" spans="1:24" x14ac:dyDescent="0.2">
      <c r="A804" s="33" t="s">
        <v>31</v>
      </c>
      <c r="B804" s="33" t="s">
        <v>3379</v>
      </c>
      <c r="C804" s="33" t="s">
        <v>3380</v>
      </c>
      <c r="D804" s="33">
        <f t="shared" si="12"/>
        <v>-1</v>
      </c>
      <c r="E804" s="33" t="s">
        <v>34</v>
      </c>
      <c r="F804" s="33" t="s">
        <v>3199</v>
      </c>
      <c r="G804" s="33" t="s">
        <v>3381</v>
      </c>
      <c r="H804" s="33" t="s">
        <v>37</v>
      </c>
      <c r="I804" s="33" t="s">
        <v>38</v>
      </c>
      <c r="J804" s="33" t="s">
        <v>3382</v>
      </c>
      <c r="K804" s="33" t="s">
        <v>3383</v>
      </c>
      <c r="L804" s="33">
        <v>27445.5</v>
      </c>
      <c r="M804" s="33">
        <v>0</v>
      </c>
      <c r="N804" s="33">
        <v>0</v>
      </c>
      <c r="O804" s="33">
        <v>171895.5</v>
      </c>
      <c r="P804" s="33" t="s">
        <v>41</v>
      </c>
      <c r="Q804" s="33" t="s">
        <v>42</v>
      </c>
      <c r="W804" s="33" t="s">
        <v>43</v>
      </c>
      <c r="X804" s="1" t="s">
        <v>3051</v>
      </c>
    </row>
    <row r="805" spans="1:24" x14ac:dyDescent="0.2">
      <c r="A805" s="33" t="s">
        <v>31</v>
      </c>
      <c r="B805" s="33" t="s">
        <v>3384</v>
      </c>
      <c r="C805" s="33" t="s">
        <v>3385</v>
      </c>
      <c r="D805" s="33">
        <f t="shared" si="12"/>
        <v>-1</v>
      </c>
      <c r="E805" s="33" t="s">
        <v>34</v>
      </c>
      <c r="F805" s="33" t="s">
        <v>3199</v>
      </c>
      <c r="G805" s="33" t="s">
        <v>3386</v>
      </c>
      <c r="H805" s="33" t="s">
        <v>37</v>
      </c>
      <c r="I805" s="33" t="s">
        <v>38</v>
      </c>
      <c r="J805" s="33" t="s">
        <v>3387</v>
      </c>
      <c r="K805" s="33" t="s">
        <v>3388</v>
      </c>
      <c r="L805" s="33">
        <v>124450</v>
      </c>
      <c r="M805" s="33">
        <v>0</v>
      </c>
      <c r="N805" s="33">
        <v>0</v>
      </c>
      <c r="O805" s="33">
        <v>779450</v>
      </c>
      <c r="P805" s="33" t="s">
        <v>41</v>
      </c>
      <c r="Q805" s="33" t="s">
        <v>42</v>
      </c>
      <c r="W805" s="33" t="s">
        <v>43</v>
      </c>
      <c r="X805" s="1" t="s">
        <v>3126</v>
      </c>
    </row>
    <row r="806" spans="1:24" x14ac:dyDescent="0.2">
      <c r="A806" s="33" t="s">
        <v>31</v>
      </c>
      <c r="B806" s="33" t="s">
        <v>3389</v>
      </c>
      <c r="C806" s="33" t="s">
        <v>3390</v>
      </c>
      <c r="D806" s="33">
        <f t="shared" si="12"/>
        <v>-1</v>
      </c>
      <c r="E806" s="33" t="s">
        <v>34</v>
      </c>
      <c r="F806" s="33" t="s">
        <v>3199</v>
      </c>
      <c r="G806" s="33" t="s">
        <v>3391</v>
      </c>
      <c r="H806" s="33" t="s">
        <v>37</v>
      </c>
      <c r="I806" s="33" t="s">
        <v>38</v>
      </c>
      <c r="J806" s="33" t="s">
        <v>3037</v>
      </c>
      <c r="K806" s="33" t="s">
        <v>3038</v>
      </c>
      <c r="L806" s="33">
        <v>133209</v>
      </c>
      <c r="M806" s="33">
        <v>0</v>
      </c>
      <c r="N806" s="33">
        <v>0</v>
      </c>
      <c r="O806" s="33">
        <v>834309</v>
      </c>
      <c r="P806" s="33" t="s">
        <v>41</v>
      </c>
      <c r="Q806" s="33" t="s">
        <v>42</v>
      </c>
      <c r="W806" s="33" t="s">
        <v>161</v>
      </c>
      <c r="X806" s="1" t="s">
        <v>1060</v>
      </c>
    </row>
    <row r="807" spans="1:24" x14ac:dyDescent="0.2">
      <c r="A807" s="33" t="s">
        <v>31</v>
      </c>
      <c r="B807" s="33" t="s">
        <v>3392</v>
      </c>
      <c r="C807" s="33" t="s">
        <v>3393</v>
      </c>
      <c r="D807" s="33">
        <f t="shared" si="12"/>
        <v>-1</v>
      </c>
      <c r="E807" s="33" t="s">
        <v>34</v>
      </c>
      <c r="F807" s="33" t="s">
        <v>3199</v>
      </c>
      <c r="G807" s="33" t="s">
        <v>3394</v>
      </c>
      <c r="H807" s="33" t="s">
        <v>37</v>
      </c>
      <c r="I807" s="33" t="s">
        <v>38</v>
      </c>
      <c r="J807" s="33" t="s">
        <v>3395</v>
      </c>
      <c r="K807" s="33" t="s">
        <v>3396</v>
      </c>
      <c r="L807" s="33">
        <v>3260400</v>
      </c>
      <c r="M807" s="33">
        <v>0</v>
      </c>
      <c r="N807" s="33">
        <v>0</v>
      </c>
      <c r="O807" s="33">
        <v>20420400</v>
      </c>
      <c r="P807" s="33" t="s">
        <v>41</v>
      </c>
      <c r="Q807" s="33" t="s">
        <v>42</v>
      </c>
      <c r="W807" s="33" t="s">
        <v>43</v>
      </c>
      <c r="X807" s="1" t="s">
        <v>201</v>
      </c>
    </row>
    <row r="808" spans="1:24" x14ac:dyDescent="0.2">
      <c r="A808" s="33" t="s">
        <v>31</v>
      </c>
      <c r="B808" s="33" t="s">
        <v>3397</v>
      </c>
      <c r="C808" s="33" t="s">
        <v>3398</v>
      </c>
      <c r="D808" s="33">
        <f t="shared" si="12"/>
        <v>-1</v>
      </c>
      <c r="E808" s="33" t="s">
        <v>34</v>
      </c>
      <c r="F808" s="33" t="s">
        <v>3199</v>
      </c>
      <c r="G808" s="33" t="s">
        <v>3399</v>
      </c>
      <c r="H808" s="33" t="s">
        <v>37</v>
      </c>
      <c r="I808" s="33" t="s">
        <v>38</v>
      </c>
      <c r="J808" s="33" t="s">
        <v>3400</v>
      </c>
      <c r="K808" s="33" t="s">
        <v>3401</v>
      </c>
      <c r="L808" s="33">
        <v>52288</v>
      </c>
      <c r="M808" s="33">
        <v>0</v>
      </c>
      <c r="N808" s="33">
        <v>0</v>
      </c>
      <c r="O808" s="33">
        <v>327488</v>
      </c>
      <c r="P808" s="33" t="s">
        <v>41</v>
      </c>
      <c r="Q808" s="33" t="s">
        <v>42</v>
      </c>
      <c r="W808" s="33" t="s">
        <v>161</v>
      </c>
      <c r="X808" s="1" t="s">
        <v>1214</v>
      </c>
    </row>
    <row r="809" spans="1:24" x14ac:dyDescent="0.2">
      <c r="A809" s="28" t="s">
        <v>31</v>
      </c>
      <c r="B809" s="28" t="s">
        <v>3402</v>
      </c>
      <c r="C809" s="28" t="s">
        <v>3403</v>
      </c>
      <c r="D809" s="28">
        <f t="shared" si="12"/>
        <v>-1</v>
      </c>
      <c r="E809" s="28" t="s">
        <v>34</v>
      </c>
      <c r="F809" s="28" t="s">
        <v>3199</v>
      </c>
      <c r="G809" s="28" t="s">
        <v>3404</v>
      </c>
      <c r="H809" s="28" t="s">
        <v>37</v>
      </c>
      <c r="I809" s="28" t="s">
        <v>38</v>
      </c>
      <c r="J809" s="28" t="s">
        <v>3405</v>
      </c>
      <c r="K809" s="28" t="s">
        <v>3406</v>
      </c>
      <c r="L809" s="28">
        <v>62432.95</v>
      </c>
      <c r="M809" s="28">
        <v>0</v>
      </c>
      <c r="N809" s="28">
        <v>0</v>
      </c>
      <c r="O809" s="28">
        <v>476535.95</v>
      </c>
      <c r="P809" s="28" t="s">
        <v>41</v>
      </c>
      <c r="Q809" s="28" t="s">
        <v>42</v>
      </c>
      <c r="R809" s="1" t="s">
        <v>161</v>
      </c>
    </row>
    <row r="810" spans="1:24" x14ac:dyDescent="0.2">
      <c r="A810" s="1" t="s">
        <v>31</v>
      </c>
      <c r="B810" s="1" t="s">
        <v>3407</v>
      </c>
      <c r="C810" s="1" t="s">
        <v>3408</v>
      </c>
      <c r="D810" s="1">
        <f t="shared" si="12"/>
        <v>-1</v>
      </c>
      <c r="E810" s="1" t="s">
        <v>34</v>
      </c>
      <c r="F810" s="1" t="s">
        <v>3199</v>
      </c>
      <c r="G810" s="1" t="s">
        <v>3409</v>
      </c>
      <c r="H810" s="1" t="s">
        <v>37</v>
      </c>
      <c r="I810" s="1" t="s">
        <v>38</v>
      </c>
      <c r="J810" s="1" t="s">
        <v>906</v>
      </c>
      <c r="K810" s="1" t="s">
        <v>907</v>
      </c>
      <c r="L810" s="1">
        <v>160286.16</v>
      </c>
      <c r="M810" s="1">
        <v>0</v>
      </c>
      <c r="N810" s="1">
        <v>0</v>
      </c>
      <c r="O810" s="1">
        <v>1003897.56</v>
      </c>
      <c r="P810" s="1" t="s">
        <v>41</v>
      </c>
      <c r="Q810" s="1" t="s">
        <v>42</v>
      </c>
      <c r="V810" s="1" t="s">
        <v>161</v>
      </c>
    </row>
    <row r="811" spans="1:24" x14ac:dyDescent="0.2">
      <c r="A811" s="28" t="s">
        <v>31</v>
      </c>
      <c r="B811" s="28" t="s">
        <v>3410</v>
      </c>
      <c r="C811" s="28" t="s">
        <v>3411</v>
      </c>
      <c r="D811" s="28">
        <f t="shared" si="12"/>
        <v>-1</v>
      </c>
      <c r="E811" s="28" t="s">
        <v>34</v>
      </c>
      <c r="F811" s="28" t="s">
        <v>3199</v>
      </c>
      <c r="G811" s="28" t="s">
        <v>3412</v>
      </c>
      <c r="H811" s="28" t="s">
        <v>37</v>
      </c>
      <c r="I811" s="28" t="s">
        <v>38</v>
      </c>
      <c r="J811" s="28" t="s">
        <v>2489</v>
      </c>
      <c r="K811" s="28" t="s">
        <v>2490</v>
      </c>
      <c r="L811" s="28">
        <v>3391582.08</v>
      </c>
      <c r="M811" s="28">
        <v>0</v>
      </c>
      <c r="N811" s="28">
        <v>0</v>
      </c>
      <c r="O811" s="28">
        <v>21242014.079999998</v>
      </c>
      <c r="P811" s="28" t="s">
        <v>41</v>
      </c>
      <c r="Q811" s="28" t="s">
        <v>42</v>
      </c>
      <c r="R811" s="1" t="s">
        <v>161</v>
      </c>
    </row>
    <row r="812" spans="1:24" x14ac:dyDescent="0.2">
      <c r="A812" s="1" t="s">
        <v>31</v>
      </c>
      <c r="B812" s="1" t="s">
        <v>3413</v>
      </c>
      <c r="C812" s="1" t="s">
        <v>3414</v>
      </c>
      <c r="D812" s="1">
        <f t="shared" si="12"/>
        <v>-1</v>
      </c>
      <c r="E812" s="1" t="s">
        <v>34</v>
      </c>
      <c r="F812" s="1" t="s">
        <v>3199</v>
      </c>
      <c r="G812" s="1" t="s">
        <v>3415</v>
      </c>
      <c r="H812" s="1" t="s">
        <v>37</v>
      </c>
      <c r="I812" s="1" t="s">
        <v>38</v>
      </c>
      <c r="J812" s="1" t="s">
        <v>3416</v>
      </c>
      <c r="K812" s="1" t="s">
        <v>3417</v>
      </c>
      <c r="L812" s="1">
        <v>12920</v>
      </c>
      <c r="M812" s="1">
        <v>0</v>
      </c>
      <c r="N812" s="1">
        <v>0</v>
      </c>
      <c r="O812" s="1">
        <v>80920</v>
      </c>
      <c r="P812" s="1" t="s">
        <v>41</v>
      </c>
      <c r="Q812" s="1" t="s">
        <v>42</v>
      </c>
      <c r="V812" s="1" t="s">
        <v>161</v>
      </c>
    </row>
    <row r="813" spans="1:24" x14ac:dyDescent="0.2">
      <c r="A813" s="29" t="s">
        <v>31</v>
      </c>
      <c r="B813" s="29" t="s">
        <v>3418</v>
      </c>
      <c r="C813" s="29" t="s">
        <v>3419</v>
      </c>
      <c r="D813" s="29">
        <f t="shared" si="12"/>
        <v>-1</v>
      </c>
      <c r="E813" s="29" t="s">
        <v>34</v>
      </c>
      <c r="F813" s="29" t="s">
        <v>3199</v>
      </c>
      <c r="G813" s="29" t="s">
        <v>3420</v>
      </c>
      <c r="H813" s="29" t="s">
        <v>37</v>
      </c>
      <c r="I813" s="29" t="s">
        <v>38</v>
      </c>
      <c r="J813" s="29" t="s">
        <v>171</v>
      </c>
      <c r="K813" s="29" t="s">
        <v>172</v>
      </c>
      <c r="L813" s="29">
        <v>595976.80000000005</v>
      </c>
      <c r="M813" s="29">
        <v>0</v>
      </c>
      <c r="N813" s="29">
        <v>0</v>
      </c>
      <c r="O813" s="29">
        <v>3732696.8</v>
      </c>
      <c r="P813" s="29" t="s">
        <v>41</v>
      </c>
      <c r="Q813" s="29" t="s">
        <v>42</v>
      </c>
      <c r="T813" s="1" t="s">
        <v>161</v>
      </c>
    </row>
    <row r="814" spans="1:24" x14ac:dyDescent="0.2">
      <c r="A814" s="33" t="s">
        <v>31</v>
      </c>
      <c r="B814" s="33" t="s">
        <v>3421</v>
      </c>
      <c r="C814" s="33" t="s">
        <v>3422</v>
      </c>
      <c r="D814" s="33">
        <f t="shared" si="12"/>
        <v>-1</v>
      </c>
      <c r="E814" s="33" t="s">
        <v>34</v>
      </c>
      <c r="F814" s="33" t="s">
        <v>3199</v>
      </c>
      <c r="G814" s="33" t="s">
        <v>3423</v>
      </c>
      <c r="H814" s="33" t="s">
        <v>37</v>
      </c>
      <c r="I814" s="33" t="s">
        <v>38</v>
      </c>
      <c r="J814" s="33" t="s">
        <v>2590</v>
      </c>
      <c r="K814" s="33" t="s">
        <v>2591</v>
      </c>
      <c r="L814" s="33">
        <v>39957</v>
      </c>
      <c r="M814" s="33">
        <v>0</v>
      </c>
      <c r="N814" s="33">
        <v>0</v>
      </c>
      <c r="O814" s="33">
        <v>250257</v>
      </c>
      <c r="P814" s="33" t="s">
        <v>41</v>
      </c>
      <c r="Q814" s="33" t="s">
        <v>42</v>
      </c>
      <c r="W814" s="33" t="s">
        <v>43</v>
      </c>
      <c r="X814" s="1" t="s">
        <v>3370</v>
      </c>
    </row>
    <row r="815" spans="1:24" x14ac:dyDescent="0.2">
      <c r="A815" s="33" t="s">
        <v>31</v>
      </c>
      <c r="B815" s="33" t="s">
        <v>3424</v>
      </c>
      <c r="C815" s="33" t="s">
        <v>3425</v>
      </c>
      <c r="D815" s="33">
        <f t="shared" si="12"/>
        <v>-1</v>
      </c>
      <c r="E815" s="33" t="s">
        <v>34</v>
      </c>
      <c r="F815" s="33" t="s">
        <v>3199</v>
      </c>
      <c r="G815" s="33" t="s">
        <v>3426</v>
      </c>
      <c r="H815" s="33" t="s">
        <v>37</v>
      </c>
      <c r="I815" s="33" t="s">
        <v>38</v>
      </c>
      <c r="J815" s="33" t="s">
        <v>3427</v>
      </c>
      <c r="K815" s="33" t="s">
        <v>3428</v>
      </c>
      <c r="L815" s="33">
        <v>411730</v>
      </c>
      <c r="M815" s="33">
        <v>0</v>
      </c>
      <c r="N815" s="33">
        <v>0</v>
      </c>
      <c r="O815" s="33">
        <v>2578730</v>
      </c>
      <c r="P815" s="33" t="s">
        <v>41</v>
      </c>
      <c r="Q815" s="33" t="s">
        <v>42</v>
      </c>
      <c r="W815" s="33" t="s">
        <v>43</v>
      </c>
      <c r="X815" s="1" t="s">
        <v>2919</v>
      </c>
    </row>
    <row r="816" spans="1:24" x14ac:dyDescent="0.2">
      <c r="A816" s="33" t="s">
        <v>31</v>
      </c>
      <c r="B816" s="33" t="s">
        <v>3429</v>
      </c>
      <c r="C816" s="33" t="s">
        <v>3430</v>
      </c>
      <c r="D816" s="33">
        <f t="shared" si="12"/>
        <v>-1</v>
      </c>
      <c r="E816" s="33" t="s">
        <v>34</v>
      </c>
      <c r="F816" s="33" t="s">
        <v>3199</v>
      </c>
      <c r="G816" s="33" t="s">
        <v>3431</v>
      </c>
      <c r="H816" s="33" t="s">
        <v>37</v>
      </c>
      <c r="I816" s="33" t="s">
        <v>38</v>
      </c>
      <c r="J816" s="33" t="s">
        <v>3432</v>
      </c>
      <c r="K816" s="33" t="s">
        <v>3433</v>
      </c>
      <c r="L816" s="33">
        <v>41531</v>
      </c>
      <c r="M816" s="33">
        <v>0</v>
      </c>
      <c r="N816" s="33">
        <v>0</v>
      </c>
      <c r="O816" s="33">
        <v>349531</v>
      </c>
      <c r="P816" s="33" t="s">
        <v>41</v>
      </c>
      <c r="Q816" s="33" t="s">
        <v>42</v>
      </c>
      <c r="W816" s="33" t="s">
        <v>161</v>
      </c>
      <c r="X816" s="1" t="s">
        <v>129</v>
      </c>
    </row>
    <row r="817" spans="1:24" x14ac:dyDescent="0.2">
      <c r="A817" s="1" t="s">
        <v>31</v>
      </c>
      <c r="B817" s="1" t="s">
        <v>3434</v>
      </c>
      <c r="C817" s="1" t="s">
        <v>3435</v>
      </c>
      <c r="D817" s="1">
        <f t="shared" si="12"/>
        <v>-1</v>
      </c>
      <c r="E817" s="1" t="s">
        <v>34</v>
      </c>
      <c r="F817" s="1" t="s">
        <v>3199</v>
      </c>
      <c r="G817" s="1" t="s">
        <v>3436</v>
      </c>
      <c r="H817" s="1" t="s">
        <v>37</v>
      </c>
      <c r="I817" s="1" t="s">
        <v>38</v>
      </c>
      <c r="J817" s="1" t="s">
        <v>2626</v>
      </c>
      <c r="K817" s="1" t="s">
        <v>2627</v>
      </c>
      <c r="L817" s="1">
        <v>310700.73</v>
      </c>
      <c r="M817" s="1">
        <v>0</v>
      </c>
      <c r="N817" s="1">
        <v>0</v>
      </c>
      <c r="O817" s="1">
        <v>2077467.73</v>
      </c>
      <c r="P817" s="1" t="s">
        <v>41</v>
      </c>
      <c r="Q817" s="1" t="s">
        <v>42</v>
      </c>
      <c r="V817" s="1" t="s">
        <v>161</v>
      </c>
    </row>
    <row r="818" spans="1:24" x14ac:dyDescent="0.2">
      <c r="A818" s="29" t="s">
        <v>31</v>
      </c>
      <c r="B818" s="29" t="s">
        <v>3437</v>
      </c>
      <c r="C818" s="29" t="s">
        <v>3438</v>
      </c>
      <c r="D818" s="29">
        <f t="shared" si="12"/>
        <v>-1</v>
      </c>
      <c r="E818" s="29" t="s">
        <v>34</v>
      </c>
      <c r="F818" s="29" t="s">
        <v>3199</v>
      </c>
      <c r="G818" s="29" t="s">
        <v>3439</v>
      </c>
      <c r="H818" s="29" t="s">
        <v>37</v>
      </c>
      <c r="I818" s="29" t="s">
        <v>38</v>
      </c>
      <c r="J818" s="29" t="s">
        <v>3440</v>
      </c>
      <c r="K818" s="29" t="s">
        <v>3441</v>
      </c>
      <c r="L818" s="29">
        <v>8224150</v>
      </c>
      <c r="M818" s="29">
        <v>0</v>
      </c>
      <c r="N818" s="29">
        <v>0</v>
      </c>
      <c r="O818" s="29">
        <v>51509150</v>
      </c>
      <c r="P818" s="29" t="s">
        <v>41</v>
      </c>
      <c r="Q818" s="29" t="s">
        <v>42</v>
      </c>
      <c r="T818" s="1" t="s">
        <v>161</v>
      </c>
    </row>
    <row r="819" spans="1:24" x14ac:dyDescent="0.2">
      <c r="A819" s="31" t="s">
        <v>31</v>
      </c>
      <c r="B819" s="31" t="s">
        <v>3442</v>
      </c>
      <c r="C819" s="31" t="s">
        <v>3443</v>
      </c>
      <c r="D819" s="31">
        <f t="shared" si="12"/>
        <v>-1</v>
      </c>
      <c r="E819" s="31" t="s">
        <v>34</v>
      </c>
      <c r="F819" s="31" t="s">
        <v>3199</v>
      </c>
      <c r="G819" s="31" t="s">
        <v>3444</v>
      </c>
      <c r="H819" s="31" t="s">
        <v>37</v>
      </c>
      <c r="I819" s="31" t="s">
        <v>38</v>
      </c>
      <c r="J819" s="31" t="s">
        <v>3445</v>
      </c>
      <c r="K819" s="31" t="s">
        <v>3446</v>
      </c>
      <c r="L819" s="31">
        <v>136800</v>
      </c>
      <c r="M819" s="31">
        <v>0</v>
      </c>
      <c r="N819" s="31">
        <v>0</v>
      </c>
      <c r="O819" s="31">
        <v>856800</v>
      </c>
      <c r="P819" s="31" t="s">
        <v>41</v>
      </c>
      <c r="Q819" s="31" t="s">
        <v>42</v>
      </c>
      <c r="U819" s="31" t="s">
        <v>161</v>
      </c>
    </row>
    <row r="820" spans="1:24" x14ac:dyDescent="0.2">
      <c r="A820" s="33" t="s">
        <v>31</v>
      </c>
      <c r="B820" s="33" t="s">
        <v>3447</v>
      </c>
      <c r="C820" s="33" t="s">
        <v>3448</v>
      </c>
      <c r="D820" s="33">
        <f t="shared" si="12"/>
        <v>-1</v>
      </c>
      <c r="E820" s="33" t="s">
        <v>34</v>
      </c>
      <c r="F820" s="33" t="s">
        <v>3449</v>
      </c>
      <c r="G820" s="33" t="s">
        <v>3450</v>
      </c>
      <c r="H820" s="33" t="s">
        <v>37</v>
      </c>
      <c r="I820" s="33" t="s">
        <v>38</v>
      </c>
      <c r="J820" s="33" t="s">
        <v>658</v>
      </c>
      <c r="K820" s="33" t="s">
        <v>659</v>
      </c>
      <c r="L820" s="33">
        <v>20330</v>
      </c>
      <c r="M820" s="33">
        <v>0</v>
      </c>
      <c r="N820" s="33">
        <v>0</v>
      </c>
      <c r="O820" s="33">
        <v>127330</v>
      </c>
      <c r="P820" s="33" t="s">
        <v>41</v>
      </c>
      <c r="Q820" s="33" t="s">
        <v>42</v>
      </c>
      <c r="W820" s="33" t="s">
        <v>161</v>
      </c>
      <c r="X820" s="1" t="s">
        <v>226</v>
      </c>
    </row>
    <row r="821" spans="1:24" x14ac:dyDescent="0.2">
      <c r="A821" s="33" t="s">
        <v>31</v>
      </c>
      <c r="B821" s="33" t="s">
        <v>3451</v>
      </c>
      <c r="C821" s="33" t="s">
        <v>3452</v>
      </c>
      <c r="D821" s="33">
        <f t="shared" si="12"/>
        <v>-1</v>
      </c>
      <c r="E821" s="33" t="s">
        <v>34</v>
      </c>
      <c r="F821" s="33" t="s">
        <v>3449</v>
      </c>
      <c r="G821" s="33" t="s">
        <v>3453</v>
      </c>
      <c r="H821" s="33" t="s">
        <v>37</v>
      </c>
      <c r="I821" s="33" t="s">
        <v>38</v>
      </c>
      <c r="J821" s="33" t="s">
        <v>658</v>
      </c>
      <c r="K821" s="33" t="s">
        <v>659</v>
      </c>
      <c r="L821" s="33">
        <v>40660</v>
      </c>
      <c r="M821" s="33">
        <v>0</v>
      </c>
      <c r="N821" s="33">
        <v>0</v>
      </c>
      <c r="O821" s="33">
        <v>254660</v>
      </c>
      <c r="P821" s="33" t="s">
        <v>41</v>
      </c>
      <c r="Q821" s="33" t="s">
        <v>42</v>
      </c>
      <c r="W821" s="33" t="s">
        <v>161</v>
      </c>
      <c r="X821" s="1" t="s">
        <v>226</v>
      </c>
    </row>
    <row r="822" spans="1:24" x14ac:dyDescent="0.2">
      <c r="A822" s="29" t="s">
        <v>31</v>
      </c>
      <c r="B822" s="29" t="s">
        <v>3454</v>
      </c>
      <c r="C822" s="29" t="s">
        <v>3455</v>
      </c>
      <c r="D822" s="29">
        <f t="shared" si="12"/>
        <v>-1</v>
      </c>
      <c r="E822" s="29" t="s">
        <v>34</v>
      </c>
      <c r="F822" s="29" t="s">
        <v>3449</v>
      </c>
      <c r="G822" s="29" t="s">
        <v>3456</v>
      </c>
      <c r="H822" s="29" t="s">
        <v>37</v>
      </c>
      <c r="I822" s="29" t="s">
        <v>38</v>
      </c>
      <c r="J822" s="29" t="s">
        <v>143</v>
      </c>
      <c r="K822" s="29" t="s">
        <v>144</v>
      </c>
      <c r="L822" s="29">
        <v>78553.600000000006</v>
      </c>
      <c r="M822" s="29">
        <v>0</v>
      </c>
      <c r="N822" s="29">
        <v>0</v>
      </c>
      <c r="O822" s="29">
        <v>491993.59999999998</v>
      </c>
      <c r="P822" s="29" t="s">
        <v>41</v>
      </c>
      <c r="Q822" s="29" t="s">
        <v>42</v>
      </c>
      <c r="T822" s="1" t="s">
        <v>161</v>
      </c>
    </row>
    <row r="823" spans="1:24" x14ac:dyDescent="0.2">
      <c r="A823" s="30" t="s">
        <v>31</v>
      </c>
      <c r="B823" s="30" t="s">
        <v>3457</v>
      </c>
      <c r="C823" s="30" t="s">
        <v>3458</v>
      </c>
      <c r="D823" s="30">
        <f t="shared" si="12"/>
        <v>-1</v>
      </c>
      <c r="E823" s="30" t="s">
        <v>34</v>
      </c>
      <c r="F823" s="30" t="s">
        <v>3449</v>
      </c>
      <c r="G823" s="30" t="s">
        <v>3459</v>
      </c>
      <c r="H823" s="30" t="s">
        <v>37</v>
      </c>
      <c r="I823" s="30" t="s">
        <v>38</v>
      </c>
      <c r="J823" s="30" t="s">
        <v>143</v>
      </c>
      <c r="K823" s="30" t="s">
        <v>144</v>
      </c>
      <c r="L823" s="30">
        <v>39276.800000000003</v>
      </c>
      <c r="M823" s="30">
        <v>0</v>
      </c>
      <c r="N823" s="30">
        <v>0</v>
      </c>
      <c r="O823" s="30">
        <v>245996.79999999999</v>
      </c>
      <c r="P823" s="30" t="s">
        <v>41</v>
      </c>
      <c r="Q823" s="30" t="s">
        <v>42</v>
      </c>
      <c r="S823" s="1" t="s">
        <v>161</v>
      </c>
    </row>
    <row r="824" spans="1:24" x14ac:dyDescent="0.2">
      <c r="A824" s="29" t="s">
        <v>31</v>
      </c>
      <c r="B824" s="29" t="s">
        <v>3460</v>
      </c>
      <c r="C824" s="29" t="s">
        <v>3461</v>
      </c>
      <c r="D824" s="29">
        <f t="shared" si="12"/>
        <v>-1</v>
      </c>
      <c r="E824" s="29" t="s">
        <v>34</v>
      </c>
      <c r="F824" s="29" t="s">
        <v>3449</v>
      </c>
      <c r="G824" s="29" t="s">
        <v>3462</v>
      </c>
      <c r="H824" s="29" t="s">
        <v>37</v>
      </c>
      <c r="I824" s="29" t="s">
        <v>38</v>
      </c>
      <c r="J824" s="29" t="s">
        <v>112</v>
      </c>
      <c r="K824" s="29" t="s">
        <v>113</v>
      </c>
      <c r="L824" s="29">
        <v>39276.800000000003</v>
      </c>
      <c r="M824" s="29">
        <v>0</v>
      </c>
      <c r="N824" s="29">
        <v>0</v>
      </c>
      <c r="O824" s="29">
        <v>245996.79999999999</v>
      </c>
      <c r="P824" s="29" t="s">
        <v>41</v>
      </c>
      <c r="Q824" s="29" t="s">
        <v>42</v>
      </c>
      <c r="T824" s="1" t="s">
        <v>161</v>
      </c>
    </row>
    <row r="825" spans="1:24" x14ac:dyDescent="0.2">
      <c r="A825" s="29" t="s">
        <v>31</v>
      </c>
      <c r="B825" s="29" t="s">
        <v>3463</v>
      </c>
      <c r="C825" s="29" t="s">
        <v>3464</v>
      </c>
      <c r="D825" s="29">
        <f t="shared" si="12"/>
        <v>-1</v>
      </c>
      <c r="E825" s="29" t="s">
        <v>34</v>
      </c>
      <c r="F825" s="29" t="s">
        <v>3449</v>
      </c>
      <c r="G825" s="29" t="s">
        <v>3465</v>
      </c>
      <c r="H825" s="29" t="s">
        <v>37</v>
      </c>
      <c r="I825" s="29" t="s">
        <v>38</v>
      </c>
      <c r="J825" s="29" t="s">
        <v>112</v>
      </c>
      <c r="K825" s="29" t="s">
        <v>113</v>
      </c>
      <c r="L825" s="29">
        <v>39276.800000000003</v>
      </c>
      <c r="M825" s="29">
        <v>0</v>
      </c>
      <c r="N825" s="29">
        <v>0</v>
      </c>
      <c r="O825" s="29">
        <v>245996.79999999999</v>
      </c>
      <c r="P825" s="29" t="s">
        <v>41</v>
      </c>
      <c r="Q825" s="29" t="s">
        <v>42</v>
      </c>
      <c r="T825" s="1" t="s">
        <v>161</v>
      </c>
    </row>
    <row r="826" spans="1:24" x14ac:dyDescent="0.2">
      <c r="A826" s="1" t="s">
        <v>31</v>
      </c>
      <c r="B826" s="1" t="s">
        <v>3466</v>
      </c>
      <c r="C826" s="1" t="s">
        <v>3467</v>
      </c>
      <c r="D826" s="1">
        <f t="shared" si="12"/>
        <v>-1</v>
      </c>
      <c r="E826" s="1" t="s">
        <v>34</v>
      </c>
      <c r="F826" s="1" t="s">
        <v>3449</v>
      </c>
      <c r="G826" s="1" t="s">
        <v>3468</v>
      </c>
      <c r="H826" s="1" t="s">
        <v>37</v>
      </c>
      <c r="I826" s="1" t="s">
        <v>38</v>
      </c>
      <c r="J826" s="1" t="s">
        <v>205</v>
      </c>
      <c r="K826" s="1" t="s">
        <v>206</v>
      </c>
      <c r="L826" s="1">
        <v>152000</v>
      </c>
      <c r="M826" s="1">
        <v>0</v>
      </c>
      <c r="N826" s="1">
        <v>0</v>
      </c>
      <c r="O826" s="1">
        <v>952000</v>
      </c>
      <c r="P826" s="1" t="s">
        <v>41</v>
      </c>
      <c r="Q826" s="1" t="s">
        <v>42</v>
      </c>
      <c r="V826" s="1" t="s">
        <v>161</v>
      </c>
    </row>
    <row r="827" spans="1:24" x14ac:dyDescent="0.2">
      <c r="A827" s="33" t="s">
        <v>31</v>
      </c>
      <c r="B827" s="33" t="s">
        <v>3469</v>
      </c>
      <c r="C827" s="33" t="s">
        <v>3470</v>
      </c>
      <c r="D827" s="33">
        <f t="shared" si="12"/>
        <v>-1</v>
      </c>
      <c r="E827" s="33" t="s">
        <v>34</v>
      </c>
      <c r="F827" s="33" t="s">
        <v>3449</v>
      </c>
      <c r="G827" s="33" t="s">
        <v>3471</v>
      </c>
      <c r="H827" s="33" t="s">
        <v>37</v>
      </c>
      <c r="I827" s="33" t="s">
        <v>38</v>
      </c>
      <c r="J827" s="33" t="s">
        <v>1160</v>
      </c>
      <c r="K827" s="33" t="s">
        <v>1161</v>
      </c>
      <c r="L827" s="33">
        <v>735300</v>
      </c>
      <c r="M827" s="33">
        <v>0</v>
      </c>
      <c r="N827" s="33">
        <v>0</v>
      </c>
      <c r="O827" s="33">
        <v>4605300</v>
      </c>
      <c r="P827" s="33" t="s">
        <v>41</v>
      </c>
      <c r="Q827" s="33" t="s">
        <v>42</v>
      </c>
      <c r="W827" s="33" t="s">
        <v>43</v>
      </c>
      <c r="X827" s="1" t="s">
        <v>173</v>
      </c>
    </row>
    <row r="828" spans="1:24" x14ac:dyDescent="0.2">
      <c r="A828" s="33" t="s">
        <v>31</v>
      </c>
      <c r="B828" s="33" t="s">
        <v>3472</v>
      </c>
      <c r="C828" s="33" t="s">
        <v>3473</v>
      </c>
      <c r="D828" s="33">
        <f t="shared" si="12"/>
        <v>-1</v>
      </c>
      <c r="E828" s="33" t="s">
        <v>34</v>
      </c>
      <c r="F828" s="33" t="s">
        <v>3449</v>
      </c>
      <c r="G828" s="33" t="s">
        <v>3474</v>
      </c>
      <c r="H828" s="33" t="s">
        <v>37</v>
      </c>
      <c r="I828" s="33" t="s">
        <v>38</v>
      </c>
      <c r="J828" s="33" t="s">
        <v>3086</v>
      </c>
      <c r="K828" s="33" t="s">
        <v>3087</v>
      </c>
      <c r="L828" s="33">
        <v>1442632</v>
      </c>
      <c r="M828" s="33">
        <v>0</v>
      </c>
      <c r="N828" s="33">
        <v>0</v>
      </c>
      <c r="O828" s="33">
        <v>9035432</v>
      </c>
      <c r="P828" s="33" t="s">
        <v>41</v>
      </c>
      <c r="Q828" s="33" t="s">
        <v>42</v>
      </c>
      <c r="W828" s="33" t="s">
        <v>43</v>
      </c>
      <c r="X828" s="1" t="s">
        <v>405</v>
      </c>
    </row>
    <row r="829" spans="1:24" x14ac:dyDescent="0.2">
      <c r="A829" s="33" t="s">
        <v>31</v>
      </c>
      <c r="B829" s="33" t="s">
        <v>3475</v>
      </c>
      <c r="C829" s="33" t="s">
        <v>3476</v>
      </c>
      <c r="D829" s="33">
        <f t="shared" si="12"/>
        <v>-1</v>
      </c>
      <c r="E829" s="33" t="s">
        <v>34</v>
      </c>
      <c r="F829" s="33" t="s">
        <v>3449</v>
      </c>
      <c r="G829" s="33" t="s">
        <v>3477</v>
      </c>
      <c r="H829" s="33" t="s">
        <v>37</v>
      </c>
      <c r="I829" s="33" t="s">
        <v>38</v>
      </c>
      <c r="J829" s="33" t="s">
        <v>3478</v>
      </c>
      <c r="K829" s="33" t="s">
        <v>3479</v>
      </c>
      <c r="L829" s="33">
        <v>56145</v>
      </c>
      <c r="M829" s="33">
        <v>0</v>
      </c>
      <c r="N829" s="33">
        <v>0</v>
      </c>
      <c r="O829" s="33">
        <v>351645</v>
      </c>
      <c r="P829" s="33" t="s">
        <v>41</v>
      </c>
      <c r="Q829" s="33" t="s">
        <v>42</v>
      </c>
      <c r="W829" s="33" t="s">
        <v>43</v>
      </c>
      <c r="X829" s="1" t="s">
        <v>2184</v>
      </c>
    </row>
    <row r="830" spans="1:24" x14ac:dyDescent="0.2">
      <c r="A830" s="28" t="s">
        <v>31</v>
      </c>
      <c r="B830" s="28" t="s">
        <v>3480</v>
      </c>
      <c r="C830" s="28" t="s">
        <v>3481</v>
      </c>
      <c r="D830" s="28">
        <f t="shared" si="12"/>
        <v>-1</v>
      </c>
      <c r="E830" s="28" t="s">
        <v>34</v>
      </c>
      <c r="F830" s="28" t="s">
        <v>3449</v>
      </c>
      <c r="G830" s="28" t="s">
        <v>3482</v>
      </c>
      <c r="H830" s="28" t="s">
        <v>37</v>
      </c>
      <c r="I830" s="28" t="s">
        <v>38</v>
      </c>
      <c r="J830" s="28" t="s">
        <v>3483</v>
      </c>
      <c r="K830" s="28" t="s">
        <v>3484</v>
      </c>
      <c r="L830" s="28">
        <v>195700</v>
      </c>
      <c r="M830" s="28">
        <v>0</v>
      </c>
      <c r="N830" s="28">
        <v>0</v>
      </c>
      <c r="O830" s="28">
        <v>1225700</v>
      </c>
      <c r="P830" s="28" t="s">
        <v>41</v>
      </c>
      <c r="Q830" s="28" t="s">
        <v>42</v>
      </c>
      <c r="R830" s="1" t="s">
        <v>161</v>
      </c>
    </row>
    <row r="831" spans="1:24" x14ac:dyDescent="0.2">
      <c r="A831" s="1" t="s">
        <v>31</v>
      </c>
      <c r="B831" s="1" t="s">
        <v>3485</v>
      </c>
      <c r="C831" s="1" t="s">
        <v>3486</v>
      </c>
      <c r="D831" s="1">
        <f t="shared" si="12"/>
        <v>-1</v>
      </c>
      <c r="E831" s="1" t="s">
        <v>34</v>
      </c>
      <c r="F831" s="1" t="s">
        <v>3449</v>
      </c>
      <c r="G831" s="1" t="s">
        <v>3487</v>
      </c>
      <c r="H831" s="1" t="s">
        <v>37</v>
      </c>
      <c r="I831" s="1" t="s">
        <v>38</v>
      </c>
      <c r="J831" s="1" t="s">
        <v>3488</v>
      </c>
      <c r="K831" s="1" t="s">
        <v>3489</v>
      </c>
      <c r="L831" s="1">
        <v>16150</v>
      </c>
      <c r="M831" s="1">
        <v>0</v>
      </c>
      <c r="N831" s="1">
        <v>0</v>
      </c>
      <c r="O831" s="1">
        <v>101150</v>
      </c>
      <c r="P831" s="1" t="s">
        <v>41</v>
      </c>
      <c r="Q831" s="1" t="s">
        <v>42</v>
      </c>
      <c r="V831" s="1" t="s">
        <v>161</v>
      </c>
    </row>
    <row r="832" spans="1:24" x14ac:dyDescent="0.2">
      <c r="A832" s="1" t="s">
        <v>31</v>
      </c>
      <c r="B832" s="1" t="s">
        <v>3490</v>
      </c>
      <c r="C832" s="1" t="s">
        <v>3491</v>
      </c>
      <c r="D832" s="1">
        <f t="shared" si="12"/>
        <v>-1</v>
      </c>
      <c r="E832" s="1" t="s">
        <v>34</v>
      </c>
      <c r="F832" s="1" t="s">
        <v>3449</v>
      </c>
      <c r="G832" s="1" t="s">
        <v>3492</v>
      </c>
      <c r="H832" s="1" t="s">
        <v>37</v>
      </c>
      <c r="I832" s="1" t="s">
        <v>38</v>
      </c>
      <c r="J832" s="1" t="s">
        <v>3138</v>
      </c>
      <c r="K832" s="1" t="s">
        <v>3139</v>
      </c>
      <c r="L832" s="1">
        <v>64134.5</v>
      </c>
      <c r="M832" s="1">
        <v>0</v>
      </c>
      <c r="N832" s="1">
        <v>0</v>
      </c>
      <c r="O832" s="1">
        <v>401684.5</v>
      </c>
      <c r="P832" s="1" t="s">
        <v>41</v>
      </c>
      <c r="Q832" s="1" t="s">
        <v>42</v>
      </c>
      <c r="V832" s="1" t="s">
        <v>161</v>
      </c>
    </row>
    <row r="833" spans="1:24" x14ac:dyDescent="0.2">
      <c r="A833" s="33" t="s">
        <v>31</v>
      </c>
      <c r="B833" s="33" t="s">
        <v>3493</v>
      </c>
      <c r="C833" s="33" t="s">
        <v>3494</v>
      </c>
      <c r="D833" s="33">
        <f t="shared" si="12"/>
        <v>-1</v>
      </c>
      <c r="E833" s="33" t="s">
        <v>34</v>
      </c>
      <c r="F833" s="33" t="s">
        <v>3449</v>
      </c>
      <c r="G833" s="33" t="s">
        <v>3495</v>
      </c>
      <c r="H833" s="33" t="s">
        <v>37</v>
      </c>
      <c r="I833" s="33" t="s">
        <v>38</v>
      </c>
      <c r="J833" s="33" t="s">
        <v>2802</v>
      </c>
      <c r="K833" s="33" t="s">
        <v>2803</v>
      </c>
      <c r="L833" s="33">
        <v>124091.85</v>
      </c>
      <c r="M833" s="33">
        <v>0</v>
      </c>
      <c r="N833" s="33">
        <v>0</v>
      </c>
      <c r="O833" s="33">
        <v>777206.85</v>
      </c>
      <c r="P833" s="33" t="s">
        <v>41</v>
      </c>
      <c r="Q833" s="33" t="s">
        <v>42</v>
      </c>
      <c r="W833" s="33" t="s">
        <v>161</v>
      </c>
      <c r="X833" s="1" t="s">
        <v>742</v>
      </c>
    </row>
    <row r="834" spans="1:24" x14ac:dyDescent="0.2">
      <c r="A834" s="33" t="s">
        <v>31</v>
      </c>
      <c r="B834" s="33" t="s">
        <v>3496</v>
      </c>
      <c r="C834" s="33" t="s">
        <v>3497</v>
      </c>
      <c r="D834" s="33">
        <f t="shared" si="12"/>
        <v>-1</v>
      </c>
      <c r="E834" s="33" t="s">
        <v>34</v>
      </c>
      <c r="F834" s="33" t="s">
        <v>3449</v>
      </c>
      <c r="G834" s="33" t="s">
        <v>3498</v>
      </c>
      <c r="H834" s="33" t="s">
        <v>37</v>
      </c>
      <c r="I834" s="33" t="s">
        <v>38</v>
      </c>
      <c r="J834" s="33" t="s">
        <v>3432</v>
      </c>
      <c r="K834" s="33" t="s">
        <v>3433</v>
      </c>
      <c r="L834" s="33">
        <v>53326.5</v>
      </c>
      <c r="M834" s="33">
        <v>0</v>
      </c>
      <c r="N834" s="33">
        <v>0</v>
      </c>
      <c r="O834" s="33">
        <v>471376.5</v>
      </c>
      <c r="P834" s="33" t="s">
        <v>41</v>
      </c>
      <c r="Q834" s="33" t="s">
        <v>42</v>
      </c>
      <c r="W834" s="33" t="s">
        <v>161</v>
      </c>
      <c r="X834" s="1" t="s">
        <v>129</v>
      </c>
    </row>
    <row r="835" spans="1:24" x14ac:dyDescent="0.2">
      <c r="A835" s="33" t="s">
        <v>31</v>
      </c>
      <c r="B835" s="33" t="s">
        <v>3499</v>
      </c>
      <c r="C835" s="33" t="s">
        <v>3500</v>
      </c>
      <c r="D835" s="33">
        <f t="shared" si="12"/>
        <v>-1</v>
      </c>
      <c r="E835" s="33" t="s">
        <v>34</v>
      </c>
      <c r="F835" s="33" t="s">
        <v>3449</v>
      </c>
      <c r="G835" s="33" t="s">
        <v>3501</v>
      </c>
      <c r="H835" s="33" t="s">
        <v>37</v>
      </c>
      <c r="I835" s="33" t="s">
        <v>38</v>
      </c>
      <c r="J835" s="33" t="s">
        <v>3432</v>
      </c>
      <c r="K835" s="33" t="s">
        <v>3433</v>
      </c>
      <c r="L835" s="33">
        <v>40628</v>
      </c>
      <c r="M835" s="33">
        <v>0</v>
      </c>
      <c r="N835" s="33">
        <v>0</v>
      </c>
      <c r="O835" s="33">
        <v>354928</v>
      </c>
      <c r="P835" s="33" t="s">
        <v>41</v>
      </c>
      <c r="Q835" s="33" t="s">
        <v>42</v>
      </c>
      <c r="W835" s="33" t="s">
        <v>161</v>
      </c>
      <c r="X835" s="1" t="s">
        <v>129</v>
      </c>
    </row>
    <row r="836" spans="1:24" x14ac:dyDescent="0.2">
      <c r="A836" s="1" t="s">
        <v>31</v>
      </c>
      <c r="B836" s="1" t="s">
        <v>3502</v>
      </c>
      <c r="C836" s="1" t="s">
        <v>3503</v>
      </c>
      <c r="D836" s="1">
        <f t="shared" si="12"/>
        <v>-1</v>
      </c>
      <c r="E836" s="1" t="s">
        <v>34</v>
      </c>
      <c r="F836" s="1" t="s">
        <v>3449</v>
      </c>
      <c r="G836" s="1" t="s">
        <v>3504</v>
      </c>
      <c r="H836" s="1" t="s">
        <v>37</v>
      </c>
      <c r="I836" s="1" t="s">
        <v>38</v>
      </c>
      <c r="J836" s="1" t="s">
        <v>3505</v>
      </c>
      <c r="K836" s="1" t="s">
        <v>3506</v>
      </c>
      <c r="L836" s="1">
        <v>68770.7</v>
      </c>
      <c r="M836" s="1">
        <v>0</v>
      </c>
      <c r="N836" s="1">
        <v>0</v>
      </c>
      <c r="O836" s="1">
        <v>616700.69999999995</v>
      </c>
      <c r="P836" s="1" t="s">
        <v>41</v>
      </c>
      <c r="Q836" s="1" t="s">
        <v>42</v>
      </c>
      <c r="V836" s="1" t="s">
        <v>161</v>
      </c>
    </row>
    <row r="837" spans="1:24" x14ac:dyDescent="0.2">
      <c r="A837" s="29" t="s">
        <v>31</v>
      </c>
      <c r="B837" s="29" t="s">
        <v>3507</v>
      </c>
      <c r="C837" s="29" t="s">
        <v>3508</v>
      </c>
      <c r="D837" s="29">
        <f t="shared" si="12"/>
        <v>-1</v>
      </c>
      <c r="E837" s="29" t="s">
        <v>34</v>
      </c>
      <c r="F837" s="29" t="s">
        <v>3449</v>
      </c>
      <c r="G837" s="29" t="s">
        <v>3509</v>
      </c>
      <c r="H837" s="29" t="s">
        <v>37</v>
      </c>
      <c r="I837" s="29" t="s">
        <v>38</v>
      </c>
      <c r="J837" s="29" t="s">
        <v>235</v>
      </c>
      <c r="K837" s="29" t="s">
        <v>236</v>
      </c>
      <c r="L837" s="29">
        <v>52163.6</v>
      </c>
      <c r="M837" s="29">
        <v>0</v>
      </c>
      <c r="N837" s="29">
        <v>0</v>
      </c>
      <c r="O837" s="29">
        <v>376983.6</v>
      </c>
      <c r="P837" s="29" t="s">
        <v>41</v>
      </c>
      <c r="Q837" s="29" t="s">
        <v>42</v>
      </c>
      <c r="T837" s="1" t="s">
        <v>161</v>
      </c>
    </row>
    <row r="838" spans="1:24" x14ac:dyDescent="0.2">
      <c r="A838" s="29" t="s">
        <v>31</v>
      </c>
      <c r="B838" s="29" t="s">
        <v>3510</v>
      </c>
      <c r="C838" s="29" t="s">
        <v>3511</v>
      </c>
      <c r="D838" s="29">
        <f t="shared" si="12"/>
        <v>-1</v>
      </c>
      <c r="E838" s="29" t="s">
        <v>34</v>
      </c>
      <c r="F838" s="29" t="s">
        <v>3449</v>
      </c>
      <c r="G838" s="29" t="s">
        <v>3512</v>
      </c>
      <c r="H838" s="29" t="s">
        <v>37</v>
      </c>
      <c r="I838" s="29" t="s">
        <v>38</v>
      </c>
      <c r="J838" s="29" t="s">
        <v>235</v>
      </c>
      <c r="K838" s="29" t="s">
        <v>236</v>
      </c>
      <c r="L838" s="29">
        <v>57044.08</v>
      </c>
      <c r="M838" s="29">
        <v>0</v>
      </c>
      <c r="N838" s="29">
        <v>0</v>
      </c>
      <c r="O838" s="29">
        <v>357276.08</v>
      </c>
      <c r="P838" s="29" t="s">
        <v>41</v>
      </c>
      <c r="Q838" s="29" t="s">
        <v>42</v>
      </c>
      <c r="T838" s="1" t="s">
        <v>161</v>
      </c>
    </row>
    <row r="839" spans="1:24" x14ac:dyDescent="0.2">
      <c r="A839" s="29" t="s">
        <v>31</v>
      </c>
      <c r="B839" s="29" t="s">
        <v>3513</v>
      </c>
      <c r="C839" s="29" t="s">
        <v>3514</v>
      </c>
      <c r="D839" s="29">
        <f t="shared" si="12"/>
        <v>-1</v>
      </c>
      <c r="E839" s="29" t="s">
        <v>34</v>
      </c>
      <c r="F839" s="29" t="s">
        <v>3449</v>
      </c>
      <c r="G839" s="29" t="s">
        <v>3515</v>
      </c>
      <c r="H839" s="29" t="s">
        <v>37</v>
      </c>
      <c r="I839" s="29" t="s">
        <v>38</v>
      </c>
      <c r="J839" s="29" t="s">
        <v>235</v>
      </c>
      <c r="K839" s="29" t="s">
        <v>236</v>
      </c>
      <c r="L839" s="29">
        <v>39407.9</v>
      </c>
      <c r="M839" s="29">
        <v>0</v>
      </c>
      <c r="N839" s="29">
        <v>0</v>
      </c>
      <c r="O839" s="29">
        <v>246817.9</v>
      </c>
      <c r="P839" s="29" t="s">
        <v>41</v>
      </c>
      <c r="Q839" s="29" t="s">
        <v>42</v>
      </c>
      <c r="T839" s="1" t="s">
        <v>161</v>
      </c>
    </row>
    <row r="840" spans="1:24" x14ac:dyDescent="0.2">
      <c r="A840" s="29" t="s">
        <v>31</v>
      </c>
      <c r="B840" s="29" t="s">
        <v>3516</v>
      </c>
      <c r="C840" s="29" t="s">
        <v>3517</v>
      </c>
      <c r="D840" s="29">
        <f t="shared" si="12"/>
        <v>-1</v>
      </c>
      <c r="E840" s="29" t="s">
        <v>34</v>
      </c>
      <c r="F840" s="29" t="s">
        <v>3449</v>
      </c>
      <c r="G840" s="29" t="s">
        <v>3518</v>
      </c>
      <c r="H840" s="29" t="s">
        <v>37</v>
      </c>
      <c r="I840" s="29" t="s">
        <v>38</v>
      </c>
      <c r="J840" s="29" t="s">
        <v>235</v>
      </c>
      <c r="K840" s="29" t="s">
        <v>236</v>
      </c>
      <c r="L840" s="29">
        <v>86475</v>
      </c>
      <c r="M840" s="29">
        <v>0</v>
      </c>
      <c r="N840" s="29">
        <v>0</v>
      </c>
      <c r="O840" s="29">
        <v>554295</v>
      </c>
      <c r="P840" s="29" t="s">
        <v>41</v>
      </c>
      <c r="Q840" s="29" t="s">
        <v>42</v>
      </c>
      <c r="T840" s="1" t="s">
        <v>161</v>
      </c>
    </row>
    <row r="841" spans="1:24" x14ac:dyDescent="0.2">
      <c r="A841" s="29" t="s">
        <v>31</v>
      </c>
      <c r="B841" s="29" t="s">
        <v>3519</v>
      </c>
      <c r="C841" s="29" t="s">
        <v>3520</v>
      </c>
      <c r="D841" s="29">
        <f t="shared" si="12"/>
        <v>-1</v>
      </c>
      <c r="E841" s="29" t="s">
        <v>34</v>
      </c>
      <c r="F841" s="29" t="s">
        <v>3449</v>
      </c>
      <c r="G841" s="29" t="s">
        <v>3521</v>
      </c>
      <c r="H841" s="29" t="s">
        <v>37</v>
      </c>
      <c r="I841" s="29" t="s">
        <v>38</v>
      </c>
      <c r="J841" s="29" t="s">
        <v>235</v>
      </c>
      <c r="K841" s="29" t="s">
        <v>236</v>
      </c>
      <c r="L841" s="29">
        <v>51974.7</v>
      </c>
      <c r="M841" s="29">
        <v>0</v>
      </c>
      <c r="N841" s="29">
        <v>0</v>
      </c>
      <c r="O841" s="29">
        <v>382144.7</v>
      </c>
      <c r="P841" s="29" t="s">
        <v>41</v>
      </c>
      <c r="Q841" s="29" t="s">
        <v>42</v>
      </c>
      <c r="T841" s="1" t="s">
        <v>161</v>
      </c>
    </row>
    <row r="842" spans="1:24" x14ac:dyDescent="0.2">
      <c r="A842" s="1" t="s">
        <v>31</v>
      </c>
      <c r="B842" s="1" t="s">
        <v>3522</v>
      </c>
      <c r="C842" s="1" t="s">
        <v>3523</v>
      </c>
      <c r="D842" s="1">
        <f t="shared" si="12"/>
        <v>-1</v>
      </c>
      <c r="E842" s="1" t="s">
        <v>34</v>
      </c>
      <c r="F842" s="1" t="s">
        <v>3449</v>
      </c>
      <c r="G842" s="1" t="s">
        <v>3524</v>
      </c>
      <c r="H842" s="1" t="s">
        <v>37</v>
      </c>
      <c r="I842" s="1" t="s">
        <v>38</v>
      </c>
      <c r="J842" s="1" t="s">
        <v>1972</v>
      </c>
      <c r="K842" s="1" t="s">
        <v>1973</v>
      </c>
      <c r="L842" s="1">
        <v>87400</v>
      </c>
      <c r="M842" s="1">
        <v>0</v>
      </c>
      <c r="N842" s="1">
        <v>0</v>
      </c>
      <c r="O842" s="1">
        <v>547400</v>
      </c>
      <c r="P842" s="1" t="s">
        <v>41</v>
      </c>
      <c r="Q842" s="1" t="s">
        <v>42</v>
      </c>
      <c r="V842" s="1" t="s">
        <v>161</v>
      </c>
    </row>
    <row r="843" spans="1:24" x14ac:dyDescent="0.2">
      <c r="A843" s="29" t="s">
        <v>31</v>
      </c>
      <c r="B843" s="29" t="s">
        <v>3525</v>
      </c>
      <c r="C843" s="29" t="s">
        <v>3526</v>
      </c>
      <c r="D843" s="29">
        <f t="shared" ref="D843:D906" si="13">C843-C844</f>
        <v>-1</v>
      </c>
      <c r="E843" s="29" t="s">
        <v>34</v>
      </c>
      <c r="F843" s="29" t="s">
        <v>3449</v>
      </c>
      <c r="G843" s="29" t="s">
        <v>3527</v>
      </c>
      <c r="H843" s="29" t="s">
        <v>37</v>
      </c>
      <c r="I843" s="29" t="s">
        <v>38</v>
      </c>
      <c r="J843" s="29" t="s">
        <v>1368</v>
      </c>
      <c r="K843" s="29" t="s">
        <v>1369</v>
      </c>
      <c r="L843" s="29">
        <v>125970</v>
      </c>
      <c r="M843" s="29">
        <v>0</v>
      </c>
      <c r="N843" s="29">
        <v>0</v>
      </c>
      <c r="O843" s="29">
        <v>788970</v>
      </c>
      <c r="P843" s="29" t="s">
        <v>41</v>
      </c>
      <c r="Q843" s="29" t="s">
        <v>42</v>
      </c>
      <c r="T843" s="1" t="s">
        <v>161</v>
      </c>
    </row>
    <row r="844" spans="1:24" x14ac:dyDescent="0.2">
      <c r="A844" s="29" t="s">
        <v>31</v>
      </c>
      <c r="B844" s="29" t="s">
        <v>3528</v>
      </c>
      <c r="C844" s="29" t="s">
        <v>3529</v>
      </c>
      <c r="D844" s="29">
        <f t="shared" si="13"/>
        <v>-1</v>
      </c>
      <c r="E844" s="29" t="s">
        <v>34</v>
      </c>
      <c r="F844" s="29" t="s">
        <v>3449</v>
      </c>
      <c r="G844" s="29" t="s">
        <v>3530</v>
      </c>
      <c r="H844" s="29" t="s">
        <v>37</v>
      </c>
      <c r="I844" s="29" t="s">
        <v>38</v>
      </c>
      <c r="J844" s="29" t="s">
        <v>1368</v>
      </c>
      <c r="K844" s="29" t="s">
        <v>1369</v>
      </c>
      <c r="L844" s="29">
        <v>35549</v>
      </c>
      <c r="M844" s="29">
        <v>0</v>
      </c>
      <c r="N844" s="29">
        <v>0</v>
      </c>
      <c r="O844" s="29">
        <v>222649</v>
      </c>
      <c r="P844" s="29" t="s">
        <v>41</v>
      </c>
      <c r="Q844" s="29" t="s">
        <v>42</v>
      </c>
      <c r="T844" s="1" t="s">
        <v>161</v>
      </c>
    </row>
    <row r="845" spans="1:24" x14ac:dyDescent="0.2">
      <c r="A845" s="33" t="s">
        <v>31</v>
      </c>
      <c r="B845" s="33" t="s">
        <v>3531</v>
      </c>
      <c r="C845" s="33" t="s">
        <v>3532</v>
      </c>
      <c r="D845" s="33">
        <f t="shared" si="13"/>
        <v>-1</v>
      </c>
      <c r="E845" s="33" t="s">
        <v>34</v>
      </c>
      <c r="F845" s="33" t="s">
        <v>3449</v>
      </c>
      <c r="G845" s="33" t="s">
        <v>3533</v>
      </c>
      <c r="H845" s="33" t="s">
        <v>37</v>
      </c>
      <c r="I845" s="33" t="s">
        <v>38</v>
      </c>
      <c r="J845" s="33" t="s">
        <v>421</v>
      </c>
      <c r="K845" s="33" t="s">
        <v>422</v>
      </c>
      <c r="L845" s="33">
        <v>689643</v>
      </c>
      <c r="M845" s="33">
        <v>0</v>
      </c>
      <c r="N845" s="33">
        <v>0</v>
      </c>
      <c r="O845" s="33">
        <v>4319343</v>
      </c>
      <c r="P845" s="33" t="s">
        <v>41</v>
      </c>
      <c r="Q845" s="33" t="s">
        <v>42</v>
      </c>
      <c r="W845" s="33" t="s">
        <v>161</v>
      </c>
      <c r="X845" s="1" t="s">
        <v>2004</v>
      </c>
    </row>
    <row r="846" spans="1:24" x14ac:dyDescent="0.2">
      <c r="A846" s="28" t="s">
        <v>31</v>
      </c>
      <c r="B846" s="28" t="s">
        <v>3534</v>
      </c>
      <c r="C846" s="28" t="s">
        <v>3535</v>
      </c>
      <c r="D846" s="28">
        <f t="shared" si="13"/>
        <v>-1</v>
      </c>
      <c r="E846" s="28" t="s">
        <v>34</v>
      </c>
      <c r="F846" s="28" t="s">
        <v>3449</v>
      </c>
      <c r="G846" s="28" t="s">
        <v>3536</v>
      </c>
      <c r="H846" s="28" t="s">
        <v>37</v>
      </c>
      <c r="I846" s="28" t="s">
        <v>38</v>
      </c>
      <c r="J846" s="28" t="s">
        <v>2469</v>
      </c>
      <c r="K846" s="28" t="s">
        <v>2470</v>
      </c>
      <c r="L846" s="28">
        <v>0</v>
      </c>
      <c r="M846" s="28">
        <v>0</v>
      </c>
      <c r="N846" s="28">
        <v>0</v>
      </c>
      <c r="O846" s="28">
        <v>7590000</v>
      </c>
      <c r="P846" s="28" t="s">
        <v>41</v>
      </c>
      <c r="Q846" s="28" t="s">
        <v>42</v>
      </c>
      <c r="R846" s="1" t="s">
        <v>161</v>
      </c>
    </row>
    <row r="847" spans="1:24" x14ac:dyDescent="0.2">
      <c r="A847" s="29" t="s">
        <v>31</v>
      </c>
      <c r="B847" s="29" t="s">
        <v>3537</v>
      </c>
      <c r="C847" s="29" t="s">
        <v>3538</v>
      </c>
      <c r="D847" s="29">
        <f t="shared" si="13"/>
        <v>-1</v>
      </c>
      <c r="E847" s="29" t="s">
        <v>34</v>
      </c>
      <c r="F847" s="29" t="s">
        <v>3449</v>
      </c>
      <c r="G847" s="29" t="s">
        <v>3539</v>
      </c>
      <c r="H847" s="29" t="s">
        <v>37</v>
      </c>
      <c r="I847" s="29" t="s">
        <v>38</v>
      </c>
      <c r="J847" s="29" t="s">
        <v>1639</v>
      </c>
      <c r="K847" s="29" t="s">
        <v>1640</v>
      </c>
      <c r="L847" s="29">
        <v>0</v>
      </c>
      <c r="M847" s="29">
        <v>0</v>
      </c>
      <c r="N847" s="29">
        <v>0</v>
      </c>
      <c r="O847" s="29">
        <v>3210000</v>
      </c>
      <c r="P847" s="29" t="s">
        <v>41</v>
      </c>
      <c r="Q847" s="29" t="s">
        <v>42</v>
      </c>
      <c r="T847" s="1" t="s">
        <v>161</v>
      </c>
    </row>
    <row r="848" spans="1:24" x14ac:dyDescent="0.2">
      <c r="A848" s="28" t="s">
        <v>31</v>
      </c>
      <c r="B848" s="28" t="s">
        <v>3540</v>
      </c>
      <c r="C848" s="28" t="s">
        <v>3541</v>
      </c>
      <c r="D848" s="28">
        <f t="shared" si="13"/>
        <v>-1</v>
      </c>
      <c r="E848" s="28" t="s">
        <v>34</v>
      </c>
      <c r="F848" s="28" t="s">
        <v>3449</v>
      </c>
      <c r="G848" s="28" t="s">
        <v>3542</v>
      </c>
      <c r="H848" s="28" t="s">
        <v>37</v>
      </c>
      <c r="I848" s="28" t="s">
        <v>38</v>
      </c>
      <c r="J848" s="28" t="s">
        <v>215</v>
      </c>
      <c r="K848" s="28" t="s">
        <v>216</v>
      </c>
      <c r="L848" s="28">
        <v>946200</v>
      </c>
      <c r="M848" s="28">
        <v>0</v>
      </c>
      <c r="N848" s="28">
        <v>0</v>
      </c>
      <c r="O848" s="28">
        <v>6783200</v>
      </c>
      <c r="P848" s="28" t="s">
        <v>41</v>
      </c>
      <c r="Q848" s="28" t="s">
        <v>42</v>
      </c>
      <c r="R848" s="1" t="s">
        <v>161</v>
      </c>
    </row>
    <row r="849" spans="1:24" x14ac:dyDescent="0.2">
      <c r="A849" s="33" t="s">
        <v>31</v>
      </c>
      <c r="B849" s="33" t="s">
        <v>3543</v>
      </c>
      <c r="C849" s="33" t="s">
        <v>3544</v>
      </c>
      <c r="D849" s="33">
        <f t="shared" si="13"/>
        <v>-1</v>
      </c>
      <c r="E849" s="33" t="s">
        <v>34</v>
      </c>
      <c r="F849" s="33" t="s">
        <v>3449</v>
      </c>
      <c r="G849" s="33" t="s">
        <v>3545</v>
      </c>
      <c r="H849" s="33" t="s">
        <v>37</v>
      </c>
      <c r="I849" s="33" t="s">
        <v>38</v>
      </c>
      <c r="J849" s="33" t="s">
        <v>3546</v>
      </c>
      <c r="K849" s="33" t="s">
        <v>3547</v>
      </c>
      <c r="L849" s="33">
        <v>96900</v>
      </c>
      <c r="M849" s="33">
        <v>0</v>
      </c>
      <c r="N849" s="33">
        <v>0</v>
      </c>
      <c r="O849" s="33">
        <v>606900</v>
      </c>
      <c r="P849" s="33" t="s">
        <v>41</v>
      </c>
      <c r="Q849" s="33" t="s">
        <v>42</v>
      </c>
      <c r="W849" s="33" t="s">
        <v>43</v>
      </c>
      <c r="X849" s="1" t="s">
        <v>622</v>
      </c>
    </row>
    <row r="850" spans="1:24" x14ac:dyDescent="0.2">
      <c r="A850" s="33" t="s">
        <v>31</v>
      </c>
      <c r="B850" s="33" t="s">
        <v>3548</v>
      </c>
      <c r="C850" s="33" t="s">
        <v>3549</v>
      </c>
      <c r="D850" s="33">
        <f t="shared" si="13"/>
        <v>-1</v>
      </c>
      <c r="E850" s="33" t="s">
        <v>34</v>
      </c>
      <c r="F850" s="33" t="s">
        <v>3449</v>
      </c>
      <c r="G850" s="33" t="s">
        <v>3550</v>
      </c>
      <c r="H850" s="33" t="s">
        <v>37</v>
      </c>
      <c r="I850" s="33" t="s">
        <v>38</v>
      </c>
      <c r="J850" s="33" t="s">
        <v>3551</v>
      </c>
      <c r="K850" s="33" t="s">
        <v>3552</v>
      </c>
      <c r="L850" s="33">
        <v>238477.6</v>
      </c>
      <c r="M850" s="33">
        <v>0</v>
      </c>
      <c r="N850" s="33">
        <v>0</v>
      </c>
      <c r="O850" s="33">
        <v>1493622.88</v>
      </c>
      <c r="P850" s="33" t="s">
        <v>41</v>
      </c>
      <c r="Q850" s="33" t="s">
        <v>42</v>
      </c>
      <c r="W850" s="33" t="s">
        <v>43</v>
      </c>
      <c r="X850" s="1" t="s">
        <v>173</v>
      </c>
    </row>
    <row r="851" spans="1:24" x14ac:dyDescent="0.2">
      <c r="A851" s="29" t="s">
        <v>31</v>
      </c>
      <c r="B851" s="29" t="s">
        <v>3553</v>
      </c>
      <c r="C851" s="29" t="s">
        <v>3554</v>
      </c>
      <c r="D851" s="29">
        <f t="shared" si="13"/>
        <v>-1</v>
      </c>
      <c r="E851" s="29" t="s">
        <v>34</v>
      </c>
      <c r="F851" s="29" t="s">
        <v>3449</v>
      </c>
      <c r="G851" s="29" t="s">
        <v>3555</v>
      </c>
      <c r="H851" s="29" t="s">
        <v>37</v>
      </c>
      <c r="I851" s="29" t="s">
        <v>38</v>
      </c>
      <c r="J851" s="29" t="s">
        <v>1639</v>
      </c>
      <c r="K851" s="29" t="s">
        <v>1640</v>
      </c>
      <c r="L851" s="29">
        <v>0</v>
      </c>
      <c r="M851" s="29">
        <v>0</v>
      </c>
      <c r="N851" s="29">
        <v>0</v>
      </c>
      <c r="O851" s="29">
        <v>535000</v>
      </c>
      <c r="P851" s="29" t="s">
        <v>41</v>
      </c>
      <c r="Q851" s="29" t="s">
        <v>42</v>
      </c>
      <c r="T851" s="1" t="s">
        <v>161</v>
      </c>
    </row>
    <row r="852" spans="1:24" x14ac:dyDescent="0.2">
      <c r="A852" s="28" t="s">
        <v>31</v>
      </c>
      <c r="B852" s="28" t="s">
        <v>3556</v>
      </c>
      <c r="C852" s="28" t="s">
        <v>3557</v>
      </c>
      <c r="D852" s="28">
        <f t="shared" si="13"/>
        <v>-1</v>
      </c>
      <c r="E852" s="28" t="s">
        <v>34</v>
      </c>
      <c r="F852" s="28" t="s">
        <v>3449</v>
      </c>
      <c r="G852" s="28" t="s">
        <v>3558</v>
      </c>
      <c r="H852" s="28" t="s">
        <v>37</v>
      </c>
      <c r="I852" s="28" t="s">
        <v>38</v>
      </c>
      <c r="J852" s="28" t="s">
        <v>304</v>
      </c>
      <c r="K852" s="28" t="s">
        <v>305</v>
      </c>
      <c r="L852" s="28">
        <v>324761.3</v>
      </c>
      <c r="M852" s="28">
        <v>0</v>
      </c>
      <c r="N852" s="28">
        <v>0</v>
      </c>
      <c r="O852" s="28">
        <v>2034031.3</v>
      </c>
      <c r="P852" s="28" t="s">
        <v>41</v>
      </c>
      <c r="Q852" s="28" t="s">
        <v>42</v>
      </c>
      <c r="R852" s="1" t="s">
        <v>161</v>
      </c>
    </row>
    <row r="853" spans="1:24" x14ac:dyDescent="0.2">
      <c r="A853" s="33" t="s">
        <v>31</v>
      </c>
      <c r="B853" s="33" t="s">
        <v>3559</v>
      </c>
      <c r="C853" s="33" t="s">
        <v>3560</v>
      </c>
      <c r="D853" s="33">
        <f t="shared" si="13"/>
        <v>-1</v>
      </c>
      <c r="E853" s="33" t="s">
        <v>34</v>
      </c>
      <c r="F853" s="33" t="s">
        <v>3449</v>
      </c>
      <c r="G853" s="33" t="s">
        <v>3561</v>
      </c>
      <c r="H853" s="33" t="s">
        <v>37</v>
      </c>
      <c r="I853" s="33" t="s">
        <v>38</v>
      </c>
      <c r="J853" s="33" t="s">
        <v>3562</v>
      </c>
      <c r="K853" s="33" t="s">
        <v>3563</v>
      </c>
      <c r="L853" s="33">
        <v>63753.55</v>
      </c>
      <c r="M853" s="33">
        <v>0</v>
      </c>
      <c r="N853" s="33">
        <v>0</v>
      </c>
      <c r="O853" s="33">
        <v>399298.55</v>
      </c>
      <c r="P853" s="33" t="s">
        <v>41</v>
      </c>
      <c r="Q853" s="33" t="s">
        <v>42</v>
      </c>
      <c r="W853" s="33" t="s">
        <v>43</v>
      </c>
      <c r="X853" s="1" t="s">
        <v>2919</v>
      </c>
    </row>
    <row r="854" spans="1:24" x14ac:dyDescent="0.2">
      <c r="A854" s="33" t="s">
        <v>31</v>
      </c>
      <c r="B854" s="33" t="s">
        <v>3564</v>
      </c>
      <c r="C854" s="33" t="s">
        <v>3565</v>
      </c>
      <c r="D854" s="33">
        <f t="shared" si="13"/>
        <v>-1</v>
      </c>
      <c r="E854" s="33" t="s">
        <v>34</v>
      </c>
      <c r="F854" s="33" t="s">
        <v>3449</v>
      </c>
      <c r="G854" s="33" t="s">
        <v>3561</v>
      </c>
      <c r="H854" s="33" t="s">
        <v>37</v>
      </c>
      <c r="I854" s="33" t="s">
        <v>38</v>
      </c>
      <c r="J854" s="33" t="s">
        <v>3562</v>
      </c>
      <c r="K854" s="33" t="s">
        <v>3563</v>
      </c>
      <c r="L854" s="33">
        <v>20562.75</v>
      </c>
      <c r="M854" s="33">
        <v>0</v>
      </c>
      <c r="N854" s="33">
        <v>0</v>
      </c>
      <c r="O854" s="33">
        <v>128787.75</v>
      </c>
      <c r="P854" s="33" t="s">
        <v>41</v>
      </c>
      <c r="Q854" s="33" t="s">
        <v>42</v>
      </c>
      <c r="W854" s="33" t="s">
        <v>43</v>
      </c>
      <c r="X854" s="1" t="s">
        <v>2919</v>
      </c>
    </row>
    <row r="855" spans="1:24" x14ac:dyDescent="0.2">
      <c r="A855" s="28" t="s">
        <v>31</v>
      </c>
      <c r="B855" s="28" t="s">
        <v>3566</v>
      </c>
      <c r="C855" s="28" t="s">
        <v>3567</v>
      </c>
      <c r="D855" s="28">
        <f t="shared" si="13"/>
        <v>-1</v>
      </c>
      <c r="E855" s="28" t="s">
        <v>34</v>
      </c>
      <c r="F855" s="28" t="s">
        <v>3449</v>
      </c>
      <c r="G855" s="28" t="s">
        <v>3568</v>
      </c>
      <c r="H855" s="28" t="s">
        <v>37</v>
      </c>
      <c r="I855" s="28" t="s">
        <v>38</v>
      </c>
      <c r="J855" s="28" t="s">
        <v>2128</v>
      </c>
      <c r="K855" s="28" t="s">
        <v>2129</v>
      </c>
      <c r="L855" s="28">
        <v>112229.05</v>
      </c>
      <c r="M855" s="28">
        <v>0</v>
      </c>
      <c r="N855" s="28">
        <v>0</v>
      </c>
      <c r="O855" s="28">
        <v>735064.05</v>
      </c>
      <c r="P855" s="28" t="s">
        <v>41</v>
      </c>
      <c r="Q855" s="28" t="s">
        <v>42</v>
      </c>
      <c r="R855" s="1" t="s">
        <v>161</v>
      </c>
    </row>
    <row r="856" spans="1:24" x14ac:dyDescent="0.2">
      <c r="A856" s="28" t="s">
        <v>31</v>
      </c>
      <c r="B856" s="28" t="s">
        <v>3569</v>
      </c>
      <c r="C856" s="28" t="s">
        <v>3570</v>
      </c>
      <c r="D856" s="28">
        <f t="shared" si="13"/>
        <v>-1</v>
      </c>
      <c r="E856" s="28" t="s">
        <v>34</v>
      </c>
      <c r="F856" s="28" t="s">
        <v>3449</v>
      </c>
      <c r="G856" s="28" t="s">
        <v>3571</v>
      </c>
      <c r="H856" s="28" t="s">
        <v>37</v>
      </c>
      <c r="I856" s="28" t="s">
        <v>38</v>
      </c>
      <c r="J856" s="28" t="s">
        <v>2128</v>
      </c>
      <c r="K856" s="28" t="s">
        <v>2129</v>
      </c>
      <c r="L856" s="28">
        <v>1489768.75</v>
      </c>
      <c r="M856" s="28">
        <v>0</v>
      </c>
      <c r="N856" s="28">
        <v>0</v>
      </c>
      <c r="O856" s="28">
        <v>9368493.75</v>
      </c>
      <c r="P856" s="28" t="s">
        <v>41</v>
      </c>
      <c r="Q856" s="28" t="s">
        <v>42</v>
      </c>
      <c r="R856" s="1" t="s">
        <v>161</v>
      </c>
    </row>
    <row r="857" spans="1:24" x14ac:dyDescent="0.2">
      <c r="A857" s="28" t="s">
        <v>31</v>
      </c>
      <c r="B857" s="28" t="s">
        <v>3572</v>
      </c>
      <c r="C857" s="28" t="s">
        <v>3573</v>
      </c>
      <c r="D857" s="28">
        <f t="shared" si="13"/>
        <v>-1</v>
      </c>
      <c r="E857" s="28" t="s">
        <v>34</v>
      </c>
      <c r="F857" s="28" t="s">
        <v>3449</v>
      </c>
      <c r="G857" s="28" t="s">
        <v>3574</v>
      </c>
      <c r="H857" s="28" t="s">
        <v>37</v>
      </c>
      <c r="I857" s="28" t="s">
        <v>38</v>
      </c>
      <c r="J857" s="28" t="s">
        <v>2128</v>
      </c>
      <c r="K857" s="28" t="s">
        <v>2129</v>
      </c>
      <c r="L857" s="28">
        <v>228395.2</v>
      </c>
      <c r="M857" s="28">
        <v>0</v>
      </c>
      <c r="N857" s="28">
        <v>0</v>
      </c>
      <c r="O857" s="28">
        <v>1430475.2</v>
      </c>
      <c r="P857" s="28" t="s">
        <v>41</v>
      </c>
      <c r="Q857" s="28" t="s">
        <v>42</v>
      </c>
      <c r="R857" s="1" t="s">
        <v>161</v>
      </c>
    </row>
    <row r="858" spans="1:24" x14ac:dyDescent="0.2">
      <c r="A858" s="28" t="s">
        <v>31</v>
      </c>
      <c r="B858" s="28" t="s">
        <v>3575</v>
      </c>
      <c r="C858" s="28" t="s">
        <v>3576</v>
      </c>
      <c r="D858" s="28">
        <f t="shared" si="13"/>
        <v>-1</v>
      </c>
      <c r="E858" s="28" t="s">
        <v>34</v>
      </c>
      <c r="F858" s="28" t="s">
        <v>3449</v>
      </c>
      <c r="G858" s="28" t="s">
        <v>3577</v>
      </c>
      <c r="H858" s="28" t="s">
        <v>37</v>
      </c>
      <c r="I858" s="28" t="s">
        <v>38</v>
      </c>
      <c r="J858" s="28" t="s">
        <v>2128</v>
      </c>
      <c r="K858" s="28" t="s">
        <v>2129</v>
      </c>
      <c r="L858" s="28">
        <v>215867.55</v>
      </c>
      <c r="M858" s="28">
        <v>0</v>
      </c>
      <c r="N858" s="28">
        <v>0</v>
      </c>
      <c r="O858" s="28">
        <v>1352012.55</v>
      </c>
      <c r="P858" s="28" t="s">
        <v>41</v>
      </c>
      <c r="Q858" s="28" t="s">
        <v>42</v>
      </c>
      <c r="R858" s="1" t="s">
        <v>161</v>
      </c>
    </row>
    <row r="859" spans="1:24" x14ac:dyDescent="0.2">
      <c r="A859" s="28" t="s">
        <v>31</v>
      </c>
      <c r="B859" s="28" t="s">
        <v>3578</v>
      </c>
      <c r="C859" s="28" t="s">
        <v>3579</v>
      </c>
      <c r="D859" s="28">
        <f t="shared" si="13"/>
        <v>-1</v>
      </c>
      <c r="E859" s="28" t="s">
        <v>34</v>
      </c>
      <c r="F859" s="28" t="s">
        <v>3449</v>
      </c>
      <c r="G859" s="28" t="s">
        <v>3580</v>
      </c>
      <c r="H859" s="28" t="s">
        <v>37</v>
      </c>
      <c r="I859" s="28" t="s">
        <v>38</v>
      </c>
      <c r="J859" s="28" t="s">
        <v>2128</v>
      </c>
      <c r="K859" s="28" t="s">
        <v>2129</v>
      </c>
      <c r="L859" s="28">
        <v>71093.2</v>
      </c>
      <c r="M859" s="28">
        <v>0</v>
      </c>
      <c r="N859" s="28">
        <v>0</v>
      </c>
      <c r="O859" s="28">
        <v>555083.19999999995</v>
      </c>
      <c r="P859" s="28" t="s">
        <v>41</v>
      </c>
      <c r="Q859" s="28" t="s">
        <v>42</v>
      </c>
      <c r="R859" s="1" t="s">
        <v>161</v>
      </c>
    </row>
    <row r="860" spans="1:24" x14ac:dyDescent="0.2">
      <c r="A860" s="28" t="s">
        <v>31</v>
      </c>
      <c r="B860" s="28" t="s">
        <v>3581</v>
      </c>
      <c r="C860" s="28" t="s">
        <v>3582</v>
      </c>
      <c r="D860" s="28">
        <f t="shared" si="13"/>
        <v>-1</v>
      </c>
      <c r="E860" s="28" t="s">
        <v>34</v>
      </c>
      <c r="F860" s="28" t="s">
        <v>3449</v>
      </c>
      <c r="G860" s="28" t="s">
        <v>3583</v>
      </c>
      <c r="H860" s="28" t="s">
        <v>37</v>
      </c>
      <c r="I860" s="28" t="s">
        <v>38</v>
      </c>
      <c r="J860" s="28" t="s">
        <v>2128</v>
      </c>
      <c r="K860" s="28" t="s">
        <v>2129</v>
      </c>
      <c r="L860" s="28">
        <v>186339.05</v>
      </c>
      <c r="M860" s="28">
        <v>0</v>
      </c>
      <c r="N860" s="28">
        <v>0</v>
      </c>
      <c r="O860" s="28">
        <v>1208684.05</v>
      </c>
      <c r="P860" s="28" t="s">
        <v>41</v>
      </c>
      <c r="Q860" s="28" t="s">
        <v>42</v>
      </c>
      <c r="R860" s="1" t="s">
        <v>161</v>
      </c>
    </row>
    <row r="861" spans="1:24" x14ac:dyDescent="0.2">
      <c r="A861" s="1" t="s">
        <v>31</v>
      </c>
      <c r="B861" s="1" t="s">
        <v>3584</v>
      </c>
      <c r="C861" s="1" t="s">
        <v>3585</v>
      </c>
      <c r="D861" s="1">
        <f t="shared" si="13"/>
        <v>-1</v>
      </c>
      <c r="E861" s="1" t="s">
        <v>34</v>
      </c>
      <c r="F861" s="1" t="s">
        <v>3449</v>
      </c>
      <c r="G861" s="1" t="s">
        <v>3586</v>
      </c>
      <c r="H861" s="1" t="s">
        <v>37</v>
      </c>
      <c r="I861" s="1" t="s">
        <v>38</v>
      </c>
      <c r="J861" s="1" t="s">
        <v>1929</v>
      </c>
      <c r="K861" s="1" t="s">
        <v>1930</v>
      </c>
      <c r="L861" s="1">
        <v>13996.35</v>
      </c>
      <c r="M861" s="1">
        <v>0</v>
      </c>
      <c r="N861" s="1">
        <v>0</v>
      </c>
      <c r="O861" s="1">
        <v>87661.35</v>
      </c>
      <c r="P861" s="1" t="s">
        <v>41</v>
      </c>
      <c r="Q861" s="1" t="s">
        <v>42</v>
      </c>
      <c r="V861" s="1" t="s">
        <v>161</v>
      </c>
    </row>
    <row r="862" spans="1:24" x14ac:dyDescent="0.2">
      <c r="A862" s="1" t="s">
        <v>31</v>
      </c>
      <c r="B862" s="1" t="s">
        <v>3587</v>
      </c>
      <c r="C862" s="1" t="s">
        <v>3588</v>
      </c>
      <c r="D862" s="1">
        <f t="shared" si="13"/>
        <v>-1</v>
      </c>
      <c r="E862" s="1" t="s">
        <v>34</v>
      </c>
      <c r="F862" s="1" t="s">
        <v>3449</v>
      </c>
      <c r="G862" s="1" t="s">
        <v>3589</v>
      </c>
      <c r="H862" s="1" t="s">
        <v>37</v>
      </c>
      <c r="I862" s="1" t="s">
        <v>38</v>
      </c>
      <c r="J862" s="1" t="s">
        <v>3478</v>
      </c>
      <c r="K862" s="1" t="s">
        <v>3479</v>
      </c>
      <c r="L862" s="1">
        <v>488379.3</v>
      </c>
      <c r="M862" s="1">
        <v>0</v>
      </c>
      <c r="N862" s="1">
        <v>0</v>
      </c>
      <c r="O862" s="1">
        <v>3058796.58</v>
      </c>
      <c r="P862" s="1" t="s">
        <v>41</v>
      </c>
      <c r="Q862" s="1" t="s">
        <v>42</v>
      </c>
      <c r="V862" s="1" t="s">
        <v>161</v>
      </c>
    </row>
    <row r="863" spans="1:24" x14ac:dyDescent="0.2">
      <c r="A863" s="33" t="s">
        <v>31</v>
      </c>
      <c r="B863" s="33" t="s">
        <v>3590</v>
      </c>
      <c r="C863" s="33" t="s">
        <v>3591</v>
      </c>
      <c r="D863" s="33">
        <f t="shared" si="13"/>
        <v>-1</v>
      </c>
      <c r="E863" s="33" t="s">
        <v>34</v>
      </c>
      <c r="F863" s="33" t="s">
        <v>3449</v>
      </c>
      <c r="G863" s="33" t="s">
        <v>3592</v>
      </c>
      <c r="H863" s="33" t="s">
        <v>37</v>
      </c>
      <c r="I863" s="33" t="s">
        <v>38</v>
      </c>
      <c r="J863" s="33" t="s">
        <v>3593</v>
      </c>
      <c r="K863" s="33" t="s">
        <v>3594</v>
      </c>
      <c r="L863" s="33">
        <v>120080</v>
      </c>
      <c r="M863" s="33">
        <v>0</v>
      </c>
      <c r="N863" s="33">
        <v>0</v>
      </c>
      <c r="O863" s="33">
        <v>752080</v>
      </c>
      <c r="P863" s="33" t="s">
        <v>41</v>
      </c>
      <c r="Q863" s="33" t="s">
        <v>42</v>
      </c>
      <c r="W863" s="33" t="s">
        <v>43</v>
      </c>
      <c r="X863" s="1" t="s">
        <v>3051</v>
      </c>
    </row>
    <row r="864" spans="1:24" x14ac:dyDescent="0.2">
      <c r="A864" s="33" t="s">
        <v>31</v>
      </c>
      <c r="B864" s="33" t="s">
        <v>3595</v>
      </c>
      <c r="C864" s="33" t="s">
        <v>3596</v>
      </c>
      <c r="D864" s="33">
        <f t="shared" si="13"/>
        <v>-1</v>
      </c>
      <c r="E864" s="33" t="s">
        <v>34</v>
      </c>
      <c r="F864" s="33" t="s">
        <v>3449</v>
      </c>
      <c r="G864" s="33" t="s">
        <v>3597</v>
      </c>
      <c r="H864" s="33" t="s">
        <v>37</v>
      </c>
      <c r="I864" s="33" t="s">
        <v>38</v>
      </c>
      <c r="J864" s="33" t="s">
        <v>3229</v>
      </c>
      <c r="K864" s="33" t="s">
        <v>3230</v>
      </c>
      <c r="L864" s="33">
        <v>62130</v>
      </c>
      <c r="M864" s="33">
        <v>0</v>
      </c>
      <c r="N864" s="33">
        <v>0</v>
      </c>
      <c r="O864" s="33">
        <v>389130</v>
      </c>
      <c r="P864" s="33" t="s">
        <v>41</v>
      </c>
      <c r="Q864" s="33" t="s">
        <v>42</v>
      </c>
      <c r="W864" s="33" t="s">
        <v>43</v>
      </c>
      <c r="X864" s="1" t="s">
        <v>439</v>
      </c>
    </row>
    <row r="865" spans="1:24" x14ac:dyDescent="0.2">
      <c r="A865" s="33" t="s">
        <v>31</v>
      </c>
      <c r="B865" s="33" t="s">
        <v>3598</v>
      </c>
      <c r="C865" s="33" t="s">
        <v>3599</v>
      </c>
      <c r="D865" s="33">
        <f t="shared" si="13"/>
        <v>-1</v>
      </c>
      <c r="E865" s="33" t="s">
        <v>34</v>
      </c>
      <c r="F865" s="33" t="s">
        <v>3449</v>
      </c>
      <c r="G865" s="33" t="s">
        <v>3600</v>
      </c>
      <c r="H865" s="33" t="s">
        <v>37</v>
      </c>
      <c r="I865" s="33" t="s">
        <v>38</v>
      </c>
      <c r="J865" s="33" t="s">
        <v>2506</v>
      </c>
      <c r="K865" s="33" t="s">
        <v>2507</v>
      </c>
      <c r="L865" s="33">
        <v>59090</v>
      </c>
      <c r="M865" s="33">
        <v>0</v>
      </c>
      <c r="N865" s="33">
        <v>0</v>
      </c>
      <c r="O865" s="33">
        <v>370090</v>
      </c>
      <c r="P865" s="33" t="s">
        <v>41</v>
      </c>
      <c r="Q865" s="33" t="s">
        <v>42</v>
      </c>
      <c r="W865" s="33" t="s">
        <v>43</v>
      </c>
      <c r="X865" s="1" t="s">
        <v>524</v>
      </c>
    </row>
    <row r="866" spans="1:24" x14ac:dyDescent="0.2">
      <c r="A866" s="30" t="s">
        <v>31</v>
      </c>
      <c r="B866" s="30" t="s">
        <v>3601</v>
      </c>
      <c r="C866" s="30" t="s">
        <v>3602</v>
      </c>
      <c r="D866" s="30">
        <f t="shared" si="13"/>
        <v>-1</v>
      </c>
      <c r="E866" s="30" t="s">
        <v>34</v>
      </c>
      <c r="F866" s="30" t="s">
        <v>3449</v>
      </c>
      <c r="G866" s="30" t="s">
        <v>3603</v>
      </c>
      <c r="H866" s="30" t="s">
        <v>37</v>
      </c>
      <c r="I866" s="30" t="s">
        <v>38</v>
      </c>
      <c r="J866" s="30" t="s">
        <v>3604</v>
      </c>
      <c r="K866" s="30" t="s">
        <v>3605</v>
      </c>
      <c r="L866" s="30">
        <v>13110</v>
      </c>
      <c r="M866" s="30">
        <v>0</v>
      </c>
      <c r="N866" s="30">
        <v>0</v>
      </c>
      <c r="O866" s="30">
        <v>82110</v>
      </c>
      <c r="P866" s="30" t="s">
        <v>41</v>
      </c>
      <c r="Q866" s="30" t="s">
        <v>42</v>
      </c>
      <c r="S866" s="1" t="s">
        <v>161</v>
      </c>
    </row>
    <row r="867" spans="1:24" x14ac:dyDescent="0.2">
      <c r="A867" s="29" t="s">
        <v>31</v>
      </c>
      <c r="B867" s="29" t="s">
        <v>3606</v>
      </c>
      <c r="C867" s="29" t="s">
        <v>3607</v>
      </c>
      <c r="D867" s="29">
        <f t="shared" si="13"/>
        <v>-1</v>
      </c>
      <c r="E867" s="29" t="s">
        <v>34</v>
      </c>
      <c r="F867" s="29" t="s">
        <v>3449</v>
      </c>
      <c r="G867" s="29" t="s">
        <v>3608</v>
      </c>
      <c r="H867" s="29" t="s">
        <v>37</v>
      </c>
      <c r="I867" s="29" t="s">
        <v>38</v>
      </c>
      <c r="J867" s="29" t="s">
        <v>3604</v>
      </c>
      <c r="K867" s="29" t="s">
        <v>3605</v>
      </c>
      <c r="L867" s="29">
        <v>270664.5</v>
      </c>
      <c r="M867" s="29">
        <v>0</v>
      </c>
      <c r="N867" s="29">
        <v>0</v>
      </c>
      <c r="O867" s="29">
        <v>1695214.5</v>
      </c>
      <c r="P867" s="29" t="s">
        <v>41</v>
      </c>
      <c r="Q867" s="29" t="s">
        <v>42</v>
      </c>
      <c r="T867" s="1" t="s">
        <v>161</v>
      </c>
    </row>
    <row r="868" spans="1:24" x14ac:dyDescent="0.2">
      <c r="A868" s="33" t="s">
        <v>31</v>
      </c>
      <c r="B868" s="33" t="s">
        <v>3609</v>
      </c>
      <c r="C868" s="33" t="s">
        <v>3610</v>
      </c>
      <c r="D868" s="33">
        <f t="shared" si="13"/>
        <v>-1</v>
      </c>
      <c r="E868" s="33" t="s">
        <v>34</v>
      </c>
      <c r="F868" s="33" t="s">
        <v>3449</v>
      </c>
      <c r="G868" s="33" t="s">
        <v>3611</v>
      </c>
      <c r="H868" s="33" t="s">
        <v>37</v>
      </c>
      <c r="I868" s="33" t="s">
        <v>38</v>
      </c>
      <c r="J868" s="33" t="s">
        <v>3612</v>
      </c>
      <c r="K868" s="33" t="s">
        <v>3613</v>
      </c>
      <c r="L868" s="33">
        <v>55252</v>
      </c>
      <c r="M868" s="33">
        <v>0</v>
      </c>
      <c r="N868" s="33">
        <v>0</v>
      </c>
      <c r="O868" s="33">
        <v>346052</v>
      </c>
      <c r="P868" s="33" t="s">
        <v>41</v>
      </c>
      <c r="Q868" s="33" t="s">
        <v>42</v>
      </c>
      <c r="W868" s="33" t="s">
        <v>161</v>
      </c>
      <c r="X868" s="1" t="s">
        <v>2004</v>
      </c>
    </row>
    <row r="869" spans="1:24" x14ac:dyDescent="0.2">
      <c r="A869" s="1" t="s">
        <v>31</v>
      </c>
      <c r="B869" s="1" t="s">
        <v>3614</v>
      </c>
      <c r="C869" s="1" t="s">
        <v>3615</v>
      </c>
      <c r="D869" s="1">
        <f t="shared" si="13"/>
        <v>-1</v>
      </c>
      <c r="E869" s="1" t="s">
        <v>34</v>
      </c>
      <c r="F869" s="1" t="s">
        <v>3449</v>
      </c>
      <c r="G869" s="1" t="s">
        <v>3616</v>
      </c>
      <c r="H869" s="1" t="s">
        <v>37</v>
      </c>
      <c r="I869" s="1" t="s">
        <v>38</v>
      </c>
      <c r="J869" s="1" t="s">
        <v>3617</v>
      </c>
      <c r="K869" s="1" t="s">
        <v>3618</v>
      </c>
      <c r="L869" s="1">
        <v>181560.2</v>
      </c>
      <c r="M869" s="1">
        <v>0</v>
      </c>
      <c r="N869" s="1">
        <v>0</v>
      </c>
      <c r="O869" s="1">
        <v>1137140.2</v>
      </c>
      <c r="P869" s="1" t="s">
        <v>41</v>
      </c>
      <c r="Q869" s="1" t="s">
        <v>42</v>
      </c>
      <c r="V869" s="1" t="s">
        <v>161</v>
      </c>
    </row>
    <row r="870" spans="1:24" x14ac:dyDescent="0.2">
      <c r="A870" s="33" t="s">
        <v>31</v>
      </c>
      <c r="B870" s="33" t="s">
        <v>3619</v>
      </c>
      <c r="C870" s="33" t="s">
        <v>3620</v>
      </c>
      <c r="D870" s="33">
        <f t="shared" si="13"/>
        <v>-1</v>
      </c>
      <c r="E870" s="33" t="s">
        <v>34</v>
      </c>
      <c r="F870" s="33" t="s">
        <v>3449</v>
      </c>
      <c r="G870" s="33" t="s">
        <v>3621</v>
      </c>
      <c r="H870" s="33" t="s">
        <v>37</v>
      </c>
      <c r="I870" s="33" t="s">
        <v>38</v>
      </c>
      <c r="J870" s="33" t="s">
        <v>3622</v>
      </c>
      <c r="K870" s="33" t="s">
        <v>3623</v>
      </c>
      <c r="L870" s="33">
        <v>170240</v>
      </c>
      <c r="M870" s="33">
        <v>0</v>
      </c>
      <c r="N870" s="33">
        <v>0</v>
      </c>
      <c r="O870" s="33">
        <v>1066240</v>
      </c>
      <c r="P870" s="33" t="s">
        <v>41</v>
      </c>
      <c r="Q870" s="33" t="s">
        <v>42</v>
      </c>
      <c r="W870" s="33" t="s">
        <v>43</v>
      </c>
      <c r="X870" s="1" t="s">
        <v>665</v>
      </c>
    </row>
    <row r="871" spans="1:24" x14ac:dyDescent="0.2">
      <c r="A871" s="28" t="s">
        <v>31</v>
      </c>
      <c r="B871" s="28" t="s">
        <v>3624</v>
      </c>
      <c r="C871" s="28" t="s">
        <v>3625</v>
      </c>
      <c r="D871" s="28">
        <f t="shared" si="13"/>
        <v>-1</v>
      </c>
      <c r="E871" s="28" t="s">
        <v>34</v>
      </c>
      <c r="F871" s="28" t="s">
        <v>3449</v>
      </c>
      <c r="G871" s="28" t="s">
        <v>3626</v>
      </c>
      <c r="H871" s="28" t="s">
        <v>37</v>
      </c>
      <c r="I871" s="28" t="s">
        <v>38</v>
      </c>
      <c r="J871" s="28" t="s">
        <v>3351</v>
      </c>
      <c r="K871" s="28" t="s">
        <v>3352</v>
      </c>
      <c r="L871" s="28">
        <v>115710</v>
      </c>
      <c r="M871" s="28">
        <v>0</v>
      </c>
      <c r="N871" s="28">
        <v>0</v>
      </c>
      <c r="O871" s="28">
        <v>724710</v>
      </c>
      <c r="P871" s="28" t="s">
        <v>41</v>
      </c>
      <c r="Q871" s="28" t="s">
        <v>42</v>
      </c>
      <c r="R871" s="1" t="s">
        <v>161</v>
      </c>
    </row>
    <row r="872" spans="1:24" x14ac:dyDescent="0.2">
      <c r="A872" s="28" t="s">
        <v>31</v>
      </c>
      <c r="B872" s="28" t="s">
        <v>3627</v>
      </c>
      <c r="C872" s="28" t="s">
        <v>3628</v>
      </c>
      <c r="D872" s="28">
        <f t="shared" si="13"/>
        <v>-1</v>
      </c>
      <c r="E872" s="28" t="s">
        <v>34</v>
      </c>
      <c r="F872" s="28" t="s">
        <v>3449</v>
      </c>
      <c r="G872" s="28" t="s">
        <v>3629</v>
      </c>
      <c r="H872" s="28" t="s">
        <v>37</v>
      </c>
      <c r="I872" s="28" t="s">
        <v>38</v>
      </c>
      <c r="J872" s="28" t="s">
        <v>3630</v>
      </c>
      <c r="K872" s="28" t="s">
        <v>3631</v>
      </c>
      <c r="L872" s="28">
        <v>25270</v>
      </c>
      <c r="M872" s="28">
        <v>0</v>
      </c>
      <c r="N872" s="28">
        <v>0</v>
      </c>
      <c r="O872" s="28">
        <v>158270</v>
      </c>
      <c r="P872" s="28" t="s">
        <v>41</v>
      </c>
      <c r="Q872" s="28" t="s">
        <v>42</v>
      </c>
      <c r="R872" s="1" t="s">
        <v>161</v>
      </c>
    </row>
    <row r="873" spans="1:24" x14ac:dyDescent="0.2">
      <c r="A873" s="1" t="s">
        <v>31</v>
      </c>
      <c r="B873" s="1" t="s">
        <v>3632</v>
      </c>
      <c r="C873" s="1" t="s">
        <v>3633</v>
      </c>
      <c r="D873" s="1">
        <f t="shared" si="13"/>
        <v>-1</v>
      </c>
      <c r="E873" s="1" t="s">
        <v>34</v>
      </c>
      <c r="F873" s="1" t="s">
        <v>3449</v>
      </c>
      <c r="G873" s="1" t="s">
        <v>3634</v>
      </c>
      <c r="H873" s="1" t="s">
        <v>37</v>
      </c>
      <c r="I873" s="1" t="s">
        <v>38</v>
      </c>
      <c r="J873" s="1" t="s">
        <v>3635</v>
      </c>
      <c r="K873" s="1" t="s">
        <v>3636</v>
      </c>
      <c r="L873" s="1">
        <v>874698.47</v>
      </c>
      <c r="M873" s="1">
        <v>0</v>
      </c>
      <c r="N873" s="1">
        <v>0</v>
      </c>
      <c r="O873" s="1">
        <v>5808951.4699999997</v>
      </c>
      <c r="P873" s="1" t="s">
        <v>41</v>
      </c>
      <c r="Q873" s="1" t="s">
        <v>42</v>
      </c>
      <c r="V873" s="1" t="s">
        <v>161</v>
      </c>
    </row>
    <row r="874" spans="1:24" x14ac:dyDescent="0.2">
      <c r="A874" s="33" t="s">
        <v>31</v>
      </c>
      <c r="B874" s="33" t="s">
        <v>3637</v>
      </c>
      <c r="C874" s="33" t="s">
        <v>3638</v>
      </c>
      <c r="D874" s="33">
        <f t="shared" si="13"/>
        <v>-1</v>
      </c>
      <c r="E874" s="33" t="s">
        <v>34</v>
      </c>
      <c r="F874" s="33" t="s">
        <v>3449</v>
      </c>
      <c r="G874" s="33" t="s">
        <v>3639</v>
      </c>
      <c r="H874" s="33" t="s">
        <v>37</v>
      </c>
      <c r="I874" s="33" t="s">
        <v>38</v>
      </c>
      <c r="J874" s="33" t="s">
        <v>1069</v>
      </c>
      <c r="K874" s="33" t="s">
        <v>1070</v>
      </c>
      <c r="L874" s="33">
        <v>292959.09999999998</v>
      </c>
      <c r="M874" s="33">
        <v>0</v>
      </c>
      <c r="N874" s="33">
        <v>0</v>
      </c>
      <c r="O874" s="33">
        <v>1834849.1</v>
      </c>
      <c r="P874" s="33" t="s">
        <v>41</v>
      </c>
      <c r="Q874" s="33" t="s">
        <v>42</v>
      </c>
      <c r="W874" s="33" t="s">
        <v>161</v>
      </c>
      <c r="X874" s="1" t="s">
        <v>742</v>
      </c>
    </row>
    <row r="875" spans="1:24" x14ac:dyDescent="0.2">
      <c r="A875" s="31" t="s">
        <v>31</v>
      </c>
      <c r="B875" s="31" t="s">
        <v>3640</v>
      </c>
      <c r="C875" s="31" t="s">
        <v>3641</v>
      </c>
      <c r="D875" s="31">
        <f t="shared" si="13"/>
        <v>-1</v>
      </c>
      <c r="E875" s="31" t="s">
        <v>34</v>
      </c>
      <c r="F875" s="31" t="s">
        <v>3449</v>
      </c>
      <c r="G875" s="31" t="s">
        <v>3642</v>
      </c>
      <c r="H875" s="31" t="s">
        <v>37</v>
      </c>
      <c r="I875" s="31" t="s">
        <v>38</v>
      </c>
      <c r="J875" s="31" t="s">
        <v>1074</v>
      </c>
      <c r="K875" s="31" t="s">
        <v>1075</v>
      </c>
      <c r="L875" s="31">
        <v>143334.67000000001</v>
      </c>
      <c r="M875" s="31">
        <v>0</v>
      </c>
      <c r="N875" s="31">
        <v>0</v>
      </c>
      <c r="O875" s="31">
        <v>897727.67</v>
      </c>
      <c r="P875" s="31" t="s">
        <v>41</v>
      </c>
      <c r="Q875" s="31" t="s">
        <v>42</v>
      </c>
      <c r="U875" s="31" t="s">
        <v>43</v>
      </c>
    </row>
    <row r="876" spans="1:24" x14ac:dyDescent="0.2">
      <c r="A876" s="1" t="s">
        <v>31</v>
      </c>
      <c r="B876" s="1" t="s">
        <v>3643</v>
      </c>
      <c r="C876" s="1" t="s">
        <v>3644</v>
      </c>
      <c r="D876" s="1">
        <f t="shared" si="13"/>
        <v>-1</v>
      </c>
      <c r="E876" s="1" t="s">
        <v>34</v>
      </c>
      <c r="F876" s="1" t="s">
        <v>3449</v>
      </c>
      <c r="G876" s="1" t="s">
        <v>3645</v>
      </c>
      <c r="H876" s="1" t="s">
        <v>37</v>
      </c>
      <c r="I876" s="1" t="s">
        <v>38</v>
      </c>
      <c r="J876" s="1" t="s">
        <v>205</v>
      </c>
      <c r="K876" s="1" t="s">
        <v>206</v>
      </c>
      <c r="L876" s="1">
        <v>716775</v>
      </c>
      <c r="M876" s="1">
        <v>0</v>
      </c>
      <c r="N876" s="1">
        <v>0</v>
      </c>
      <c r="O876" s="1">
        <v>4489275</v>
      </c>
      <c r="P876" s="1" t="s">
        <v>41</v>
      </c>
      <c r="Q876" s="1" t="s">
        <v>42</v>
      </c>
      <c r="V876" s="1" t="s">
        <v>161</v>
      </c>
    </row>
    <row r="877" spans="1:24" x14ac:dyDescent="0.2">
      <c r="A877" s="1" t="s">
        <v>31</v>
      </c>
      <c r="B877" s="1" t="s">
        <v>3646</v>
      </c>
      <c r="C877" s="1" t="s">
        <v>3647</v>
      </c>
      <c r="D877" s="1">
        <f t="shared" si="13"/>
        <v>-1</v>
      </c>
      <c r="E877" s="1" t="s">
        <v>34</v>
      </c>
      <c r="F877" s="1" t="s">
        <v>3449</v>
      </c>
      <c r="G877" s="1" t="s">
        <v>3648</v>
      </c>
      <c r="H877" s="1" t="s">
        <v>37</v>
      </c>
      <c r="I877" s="1" t="s">
        <v>38</v>
      </c>
      <c r="J877" s="1" t="s">
        <v>205</v>
      </c>
      <c r="K877" s="1" t="s">
        <v>206</v>
      </c>
      <c r="L877" s="1">
        <v>1397064.87</v>
      </c>
      <c r="M877" s="1">
        <v>0</v>
      </c>
      <c r="N877" s="1">
        <v>0</v>
      </c>
      <c r="O877" s="1">
        <v>8750037.8699999992</v>
      </c>
      <c r="P877" s="1" t="s">
        <v>41</v>
      </c>
      <c r="Q877" s="1" t="s">
        <v>42</v>
      </c>
      <c r="V877" s="1" t="s">
        <v>161</v>
      </c>
    </row>
    <row r="878" spans="1:24" x14ac:dyDescent="0.2">
      <c r="A878" s="33" t="s">
        <v>31</v>
      </c>
      <c r="B878" s="33" t="s">
        <v>3649</v>
      </c>
      <c r="C878" s="33" t="s">
        <v>3650</v>
      </c>
      <c r="D878" s="33">
        <f t="shared" si="13"/>
        <v>-1</v>
      </c>
      <c r="E878" s="33" t="s">
        <v>34</v>
      </c>
      <c r="F878" s="33" t="s">
        <v>3449</v>
      </c>
      <c r="G878" s="33" t="s">
        <v>3651</v>
      </c>
      <c r="H878" s="33" t="s">
        <v>37</v>
      </c>
      <c r="I878" s="33" t="s">
        <v>38</v>
      </c>
      <c r="J878" s="33" t="s">
        <v>3652</v>
      </c>
      <c r="K878" s="33" t="s">
        <v>3653</v>
      </c>
      <c r="L878" s="33">
        <v>907493.07</v>
      </c>
      <c r="M878" s="33">
        <v>0</v>
      </c>
      <c r="N878" s="33">
        <v>0</v>
      </c>
      <c r="O878" s="33">
        <v>5683772.2699999996</v>
      </c>
      <c r="P878" s="33" t="s">
        <v>41</v>
      </c>
      <c r="Q878" s="33" t="s">
        <v>42</v>
      </c>
      <c r="W878" s="33" t="s">
        <v>43</v>
      </c>
      <c r="X878" s="1" t="s">
        <v>524</v>
      </c>
    </row>
    <row r="879" spans="1:24" x14ac:dyDescent="0.2">
      <c r="A879" s="33" t="s">
        <v>31</v>
      </c>
      <c r="B879" s="33" t="s">
        <v>3654</v>
      </c>
      <c r="C879" s="33" t="s">
        <v>3655</v>
      </c>
      <c r="D879" s="33">
        <f t="shared" si="13"/>
        <v>-1</v>
      </c>
      <c r="E879" s="33" t="s">
        <v>34</v>
      </c>
      <c r="F879" s="33" t="s">
        <v>3449</v>
      </c>
      <c r="G879" s="33" t="s">
        <v>3656</v>
      </c>
      <c r="H879" s="33" t="s">
        <v>37</v>
      </c>
      <c r="I879" s="33" t="s">
        <v>38</v>
      </c>
      <c r="J879" s="33" t="s">
        <v>670</v>
      </c>
      <c r="K879" s="33" t="s">
        <v>671</v>
      </c>
      <c r="L879" s="33">
        <v>112100</v>
      </c>
      <c r="M879" s="33">
        <v>0</v>
      </c>
      <c r="N879" s="33">
        <v>0</v>
      </c>
      <c r="O879" s="33">
        <v>702100</v>
      </c>
      <c r="P879" s="33" t="s">
        <v>41</v>
      </c>
      <c r="Q879" s="33" t="s">
        <v>42</v>
      </c>
      <c r="W879" s="33" t="s">
        <v>43</v>
      </c>
      <c r="X879" s="1" t="s">
        <v>317</v>
      </c>
    </row>
    <row r="880" spans="1:24" x14ac:dyDescent="0.2">
      <c r="A880" s="1" t="s">
        <v>31</v>
      </c>
      <c r="B880" s="1" t="s">
        <v>3657</v>
      </c>
      <c r="C880" s="33" t="s">
        <v>3658</v>
      </c>
      <c r="D880" s="1">
        <f t="shared" si="13"/>
        <v>-1</v>
      </c>
      <c r="E880" s="1" t="s">
        <v>34</v>
      </c>
      <c r="F880" s="1" t="s">
        <v>3449</v>
      </c>
      <c r="G880" s="1" t="s">
        <v>3659</v>
      </c>
      <c r="H880" s="1" t="s">
        <v>37</v>
      </c>
      <c r="I880" s="1" t="s">
        <v>38</v>
      </c>
      <c r="J880" s="1" t="s">
        <v>3660</v>
      </c>
      <c r="K880" s="1" t="s">
        <v>3661</v>
      </c>
      <c r="L880" s="1">
        <v>471023.3</v>
      </c>
      <c r="M880" s="1">
        <v>0</v>
      </c>
      <c r="N880" s="1">
        <v>0</v>
      </c>
      <c r="O880" s="1">
        <v>2950093.3</v>
      </c>
      <c r="P880" s="1" t="s">
        <v>41</v>
      </c>
      <c r="Q880" s="1" t="s">
        <v>42</v>
      </c>
      <c r="V880" s="1" t="s">
        <v>161</v>
      </c>
    </row>
    <row r="881" spans="1:24" x14ac:dyDescent="0.2">
      <c r="A881" s="30" t="s">
        <v>31</v>
      </c>
      <c r="B881" s="30" t="s">
        <v>3662</v>
      </c>
      <c r="C881" s="30" t="s">
        <v>3663</v>
      </c>
      <c r="D881" s="30">
        <f t="shared" si="13"/>
        <v>-1</v>
      </c>
      <c r="E881" s="30" t="s">
        <v>34</v>
      </c>
      <c r="F881" s="30" t="s">
        <v>3449</v>
      </c>
      <c r="G881" s="30" t="s">
        <v>3664</v>
      </c>
      <c r="H881" s="30" t="s">
        <v>37</v>
      </c>
      <c r="I881" s="30" t="s">
        <v>38</v>
      </c>
      <c r="J881" s="30" t="s">
        <v>3054</v>
      </c>
      <c r="K881" s="30" t="s">
        <v>3055</v>
      </c>
      <c r="L881" s="30">
        <v>22610</v>
      </c>
      <c r="M881" s="30">
        <v>0</v>
      </c>
      <c r="N881" s="30">
        <v>0</v>
      </c>
      <c r="O881" s="30">
        <v>141610</v>
      </c>
      <c r="P881" s="30" t="s">
        <v>41</v>
      </c>
      <c r="Q881" s="30" t="s">
        <v>42</v>
      </c>
      <c r="S881" s="1" t="s">
        <v>161</v>
      </c>
    </row>
    <row r="882" spans="1:24" x14ac:dyDescent="0.2">
      <c r="A882" s="1" t="s">
        <v>31</v>
      </c>
      <c r="B882" s="1" t="s">
        <v>3665</v>
      </c>
      <c r="C882" s="33" t="s">
        <v>3666</v>
      </c>
      <c r="D882" s="1">
        <f t="shared" si="13"/>
        <v>-1</v>
      </c>
      <c r="E882" s="1" t="s">
        <v>34</v>
      </c>
      <c r="F882" s="1" t="s">
        <v>3449</v>
      </c>
      <c r="G882" s="1" t="s">
        <v>3667</v>
      </c>
      <c r="H882" s="1" t="s">
        <v>37</v>
      </c>
      <c r="I882" s="1" t="s">
        <v>38</v>
      </c>
      <c r="J882" s="1" t="s">
        <v>3660</v>
      </c>
      <c r="K882" s="1" t="s">
        <v>3661</v>
      </c>
      <c r="L882" s="1">
        <v>900790</v>
      </c>
      <c r="M882" s="1">
        <v>0</v>
      </c>
      <c r="N882" s="1">
        <v>0</v>
      </c>
      <c r="O882" s="1">
        <v>5641790</v>
      </c>
      <c r="P882" s="1" t="s">
        <v>41</v>
      </c>
      <c r="Q882" s="1" t="s">
        <v>42</v>
      </c>
      <c r="V882" s="1" t="s">
        <v>161</v>
      </c>
    </row>
    <row r="883" spans="1:24" x14ac:dyDescent="0.2">
      <c r="A883" s="1" t="s">
        <v>31</v>
      </c>
      <c r="B883" s="1" t="s">
        <v>3668</v>
      </c>
      <c r="C883" s="33" t="s">
        <v>3669</v>
      </c>
      <c r="D883" s="1">
        <f t="shared" si="13"/>
        <v>-1</v>
      </c>
      <c r="E883" s="1" t="s">
        <v>34</v>
      </c>
      <c r="F883" s="1" t="s">
        <v>3449</v>
      </c>
      <c r="G883" s="1" t="s">
        <v>3670</v>
      </c>
      <c r="H883" s="1" t="s">
        <v>37</v>
      </c>
      <c r="I883" s="1" t="s">
        <v>38</v>
      </c>
      <c r="J883" s="1" t="s">
        <v>3671</v>
      </c>
      <c r="K883" s="1" t="s">
        <v>3672</v>
      </c>
      <c r="L883" s="1">
        <v>17670</v>
      </c>
      <c r="M883" s="1">
        <v>0</v>
      </c>
      <c r="N883" s="1">
        <v>0</v>
      </c>
      <c r="O883" s="1">
        <v>110670</v>
      </c>
      <c r="P883" s="1" t="s">
        <v>41</v>
      </c>
      <c r="Q883" s="1" t="s">
        <v>42</v>
      </c>
      <c r="V883" s="1" t="s">
        <v>161</v>
      </c>
    </row>
    <row r="884" spans="1:24" x14ac:dyDescent="0.2">
      <c r="A884" s="1" t="s">
        <v>31</v>
      </c>
      <c r="B884" s="1" t="s">
        <v>3673</v>
      </c>
      <c r="C884" s="1" t="s">
        <v>3674</v>
      </c>
      <c r="D884" s="1">
        <f t="shared" si="13"/>
        <v>-1</v>
      </c>
      <c r="E884" s="1" t="s">
        <v>34</v>
      </c>
      <c r="F884" s="1" t="s">
        <v>3449</v>
      </c>
      <c r="G884" s="1" t="s">
        <v>3675</v>
      </c>
      <c r="H884" s="1" t="s">
        <v>37</v>
      </c>
      <c r="I884" s="1" t="s">
        <v>38</v>
      </c>
      <c r="J884" s="1" t="s">
        <v>3676</v>
      </c>
      <c r="K884" s="1" t="s">
        <v>3677</v>
      </c>
      <c r="L884" s="1">
        <v>58370</v>
      </c>
      <c r="M884" s="1">
        <v>0</v>
      </c>
      <c r="N884" s="1">
        <v>0</v>
      </c>
      <c r="O884" s="1">
        <v>601370</v>
      </c>
      <c r="P884" s="1" t="s">
        <v>41</v>
      </c>
      <c r="Q884" s="1" t="s">
        <v>42</v>
      </c>
      <c r="V884" s="1" t="s">
        <v>161</v>
      </c>
    </row>
    <row r="885" spans="1:24" x14ac:dyDescent="0.2">
      <c r="A885" s="33" t="s">
        <v>31</v>
      </c>
      <c r="B885" s="33" t="s">
        <v>3678</v>
      </c>
      <c r="C885" s="33" t="s">
        <v>3679</v>
      </c>
      <c r="D885" s="33">
        <f t="shared" si="13"/>
        <v>-1</v>
      </c>
      <c r="E885" s="33" t="s">
        <v>34</v>
      </c>
      <c r="F885" s="33" t="s">
        <v>3449</v>
      </c>
      <c r="G885" s="33" t="s">
        <v>3680</v>
      </c>
      <c r="H885" s="33" t="s">
        <v>37</v>
      </c>
      <c r="I885" s="33" t="s">
        <v>38</v>
      </c>
      <c r="J885" s="33" t="s">
        <v>3681</v>
      </c>
      <c r="K885" s="33" t="s">
        <v>3682</v>
      </c>
      <c r="L885" s="33">
        <v>165300</v>
      </c>
      <c r="M885" s="33">
        <v>0</v>
      </c>
      <c r="N885" s="33">
        <v>0</v>
      </c>
      <c r="O885" s="33">
        <v>1035300</v>
      </c>
      <c r="P885" s="33" t="s">
        <v>41</v>
      </c>
      <c r="Q885" s="33" t="s">
        <v>42</v>
      </c>
      <c r="W885" s="33" t="s">
        <v>43</v>
      </c>
      <c r="X885" s="1" t="s">
        <v>439</v>
      </c>
    </row>
    <row r="886" spans="1:24" x14ac:dyDescent="0.2">
      <c r="A886" s="29" t="s">
        <v>31</v>
      </c>
      <c r="B886" s="29" t="s">
        <v>3683</v>
      </c>
      <c r="C886" s="29" t="s">
        <v>3684</v>
      </c>
      <c r="D886" s="29">
        <f t="shared" si="13"/>
        <v>-1</v>
      </c>
      <c r="E886" s="29" t="s">
        <v>34</v>
      </c>
      <c r="F886" s="29" t="s">
        <v>3449</v>
      </c>
      <c r="G886" s="29" t="s">
        <v>3680</v>
      </c>
      <c r="H886" s="29" t="s">
        <v>37</v>
      </c>
      <c r="I886" s="29" t="s">
        <v>38</v>
      </c>
      <c r="J886" s="29" t="s">
        <v>3478</v>
      </c>
      <c r="K886" s="29" t="s">
        <v>3479</v>
      </c>
      <c r="L886" s="29">
        <v>84284</v>
      </c>
      <c r="M886" s="29">
        <v>0</v>
      </c>
      <c r="N886" s="29">
        <v>0</v>
      </c>
      <c r="O886" s="29">
        <v>527884</v>
      </c>
      <c r="P886" s="29" t="s">
        <v>41</v>
      </c>
      <c r="Q886" s="29" t="s">
        <v>42</v>
      </c>
      <c r="T886" s="1" t="s">
        <v>161</v>
      </c>
    </row>
    <row r="887" spans="1:24" x14ac:dyDescent="0.2">
      <c r="A887" s="1" t="s">
        <v>31</v>
      </c>
      <c r="B887" s="1" t="s">
        <v>3685</v>
      </c>
      <c r="C887" s="33" t="s">
        <v>3686</v>
      </c>
      <c r="D887" s="1">
        <f t="shared" si="13"/>
        <v>-1</v>
      </c>
      <c r="E887" s="1" t="s">
        <v>34</v>
      </c>
      <c r="F887" s="1" t="s">
        <v>3449</v>
      </c>
      <c r="G887" s="1" t="s">
        <v>3687</v>
      </c>
      <c r="H887" s="1" t="s">
        <v>37</v>
      </c>
      <c r="I887" s="1" t="s">
        <v>38</v>
      </c>
      <c r="J887" s="1" t="s">
        <v>3688</v>
      </c>
      <c r="K887" s="1" t="s">
        <v>3689</v>
      </c>
      <c r="L887" s="1">
        <v>0</v>
      </c>
      <c r="M887" s="1">
        <v>0</v>
      </c>
      <c r="N887" s="1">
        <v>0</v>
      </c>
      <c r="O887" s="1">
        <v>4094171</v>
      </c>
      <c r="P887" s="1" t="s">
        <v>41</v>
      </c>
      <c r="Q887" s="1" t="s">
        <v>42</v>
      </c>
      <c r="V887" s="1" t="s">
        <v>161</v>
      </c>
    </row>
    <row r="888" spans="1:24" x14ac:dyDescent="0.2">
      <c r="A888" s="33" t="s">
        <v>31</v>
      </c>
      <c r="B888" s="33" t="s">
        <v>3690</v>
      </c>
      <c r="C888" s="33" t="s">
        <v>3691</v>
      </c>
      <c r="D888" s="33">
        <f t="shared" si="13"/>
        <v>-1</v>
      </c>
      <c r="E888" s="33" t="s">
        <v>34</v>
      </c>
      <c r="F888" s="33" t="s">
        <v>3449</v>
      </c>
      <c r="G888" s="33" t="s">
        <v>3692</v>
      </c>
      <c r="H888" s="33" t="s">
        <v>37</v>
      </c>
      <c r="I888" s="33" t="s">
        <v>38</v>
      </c>
      <c r="J888" s="33" t="s">
        <v>1373</v>
      </c>
      <c r="K888" s="33" t="s">
        <v>1374</v>
      </c>
      <c r="L888" s="33">
        <v>442181.11</v>
      </c>
      <c r="M888" s="33">
        <v>0</v>
      </c>
      <c r="N888" s="33">
        <v>0</v>
      </c>
      <c r="O888" s="33">
        <v>2769450.11</v>
      </c>
      <c r="P888" s="33" t="s">
        <v>41</v>
      </c>
      <c r="Q888" s="33" t="s">
        <v>42</v>
      </c>
      <c r="W888" s="33" t="s">
        <v>161</v>
      </c>
      <c r="X888" s="1" t="s">
        <v>2384</v>
      </c>
    </row>
    <row r="889" spans="1:24" x14ac:dyDescent="0.2">
      <c r="A889" s="28" t="s">
        <v>31</v>
      </c>
      <c r="B889" s="28" t="s">
        <v>3693</v>
      </c>
      <c r="C889" s="28" t="s">
        <v>3694</v>
      </c>
      <c r="D889" s="28">
        <f t="shared" si="13"/>
        <v>-1</v>
      </c>
      <c r="E889" s="28" t="s">
        <v>34</v>
      </c>
      <c r="F889" s="28" t="s">
        <v>3449</v>
      </c>
      <c r="G889" s="28" t="s">
        <v>3695</v>
      </c>
      <c r="H889" s="28" t="s">
        <v>37</v>
      </c>
      <c r="I889" s="28" t="s">
        <v>38</v>
      </c>
      <c r="J889" s="28" t="s">
        <v>3351</v>
      </c>
      <c r="K889" s="28" t="s">
        <v>3352</v>
      </c>
      <c r="L889" s="28">
        <v>444980</v>
      </c>
      <c r="M889" s="28">
        <v>0</v>
      </c>
      <c r="N889" s="28">
        <v>0</v>
      </c>
      <c r="O889" s="28">
        <v>2786980</v>
      </c>
      <c r="P889" s="28" t="s">
        <v>41</v>
      </c>
      <c r="Q889" s="28" t="s">
        <v>42</v>
      </c>
      <c r="R889" s="1" t="s">
        <v>161</v>
      </c>
    </row>
    <row r="890" spans="1:24" x14ac:dyDescent="0.2">
      <c r="A890" s="28" t="s">
        <v>31</v>
      </c>
      <c r="B890" s="28" t="s">
        <v>3696</v>
      </c>
      <c r="C890" s="28" t="s">
        <v>3697</v>
      </c>
      <c r="D890" s="28">
        <f t="shared" si="13"/>
        <v>-1</v>
      </c>
      <c r="E890" s="28" t="s">
        <v>34</v>
      </c>
      <c r="F890" s="28" t="s">
        <v>3449</v>
      </c>
      <c r="G890" s="28" t="s">
        <v>3698</v>
      </c>
      <c r="H890" s="28" t="s">
        <v>37</v>
      </c>
      <c r="I890" s="28" t="s">
        <v>38</v>
      </c>
      <c r="J890" s="28" t="s">
        <v>2057</v>
      </c>
      <c r="K890" s="28" t="s">
        <v>2058</v>
      </c>
      <c r="L890" s="28">
        <v>57950</v>
      </c>
      <c r="M890" s="28">
        <v>0</v>
      </c>
      <c r="N890" s="28">
        <v>0</v>
      </c>
      <c r="O890" s="28">
        <v>362950</v>
      </c>
      <c r="P890" s="28" t="s">
        <v>41</v>
      </c>
      <c r="Q890" s="28" t="s">
        <v>42</v>
      </c>
      <c r="R890" s="1" t="s">
        <v>161</v>
      </c>
    </row>
    <row r="891" spans="1:24" x14ac:dyDescent="0.2">
      <c r="A891" s="31" t="s">
        <v>31</v>
      </c>
      <c r="B891" s="31" t="s">
        <v>3699</v>
      </c>
      <c r="C891" s="31" t="s">
        <v>3700</v>
      </c>
      <c r="D891" s="31">
        <f t="shared" si="13"/>
        <v>-1</v>
      </c>
      <c r="E891" s="31" t="s">
        <v>34</v>
      </c>
      <c r="F891" s="31" t="s">
        <v>3449</v>
      </c>
      <c r="G891" s="31" t="s">
        <v>3701</v>
      </c>
      <c r="H891" s="31" t="s">
        <v>37</v>
      </c>
      <c r="I891" s="31" t="s">
        <v>38</v>
      </c>
      <c r="J891" s="31" t="s">
        <v>868</v>
      </c>
      <c r="K891" s="31" t="s">
        <v>869</v>
      </c>
      <c r="L891" s="31">
        <v>39900</v>
      </c>
      <c r="M891" s="31">
        <v>0</v>
      </c>
      <c r="N891" s="31">
        <v>0</v>
      </c>
      <c r="O891" s="31">
        <v>249900</v>
      </c>
      <c r="P891" s="31" t="s">
        <v>41</v>
      </c>
      <c r="Q891" s="31" t="s">
        <v>42</v>
      </c>
      <c r="U891" s="31" t="s">
        <v>161</v>
      </c>
      <c r="X891" s="1" t="s">
        <v>3702</v>
      </c>
    </row>
    <row r="892" spans="1:24" x14ac:dyDescent="0.2">
      <c r="A892" s="33" t="s">
        <v>31</v>
      </c>
      <c r="B892" s="33" t="s">
        <v>3703</v>
      </c>
      <c r="C892" s="33" t="s">
        <v>3704</v>
      </c>
      <c r="D892" s="33">
        <f t="shared" si="13"/>
        <v>-1</v>
      </c>
      <c r="E892" s="33" t="s">
        <v>34</v>
      </c>
      <c r="F892" s="33" t="s">
        <v>3449</v>
      </c>
      <c r="G892" s="33" t="s">
        <v>3705</v>
      </c>
      <c r="H892" s="33" t="s">
        <v>37</v>
      </c>
      <c r="I892" s="33" t="s">
        <v>38</v>
      </c>
      <c r="J892" s="33" t="s">
        <v>3706</v>
      </c>
      <c r="K892" s="33" t="s">
        <v>3707</v>
      </c>
      <c r="L892" s="33">
        <v>1194150</v>
      </c>
      <c r="M892" s="33">
        <v>0</v>
      </c>
      <c r="N892" s="33">
        <v>0</v>
      </c>
      <c r="O892" s="33">
        <v>7479150</v>
      </c>
      <c r="P892" s="33" t="s">
        <v>41</v>
      </c>
      <c r="Q892" s="33" t="s">
        <v>42</v>
      </c>
      <c r="W892" s="1" t="s">
        <v>43</v>
      </c>
      <c r="X892" s="1" t="s">
        <v>3708</v>
      </c>
    </row>
    <row r="893" spans="1:24" x14ac:dyDescent="0.2">
      <c r="A893" s="28" t="s">
        <v>31</v>
      </c>
      <c r="B893" s="28" t="s">
        <v>3709</v>
      </c>
      <c r="C893" s="28" t="s">
        <v>3710</v>
      </c>
      <c r="D893" s="28">
        <f t="shared" si="13"/>
        <v>-1</v>
      </c>
      <c r="E893" s="28" t="s">
        <v>34</v>
      </c>
      <c r="F893" s="28" t="s">
        <v>3449</v>
      </c>
      <c r="G893" s="28" t="s">
        <v>3711</v>
      </c>
      <c r="H893" s="28" t="s">
        <v>37</v>
      </c>
      <c r="I893" s="28" t="s">
        <v>38</v>
      </c>
      <c r="J893" s="28" t="s">
        <v>3712</v>
      </c>
      <c r="K893" s="28" t="s">
        <v>3713</v>
      </c>
      <c r="L893" s="28">
        <v>214681</v>
      </c>
      <c r="M893" s="28">
        <v>0</v>
      </c>
      <c r="N893" s="28">
        <v>0</v>
      </c>
      <c r="O893" s="28">
        <v>1344581</v>
      </c>
      <c r="P893" s="28" t="s">
        <v>41</v>
      </c>
      <c r="Q893" s="28" t="s">
        <v>42</v>
      </c>
      <c r="R893" s="1" t="s">
        <v>161</v>
      </c>
    </row>
    <row r="894" spans="1:24" x14ac:dyDescent="0.2">
      <c r="A894" s="28" t="s">
        <v>31</v>
      </c>
      <c r="B894" s="28" t="s">
        <v>3714</v>
      </c>
      <c r="C894" s="28" t="s">
        <v>3715</v>
      </c>
      <c r="D894" s="28">
        <f t="shared" si="13"/>
        <v>-1</v>
      </c>
      <c r="E894" s="28" t="s">
        <v>34</v>
      </c>
      <c r="F894" s="28" t="s">
        <v>3449</v>
      </c>
      <c r="G894" s="28" t="s">
        <v>3716</v>
      </c>
      <c r="H894" s="28" t="s">
        <v>37</v>
      </c>
      <c r="I894" s="28" t="s">
        <v>38</v>
      </c>
      <c r="J894" s="28" t="s">
        <v>3712</v>
      </c>
      <c r="K894" s="28" t="s">
        <v>3713</v>
      </c>
      <c r="L894" s="28">
        <v>214681</v>
      </c>
      <c r="M894" s="28">
        <v>0</v>
      </c>
      <c r="N894" s="28">
        <v>0</v>
      </c>
      <c r="O894" s="28">
        <v>1344581</v>
      </c>
      <c r="P894" s="28" t="s">
        <v>41</v>
      </c>
      <c r="Q894" s="28" t="s">
        <v>42</v>
      </c>
      <c r="R894" s="1" t="s">
        <v>161</v>
      </c>
    </row>
    <row r="895" spans="1:24" x14ac:dyDescent="0.2">
      <c r="A895" s="28" t="s">
        <v>31</v>
      </c>
      <c r="B895" s="28" t="s">
        <v>3717</v>
      </c>
      <c r="C895" s="28" t="s">
        <v>3718</v>
      </c>
      <c r="D895" s="28">
        <f t="shared" si="13"/>
        <v>-1</v>
      </c>
      <c r="E895" s="28" t="s">
        <v>34</v>
      </c>
      <c r="F895" s="28" t="s">
        <v>3449</v>
      </c>
      <c r="G895" s="28" t="s">
        <v>3719</v>
      </c>
      <c r="H895" s="28" t="s">
        <v>37</v>
      </c>
      <c r="I895" s="28" t="s">
        <v>38</v>
      </c>
      <c r="J895" s="28" t="s">
        <v>1569</v>
      </c>
      <c r="K895" s="28" t="s">
        <v>1570</v>
      </c>
      <c r="L895" s="28">
        <v>81937.5</v>
      </c>
      <c r="M895" s="28">
        <v>0</v>
      </c>
      <c r="N895" s="28">
        <v>0</v>
      </c>
      <c r="O895" s="28">
        <v>513187.5</v>
      </c>
      <c r="P895" s="28" t="s">
        <v>41</v>
      </c>
      <c r="Q895" s="28" t="s">
        <v>42</v>
      </c>
      <c r="R895" s="1" t="s">
        <v>161</v>
      </c>
    </row>
    <row r="896" spans="1:24" x14ac:dyDescent="0.2">
      <c r="A896" s="33" t="s">
        <v>31</v>
      </c>
      <c r="B896" s="33" t="s">
        <v>3720</v>
      </c>
      <c r="C896" s="33" t="s">
        <v>3721</v>
      </c>
      <c r="D896" s="33">
        <f t="shared" si="13"/>
        <v>-1</v>
      </c>
      <c r="E896" s="33" t="s">
        <v>34</v>
      </c>
      <c r="F896" s="33" t="s">
        <v>3449</v>
      </c>
      <c r="G896" s="33" t="s">
        <v>3722</v>
      </c>
      <c r="H896" s="33" t="s">
        <v>37</v>
      </c>
      <c r="I896" s="33" t="s">
        <v>38</v>
      </c>
      <c r="J896" s="33" t="s">
        <v>1295</v>
      </c>
      <c r="K896" s="33" t="s">
        <v>1296</v>
      </c>
      <c r="L896" s="33">
        <v>5788160</v>
      </c>
      <c r="M896" s="33">
        <v>0</v>
      </c>
      <c r="N896" s="33">
        <v>0</v>
      </c>
      <c r="O896" s="33">
        <v>36252160</v>
      </c>
      <c r="P896" s="33" t="s">
        <v>41</v>
      </c>
      <c r="Q896" s="33" t="s">
        <v>42</v>
      </c>
      <c r="W896" s="33" t="s">
        <v>43</v>
      </c>
      <c r="X896" s="1" t="s">
        <v>2586</v>
      </c>
    </row>
    <row r="897" spans="1:24" x14ac:dyDescent="0.2">
      <c r="A897" s="33" t="s">
        <v>31</v>
      </c>
      <c r="B897" s="33" t="s">
        <v>3723</v>
      </c>
      <c r="C897" s="33" t="s">
        <v>3724</v>
      </c>
      <c r="D897" s="33">
        <f t="shared" si="13"/>
        <v>-1</v>
      </c>
      <c r="E897" s="33" t="s">
        <v>34</v>
      </c>
      <c r="F897" s="33" t="s">
        <v>3449</v>
      </c>
      <c r="G897" s="33" t="s">
        <v>3725</v>
      </c>
      <c r="H897" s="33" t="s">
        <v>37</v>
      </c>
      <c r="I897" s="33" t="s">
        <v>38</v>
      </c>
      <c r="J897" s="33" t="s">
        <v>3630</v>
      </c>
      <c r="K897" s="33" t="s">
        <v>3631</v>
      </c>
      <c r="L897" s="33">
        <v>182172</v>
      </c>
      <c r="M897" s="33">
        <v>0</v>
      </c>
      <c r="N897" s="33">
        <v>0</v>
      </c>
      <c r="O897" s="33">
        <v>1140972</v>
      </c>
      <c r="P897" s="33" t="s">
        <v>41</v>
      </c>
      <c r="Q897" s="33" t="s">
        <v>42</v>
      </c>
      <c r="W897" s="33" t="s">
        <v>43</v>
      </c>
      <c r="X897" s="1" t="s">
        <v>173</v>
      </c>
    </row>
    <row r="898" spans="1:24" s="34" customFormat="1" x14ac:dyDescent="0.2">
      <c r="A898" s="29" t="s">
        <v>31</v>
      </c>
      <c r="B898" s="29" t="s">
        <v>3726</v>
      </c>
      <c r="C898" s="29" t="s">
        <v>3727</v>
      </c>
      <c r="D898" s="29">
        <f t="shared" si="13"/>
        <v>-1</v>
      </c>
      <c r="E898" s="29" t="s">
        <v>34</v>
      </c>
      <c r="F898" s="29" t="s">
        <v>3728</v>
      </c>
      <c r="G898" s="29" t="s">
        <v>3729</v>
      </c>
      <c r="H898" s="29" t="s">
        <v>37</v>
      </c>
      <c r="I898" s="29" t="s">
        <v>38</v>
      </c>
      <c r="J898" s="29" t="s">
        <v>3730</v>
      </c>
      <c r="K898" s="29" t="s">
        <v>3731</v>
      </c>
      <c r="L898" s="29">
        <v>98515.93</v>
      </c>
      <c r="M898" s="29">
        <v>0</v>
      </c>
      <c r="N898" s="29">
        <v>0</v>
      </c>
      <c r="O898" s="29">
        <v>935970.93</v>
      </c>
      <c r="P898" s="29" t="s">
        <v>41</v>
      </c>
      <c r="Q898" s="29" t="s">
        <v>42</v>
      </c>
      <c r="R898" s="1"/>
      <c r="S898" s="1"/>
      <c r="T898" s="1" t="s">
        <v>161</v>
      </c>
      <c r="U898" s="1"/>
      <c r="V898" s="1"/>
      <c r="W898" s="1"/>
      <c r="X898" s="1"/>
    </row>
    <row r="899" spans="1:24" s="34" customFormat="1" x14ac:dyDescent="0.2">
      <c r="A899" s="33" t="s">
        <v>31</v>
      </c>
      <c r="B899" s="33" t="s">
        <v>3732</v>
      </c>
      <c r="C899" s="33" t="s">
        <v>3733</v>
      </c>
      <c r="D899" s="33">
        <f t="shared" si="13"/>
        <v>-1</v>
      </c>
      <c r="E899" s="33" t="s">
        <v>34</v>
      </c>
      <c r="F899" s="33" t="s">
        <v>3728</v>
      </c>
      <c r="G899" s="33" t="s">
        <v>3734</v>
      </c>
      <c r="H899" s="33" t="s">
        <v>37</v>
      </c>
      <c r="I899" s="33" t="s">
        <v>38</v>
      </c>
      <c r="J899" s="33" t="s">
        <v>735</v>
      </c>
      <c r="K899" s="33" t="s">
        <v>736</v>
      </c>
      <c r="L899" s="33">
        <v>1348240</v>
      </c>
      <c r="M899" s="33">
        <v>0</v>
      </c>
      <c r="N899" s="33">
        <v>0</v>
      </c>
      <c r="O899" s="33">
        <v>8444240</v>
      </c>
      <c r="P899" s="33" t="s">
        <v>41</v>
      </c>
      <c r="Q899" s="33" t="s">
        <v>42</v>
      </c>
      <c r="R899" s="1"/>
      <c r="S899" s="1"/>
      <c r="T899" s="1"/>
      <c r="U899" s="1"/>
      <c r="V899" s="1"/>
      <c r="W899" s="33" t="s">
        <v>43</v>
      </c>
      <c r="X899" s="1" t="s">
        <v>439</v>
      </c>
    </row>
    <row r="900" spans="1:24" s="34" customFormat="1" x14ac:dyDescent="0.2">
      <c r="A900" s="29" t="s">
        <v>31</v>
      </c>
      <c r="B900" s="29" t="s">
        <v>3735</v>
      </c>
      <c r="C900" s="29" t="s">
        <v>3736</v>
      </c>
      <c r="D900" s="29">
        <f t="shared" si="13"/>
        <v>-1</v>
      </c>
      <c r="E900" s="29" t="s">
        <v>34</v>
      </c>
      <c r="F900" s="29" t="s">
        <v>3728</v>
      </c>
      <c r="G900" s="29" t="s">
        <v>3737</v>
      </c>
      <c r="H900" s="29" t="s">
        <v>37</v>
      </c>
      <c r="I900" s="29" t="s">
        <v>38</v>
      </c>
      <c r="J900" s="29" t="s">
        <v>1662</v>
      </c>
      <c r="K900" s="29" t="s">
        <v>1663</v>
      </c>
      <c r="L900" s="29">
        <v>1025962</v>
      </c>
      <c r="M900" s="29">
        <v>0</v>
      </c>
      <c r="N900" s="29">
        <v>0</v>
      </c>
      <c r="O900" s="29">
        <v>6425762</v>
      </c>
      <c r="P900" s="29" t="s">
        <v>41</v>
      </c>
      <c r="Q900" s="29" t="s">
        <v>42</v>
      </c>
      <c r="R900" s="1"/>
      <c r="S900" s="1"/>
      <c r="T900" s="1" t="s">
        <v>161</v>
      </c>
      <c r="U900" s="1"/>
      <c r="V900" s="1"/>
      <c r="W900" s="1"/>
      <c r="X900" s="1"/>
    </row>
    <row r="901" spans="1:24" s="34" customFormat="1" x14ac:dyDescent="0.2">
      <c r="A901" s="29" t="s">
        <v>31</v>
      </c>
      <c r="B901" s="29" t="s">
        <v>3738</v>
      </c>
      <c r="C901" s="29" t="s">
        <v>3739</v>
      </c>
      <c r="D901" s="29">
        <f t="shared" si="13"/>
        <v>-1</v>
      </c>
      <c r="E901" s="29" t="s">
        <v>34</v>
      </c>
      <c r="F901" s="29" t="s">
        <v>3728</v>
      </c>
      <c r="G901" s="29" t="s">
        <v>3740</v>
      </c>
      <c r="H901" s="29" t="s">
        <v>37</v>
      </c>
      <c r="I901" s="29" t="s">
        <v>38</v>
      </c>
      <c r="J901" s="29" t="s">
        <v>1662</v>
      </c>
      <c r="K901" s="29" t="s">
        <v>1663</v>
      </c>
      <c r="L901" s="29">
        <v>0</v>
      </c>
      <c r="M901" s="29">
        <v>0</v>
      </c>
      <c r="N901" s="29">
        <v>0</v>
      </c>
      <c r="O901" s="29">
        <v>4679400</v>
      </c>
      <c r="P901" s="29" t="s">
        <v>41</v>
      </c>
      <c r="Q901" s="29" t="s">
        <v>42</v>
      </c>
      <c r="R901" s="1"/>
      <c r="S901" s="1"/>
      <c r="T901" s="1" t="s">
        <v>161</v>
      </c>
      <c r="U901" s="1"/>
      <c r="V901" s="1"/>
      <c r="W901" s="1"/>
      <c r="X901" s="1"/>
    </row>
    <row r="902" spans="1:24" s="34" customFormat="1" x14ac:dyDescent="0.2">
      <c r="A902" s="33" t="s">
        <v>31</v>
      </c>
      <c r="B902" s="33" t="s">
        <v>3741</v>
      </c>
      <c r="C902" s="33" t="s">
        <v>3742</v>
      </c>
      <c r="D902" s="33">
        <f t="shared" si="13"/>
        <v>-1</v>
      </c>
      <c r="E902" s="33" t="s">
        <v>34</v>
      </c>
      <c r="F902" s="33" t="s">
        <v>3728</v>
      </c>
      <c r="G902" s="33" t="s">
        <v>3743</v>
      </c>
      <c r="H902" s="33" t="s">
        <v>37</v>
      </c>
      <c r="I902" s="33" t="s">
        <v>38</v>
      </c>
      <c r="J902" s="33" t="s">
        <v>3744</v>
      </c>
      <c r="K902" s="33" t="s">
        <v>3745</v>
      </c>
      <c r="L902" s="33">
        <v>16910</v>
      </c>
      <c r="M902" s="33">
        <v>0</v>
      </c>
      <c r="N902" s="33">
        <v>0</v>
      </c>
      <c r="O902" s="33">
        <v>105910</v>
      </c>
      <c r="P902" s="33" t="s">
        <v>41</v>
      </c>
      <c r="Q902" s="33" t="s">
        <v>42</v>
      </c>
      <c r="R902" s="1"/>
      <c r="S902" s="1"/>
      <c r="T902" s="1"/>
      <c r="U902" s="1"/>
      <c r="V902" s="1"/>
      <c r="W902" s="33" t="s">
        <v>161</v>
      </c>
      <c r="X902" s="1" t="s">
        <v>2384</v>
      </c>
    </row>
    <row r="903" spans="1:24" s="34" customFormat="1" x14ac:dyDescent="0.2">
      <c r="A903" s="33" t="s">
        <v>31</v>
      </c>
      <c r="B903" s="33" t="s">
        <v>3746</v>
      </c>
      <c r="C903" s="33" t="s">
        <v>3747</v>
      </c>
      <c r="D903" s="33">
        <f t="shared" si="13"/>
        <v>-1</v>
      </c>
      <c r="E903" s="33" t="s">
        <v>34</v>
      </c>
      <c r="F903" s="33" t="s">
        <v>3728</v>
      </c>
      <c r="G903" s="33" t="s">
        <v>3748</v>
      </c>
      <c r="H903" s="33" t="s">
        <v>37</v>
      </c>
      <c r="I903" s="33" t="s">
        <v>38</v>
      </c>
      <c r="J903" s="33" t="s">
        <v>3749</v>
      </c>
      <c r="K903" s="33" t="s">
        <v>3750</v>
      </c>
      <c r="L903" s="33">
        <v>50856</v>
      </c>
      <c r="M903" s="33">
        <v>0</v>
      </c>
      <c r="N903" s="33">
        <v>0</v>
      </c>
      <c r="O903" s="33">
        <v>550056</v>
      </c>
      <c r="P903" s="33" t="s">
        <v>41</v>
      </c>
      <c r="Q903" s="33" t="s">
        <v>42</v>
      </c>
      <c r="R903" s="1"/>
      <c r="S903" s="1"/>
      <c r="T903" s="1"/>
      <c r="U903" s="1"/>
      <c r="V903" s="1"/>
      <c r="W903" s="33" t="s">
        <v>43</v>
      </c>
      <c r="X903" s="1" t="s">
        <v>3126</v>
      </c>
    </row>
    <row r="904" spans="1:24" s="34" customFormat="1" x14ac:dyDescent="0.2">
      <c r="A904" s="33" t="s">
        <v>31</v>
      </c>
      <c r="B904" s="33" t="s">
        <v>3751</v>
      </c>
      <c r="C904" s="33" t="s">
        <v>3752</v>
      </c>
      <c r="D904" s="33">
        <f t="shared" si="13"/>
        <v>-1</v>
      </c>
      <c r="E904" s="33" t="s">
        <v>34</v>
      </c>
      <c r="F904" s="33" t="s">
        <v>3728</v>
      </c>
      <c r="G904" s="33" t="s">
        <v>3753</v>
      </c>
      <c r="H904" s="33" t="s">
        <v>37</v>
      </c>
      <c r="I904" s="33" t="s">
        <v>38</v>
      </c>
      <c r="J904" s="33" t="s">
        <v>3749</v>
      </c>
      <c r="K904" s="33" t="s">
        <v>3750</v>
      </c>
      <c r="L904" s="33">
        <v>40084</v>
      </c>
      <c r="M904" s="33">
        <v>0</v>
      </c>
      <c r="N904" s="33">
        <v>0</v>
      </c>
      <c r="O904" s="33">
        <v>474484</v>
      </c>
      <c r="P904" s="33" t="s">
        <v>41</v>
      </c>
      <c r="Q904" s="33" t="s">
        <v>42</v>
      </c>
      <c r="R904" s="1"/>
      <c r="S904" s="1"/>
      <c r="T904" s="1"/>
      <c r="U904" s="1"/>
      <c r="V904" s="1"/>
      <c r="W904" s="33" t="s">
        <v>43</v>
      </c>
      <c r="X904" s="1" t="s">
        <v>3126</v>
      </c>
    </row>
    <row r="905" spans="1:24" s="34" customFormat="1" x14ac:dyDescent="0.2">
      <c r="A905" s="33" t="s">
        <v>31</v>
      </c>
      <c r="B905" s="33" t="s">
        <v>3754</v>
      </c>
      <c r="C905" s="33" t="s">
        <v>3755</v>
      </c>
      <c r="D905" s="33">
        <f t="shared" si="13"/>
        <v>-1</v>
      </c>
      <c r="E905" s="33" t="s">
        <v>34</v>
      </c>
      <c r="F905" s="33" t="s">
        <v>3728</v>
      </c>
      <c r="G905" s="33" t="s">
        <v>3756</v>
      </c>
      <c r="H905" s="33" t="s">
        <v>37</v>
      </c>
      <c r="I905" s="33" t="s">
        <v>38</v>
      </c>
      <c r="J905" s="33" t="s">
        <v>3374</v>
      </c>
      <c r="K905" s="33" t="s">
        <v>3375</v>
      </c>
      <c r="L905" s="33">
        <v>119700</v>
      </c>
      <c r="M905" s="33">
        <v>0</v>
      </c>
      <c r="N905" s="33">
        <v>0</v>
      </c>
      <c r="O905" s="33">
        <v>749700</v>
      </c>
      <c r="P905" s="33" t="s">
        <v>41</v>
      </c>
      <c r="Q905" s="33" t="s">
        <v>42</v>
      </c>
      <c r="R905" s="1"/>
      <c r="S905" s="1"/>
      <c r="T905" s="1"/>
      <c r="U905" s="1"/>
      <c r="V905" s="1"/>
      <c r="W905" s="33" t="s">
        <v>161</v>
      </c>
      <c r="X905" s="1" t="s">
        <v>2384</v>
      </c>
    </row>
    <row r="906" spans="1:24" s="34" customFormat="1" x14ac:dyDescent="0.2">
      <c r="A906" s="1" t="s">
        <v>31</v>
      </c>
      <c r="B906" s="1" t="s">
        <v>3757</v>
      </c>
      <c r="C906" s="1" t="s">
        <v>3758</v>
      </c>
      <c r="D906" s="1">
        <f t="shared" si="13"/>
        <v>-1</v>
      </c>
      <c r="E906" s="1" t="s">
        <v>34</v>
      </c>
      <c r="F906" s="1" t="s">
        <v>3728</v>
      </c>
      <c r="G906" s="1" t="s">
        <v>3759</v>
      </c>
      <c r="H906" s="1" t="s">
        <v>37</v>
      </c>
      <c r="I906" s="1" t="s">
        <v>38</v>
      </c>
      <c r="J906" s="1" t="s">
        <v>2595</v>
      </c>
      <c r="K906" s="1" t="s">
        <v>2596</v>
      </c>
      <c r="L906" s="1">
        <v>119700</v>
      </c>
      <c r="M906" s="1">
        <v>0</v>
      </c>
      <c r="N906" s="1">
        <v>0</v>
      </c>
      <c r="O906" s="1">
        <v>749700</v>
      </c>
      <c r="P906" s="1" t="s">
        <v>41</v>
      </c>
      <c r="Q906" s="1" t="s">
        <v>42</v>
      </c>
      <c r="R906" s="1"/>
      <c r="S906" s="1"/>
      <c r="T906" s="1"/>
      <c r="U906" s="1"/>
      <c r="V906" s="1"/>
      <c r="W906" s="1"/>
      <c r="X906" s="1"/>
    </row>
    <row r="907" spans="1:24" s="34" customFormat="1" x14ac:dyDescent="0.2">
      <c r="A907" s="33" t="s">
        <v>31</v>
      </c>
      <c r="B907" s="33" t="s">
        <v>3760</v>
      </c>
      <c r="C907" s="33" t="s">
        <v>3761</v>
      </c>
      <c r="D907" s="33">
        <f t="shared" ref="D907:D970" si="14">C907-C908</f>
        <v>-1</v>
      </c>
      <c r="E907" s="33" t="s">
        <v>34</v>
      </c>
      <c r="F907" s="33" t="s">
        <v>3728</v>
      </c>
      <c r="G907" s="33" t="s">
        <v>3762</v>
      </c>
      <c r="H907" s="33" t="s">
        <v>37</v>
      </c>
      <c r="I907" s="33" t="s">
        <v>38</v>
      </c>
      <c r="J907" s="33" t="s">
        <v>2595</v>
      </c>
      <c r="K907" s="33" t="s">
        <v>2596</v>
      </c>
      <c r="L907" s="33">
        <v>10070</v>
      </c>
      <c r="M907" s="33">
        <v>0</v>
      </c>
      <c r="N907" s="33">
        <v>0</v>
      </c>
      <c r="O907" s="33">
        <v>63070</v>
      </c>
      <c r="P907" s="33" t="s">
        <v>41</v>
      </c>
      <c r="Q907" s="33" t="s">
        <v>42</v>
      </c>
      <c r="R907" s="1"/>
      <c r="S907" s="1"/>
      <c r="T907" s="1"/>
      <c r="U907" s="1"/>
      <c r="V907" s="1"/>
      <c r="W907" s="33" t="s">
        <v>161</v>
      </c>
      <c r="X907" s="1" t="s">
        <v>2004</v>
      </c>
    </row>
    <row r="908" spans="1:24" s="34" customFormat="1" x14ac:dyDescent="0.2">
      <c r="A908" s="29" t="s">
        <v>31</v>
      </c>
      <c r="B908" s="29" t="s">
        <v>3763</v>
      </c>
      <c r="C908" s="29" t="s">
        <v>3764</v>
      </c>
      <c r="D908" s="29">
        <f t="shared" si="14"/>
        <v>-1</v>
      </c>
      <c r="E908" s="29" t="s">
        <v>34</v>
      </c>
      <c r="F908" s="29" t="s">
        <v>3728</v>
      </c>
      <c r="G908" s="29" t="s">
        <v>3765</v>
      </c>
      <c r="H908" s="29" t="s">
        <v>37</v>
      </c>
      <c r="I908" s="29" t="s">
        <v>38</v>
      </c>
      <c r="J908" s="29" t="s">
        <v>2783</v>
      </c>
      <c r="K908" s="29" t="s">
        <v>2784</v>
      </c>
      <c r="L908" s="29">
        <v>91200</v>
      </c>
      <c r="M908" s="29">
        <v>0</v>
      </c>
      <c r="N908" s="29">
        <v>0</v>
      </c>
      <c r="O908" s="29">
        <v>571200</v>
      </c>
      <c r="P908" s="29" t="s">
        <v>41</v>
      </c>
      <c r="Q908" s="29" t="s">
        <v>42</v>
      </c>
      <c r="R908" s="1"/>
      <c r="S908" s="1"/>
      <c r="T908" s="1" t="s">
        <v>161</v>
      </c>
      <c r="U908" s="1"/>
      <c r="V908" s="1"/>
      <c r="W908" s="1"/>
      <c r="X908" s="1"/>
    </row>
    <row r="909" spans="1:24" s="34" customFormat="1" x14ac:dyDescent="0.2">
      <c r="A909" s="33" t="s">
        <v>31</v>
      </c>
      <c r="B909" s="33" t="s">
        <v>3766</v>
      </c>
      <c r="C909" s="33" t="s">
        <v>3767</v>
      </c>
      <c r="D909" s="33">
        <f t="shared" si="14"/>
        <v>-1</v>
      </c>
      <c r="E909" s="33" t="s">
        <v>34</v>
      </c>
      <c r="F909" s="33" t="s">
        <v>3728</v>
      </c>
      <c r="G909" s="33" t="s">
        <v>3768</v>
      </c>
      <c r="H909" s="33" t="s">
        <v>37</v>
      </c>
      <c r="I909" s="33" t="s">
        <v>38</v>
      </c>
      <c r="J909" s="33" t="s">
        <v>2590</v>
      </c>
      <c r="K909" s="33" t="s">
        <v>2591</v>
      </c>
      <c r="L909" s="33">
        <v>61560</v>
      </c>
      <c r="M909" s="33">
        <v>0</v>
      </c>
      <c r="N909" s="33">
        <v>0</v>
      </c>
      <c r="O909" s="33">
        <v>385560</v>
      </c>
      <c r="P909" s="33" t="s">
        <v>41</v>
      </c>
      <c r="Q909" s="33" t="s">
        <v>42</v>
      </c>
      <c r="R909" s="1"/>
      <c r="S909" s="1"/>
      <c r="T909" s="1"/>
      <c r="U909" s="1"/>
      <c r="V909" s="1"/>
      <c r="W909" s="33" t="s">
        <v>161</v>
      </c>
      <c r="X909" s="1" t="s">
        <v>447</v>
      </c>
    </row>
    <row r="910" spans="1:24" s="34" customFormat="1" x14ac:dyDescent="0.2">
      <c r="A910" s="29" t="s">
        <v>31</v>
      </c>
      <c r="B910" s="29" t="s">
        <v>3769</v>
      </c>
      <c r="C910" s="29" t="s">
        <v>3770</v>
      </c>
      <c r="D910" s="29">
        <f t="shared" si="14"/>
        <v>-1</v>
      </c>
      <c r="E910" s="29" t="s">
        <v>34</v>
      </c>
      <c r="F910" s="29" t="s">
        <v>3728</v>
      </c>
      <c r="G910" s="29" t="s">
        <v>3771</v>
      </c>
      <c r="H910" s="29" t="s">
        <v>37</v>
      </c>
      <c r="I910" s="29" t="s">
        <v>38</v>
      </c>
      <c r="J910" s="29" t="s">
        <v>3772</v>
      </c>
      <c r="K910" s="29" t="s">
        <v>3773</v>
      </c>
      <c r="L910" s="29">
        <v>48899.16</v>
      </c>
      <c r="M910" s="29">
        <v>0</v>
      </c>
      <c r="N910" s="29">
        <v>0</v>
      </c>
      <c r="O910" s="29">
        <v>328239.15999999997</v>
      </c>
      <c r="P910" s="29" t="s">
        <v>41</v>
      </c>
      <c r="Q910" s="29" t="s">
        <v>42</v>
      </c>
      <c r="R910" s="1"/>
      <c r="S910" s="1"/>
      <c r="T910" s="1" t="s">
        <v>161</v>
      </c>
      <c r="U910" s="1"/>
      <c r="V910" s="1"/>
      <c r="W910" s="1"/>
      <c r="X910" s="1"/>
    </row>
    <row r="911" spans="1:24" s="34" customFormat="1" x14ac:dyDescent="0.2">
      <c r="A911" s="28" t="s">
        <v>31</v>
      </c>
      <c r="B911" s="28" t="s">
        <v>3774</v>
      </c>
      <c r="C911" s="28" t="s">
        <v>3775</v>
      </c>
      <c r="D911" s="28">
        <f t="shared" si="14"/>
        <v>-1</v>
      </c>
      <c r="E911" s="28" t="s">
        <v>34</v>
      </c>
      <c r="F911" s="28" t="s">
        <v>3728</v>
      </c>
      <c r="G911" s="28" t="s">
        <v>3776</v>
      </c>
      <c r="H911" s="28" t="s">
        <v>37</v>
      </c>
      <c r="I911" s="28" t="s">
        <v>38</v>
      </c>
      <c r="J911" s="28" t="s">
        <v>3777</v>
      </c>
      <c r="K911" s="28" t="s">
        <v>3778</v>
      </c>
      <c r="L911" s="28">
        <v>5141223.3</v>
      </c>
      <c r="M911" s="28">
        <v>0</v>
      </c>
      <c r="N911" s="28">
        <v>0</v>
      </c>
      <c r="O911" s="28">
        <v>32200293.300000001</v>
      </c>
      <c r="P911" s="28" t="s">
        <v>41</v>
      </c>
      <c r="Q911" s="28" t="s">
        <v>42</v>
      </c>
      <c r="R911" s="1" t="s">
        <v>161</v>
      </c>
      <c r="S911" s="1"/>
      <c r="T911" s="1"/>
      <c r="U911" s="1"/>
      <c r="V911" s="1"/>
      <c r="W911" s="1"/>
      <c r="X911" s="1"/>
    </row>
    <row r="912" spans="1:24" s="34" customFormat="1" x14ac:dyDescent="0.2">
      <c r="A912" s="29" t="s">
        <v>31</v>
      </c>
      <c r="B912" s="29" t="s">
        <v>3779</v>
      </c>
      <c r="C912" s="29" t="s">
        <v>3780</v>
      </c>
      <c r="D912" s="29">
        <f t="shared" si="14"/>
        <v>-1</v>
      </c>
      <c r="E912" s="29" t="s">
        <v>34</v>
      </c>
      <c r="F912" s="29" t="s">
        <v>3728</v>
      </c>
      <c r="G912" s="29" t="s">
        <v>3781</v>
      </c>
      <c r="H912" s="29" t="s">
        <v>37</v>
      </c>
      <c r="I912" s="29" t="s">
        <v>38</v>
      </c>
      <c r="J912" s="29" t="s">
        <v>2425</v>
      </c>
      <c r="K912" s="29" t="s">
        <v>2426</v>
      </c>
      <c r="L912" s="29">
        <v>668796.19999999995</v>
      </c>
      <c r="M912" s="29">
        <v>0</v>
      </c>
      <c r="N912" s="29">
        <v>0</v>
      </c>
      <c r="O912" s="29">
        <v>4693776.2</v>
      </c>
      <c r="P912" s="29" t="s">
        <v>41</v>
      </c>
      <c r="Q912" s="29" t="s">
        <v>42</v>
      </c>
      <c r="R912" s="1"/>
      <c r="S912" s="1"/>
      <c r="T912" s="1" t="s">
        <v>161</v>
      </c>
      <c r="U912" s="1"/>
      <c r="V912" s="1"/>
      <c r="W912" s="1"/>
      <c r="X912" s="1"/>
    </row>
    <row r="913" spans="1:24" s="34" customFormat="1" x14ac:dyDescent="0.2">
      <c r="A913" s="31" t="s">
        <v>31</v>
      </c>
      <c r="B913" s="31" t="s">
        <v>3782</v>
      </c>
      <c r="C913" s="31" t="s">
        <v>3783</v>
      </c>
      <c r="D913" s="31">
        <f t="shared" si="14"/>
        <v>-1</v>
      </c>
      <c r="E913" s="31" t="s">
        <v>34</v>
      </c>
      <c r="F913" s="31" t="s">
        <v>3728</v>
      </c>
      <c r="G913" s="31" t="s">
        <v>3784</v>
      </c>
      <c r="H913" s="31" t="s">
        <v>37</v>
      </c>
      <c r="I913" s="31" t="s">
        <v>38</v>
      </c>
      <c r="J913" s="31" t="s">
        <v>3785</v>
      </c>
      <c r="K913" s="31" t="s">
        <v>3786</v>
      </c>
      <c r="L913" s="31">
        <v>33022</v>
      </c>
      <c r="M913" s="31">
        <v>0</v>
      </c>
      <c r="N913" s="31">
        <v>0</v>
      </c>
      <c r="O913" s="31">
        <v>206822</v>
      </c>
      <c r="P913" s="31" t="s">
        <v>41</v>
      </c>
      <c r="Q913" s="31" t="s">
        <v>42</v>
      </c>
      <c r="R913" s="1"/>
      <c r="S913" s="1"/>
      <c r="T913" s="1"/>
      <c r="U913" s="31" t="s">
        <v>161</v>
      </c>
      <c r="V913" s="1"/>
      <c r="W913" s="1"/>
      <c r="X913" s="1"/>
    </row>
    <row r="914" spans="1:24" s="34" customFormat="1" x14ac:dyDescent="0.2">
      <c r="A914" s="29" t="s">
        <v>31</v>
      </c>
      <c r="B914" s="29" t="s">
        <v>3787</v>
      </c>
      <c r="C914" s="29" t="s">
        <v>3788</v>
      </c>
      <c r="D914" s="29">
        <f t="shared" si="14"/>
        <v>-1</v>
      </c>
      <c r="E914" s="29" t="s">
        <v>34</v>
      </c>
      <c r="F914" s="29" t="s">
        <v>3728</v>
      </c>
      <c r="G914" s="29" t="s">
        <v>3789</v>
      </c>
      <c r="H914" s="29" t="s">
        <v>37</v>
      </c>
      <c r="I914" s="29" t="s">
        <v>38</v>
      </c>
      <c r="J914" s="29" t="s">
        <v>3478</v>
      </c>
      <c r="K914" s="29" t="s">
        <v>3479</v>
      </c>
      <c r="L914" s="29">
        <v>27493</v>
      </c>
      <c r="M914" s="29">
        <v>0</v>
      </c>
      <c r="N914" s="29">
        <v>0</v>
      </c>
      <c r="O914" s="29">
        <v>172193</v>
      </c>
      <c r="P914" s="29" t="s">
        <v>41</v>
      </c>
      <c r="Q914" s="29" t="s">
        <v>42</v>
      </c>
      <c r="R914" s="1"/>
      <c r="S914" s="1"/>
      <c r="T914" s="1" t="s">
        <v>161</v>
      </c>
      <c r="U914" s="1"/>
      <c r="V914" s="1"/>
      <c r="W914" s="1"/>
      <c r="X914" s="1"/>
    </row>
    <row r="915" spans="1:24" s="34" customFormat="1" x14ac:dyDescent="0.2">
      <c r="A915" s="29" t="s">
        <v>31</v>
      </c>
      <c r="B915" s="29" t="s">
        <v>3790</v>
      </c>
      <c r="C915" s="29" t="s">
        <v>3791</v>
      </c>
      <c r="D915" s="29">
        <f t="shared" si="14"/>
        <v>-1</v>
      </c>
      <c r="E915" s="29" t="s">
        <v>34</v>
      </c>
      <c r="F915" s="29" t="s">
        <v>3728</v>
      </c>
      <c r="G915" s="29" t="s">
        <v>3792</v>
      </c>
      <c r="H915" s="29" t="s">
        <v>37</v>
      </c>
      <c r="I915" s="29" t="s">
        <v>38</v>
      </c>
      <c r="J915" s="29" t="s">
        <v>3478</v>
      </c>
      <c r="K915" s="29" t="s">
        <v>3479</v>
      </c>
      <c r="L915" s="29">
        <v>93708</v>
      </c>
      <c r="M915" s="29">
        <v>0</v>
      </c>
      <c r="N915" s="29">
        <v>0</v>
      </c>
      <c r="O915" s="29">
        <v>586908</v>
      </c>
      <c r="P915" s="29" t="s">
        <v>41</v>
      </c>
      <c r="Q915" s="29" t="s">
        <v>42</v>
      </c>
      <c r="R915" s="1"/>
      <c r="S915" s="1"/>
      <c r="T915" s="1" t="s">
        <v>161</v>
      </c>
      <c r="U915" s="1"/>
      <c r="V915" s="1"/>
      <c r="W915" s="1"/>
      <c r="X915" s="1"/>
    </row>
    <row r="916" spans="1:24" s="34" customFormat="1" x14ac:dyDescent="0.2">
      <c r="A916" s="29" t="s">
        <v>31</v>
      </c>
      <c r="B916" s="29" t="s">
        <v>3793</v>
      </c>
      <c r="C916" s="29" t="s">
        <v>3794</v>
      </c>
      <c r="D916" s="29">
        <f t="shared" si="14"/>
        <v>-1</v>
      </c>
      <c r="E916" s="29" t="s">
        <v>34</v>
      </c>
      <c r="F916" s="29" t="s">
        <v>3728</v>
      </c>
      <c r="G916" s="29" t="s">
        <v>3795</v>
      </c>
      <c r="H916" s="29" t="s">
        <v>37</v>
      </c>
      <c r="I916" s="29" t="s">
        <v>38</v>
      </c>
      <c r="J916" s="29" t="s">
        <v>877</v>
      </c>
      <c r="K916" s="29" t="s">
        <v>878</v>
      </c>
      <c r="L916" s="29">
        <v>13452</v>
      </c>
      <c r="M916" s="29">
        <v>0</v>
      </c>
      <c r="N916" s="29">
        <v>0</v>
      </c>
      <c r="O916" s="29">
        <v>84252</v>
      </c>
      <c r="P916" s="29" t="s">
        <v>41</v>
      </c>
      <c r="Q916" s="29" t="s">
        <v>42</v>
      </c>
      <c r="R916" s="1"/>
      <c r="S916" s="1"/>
      <c r="T916" s="1" t="s">
        <v>161</v>
      </c>
      <c r="U916" s="1"/>
      <c r="V916" s="1"/>
      <c r="W916" s="1"/>
      <c r="X916" s="1"/>
    </row>
    <row r="917" spans="1:24" s="34" customFormat="1" x14ac:dyDescent="0.2">
      <c r="A917" s="1" t="s">
        <v>31</v>
      </c>
      <c r="B917" s="1" t="s">
        <v>3796</v>
      </c>
      <c r="C917" s="1" t="s">
        <v>3797</v>
      </c>
      <c r="D917" s="1">
        <f t="shared" si="14"/>
        <v>-1</v>
      </c>
      <c r="E917" s="1" t="s">
        <v>34</v>
      </c>
      <c r="F917" s="1" t="s">
        <v>3728</v>
      </c>
      <c r="G917" s="1" t="s">
        <v>3798</v>
      </c>
      <c r="H917" s="1" t="s">
        <v>37</v>
      </c>
      <c r="I917" s="1" t="s">
        <v>38</v>
      </c>
      <c r="J917" s="1" t="s">
        <v>3676</v>
      </c>
      <c r="K917" s="1" t="s">
        <v>3677</v>
      </c>
      <c r="L917" s="1">
        <v>133000</v>
      </c>
      <c r="M917" s="1">
        <v>0</v>
      </c>
      <c r="N917" s="1">
        <v>0</v>
      </c>
      <c r="O917" s="1">
        <v>833000</v>
      </c>
      <c r="P917" s="1" t="s">
        <v>41</v>
      </c>
      <c r="Q917" s="1" t="s">
        <v>42</v>
      </c>
      <c r="R917" s="1"/>
      <c r="S917" s="1"/>
      <c r="T917" s="1"/>
      <c r="U917" s="1"/>
      <c r="V917" s="1" t="s">
        <v>161</v>
      </c>
      <c r="W917" s="1"/>
      <c r="X917" s="1"/>
    </row>
    <row r="918" spans="1:24" s="34" customFormat="1" x14ac:dyDescent="0.2">
      <c r="A918" s="1" t="s">
        <v>31</v>
      </c>
      <c r="B918" s="1" t="s">
        <v>3799</v>
      </c>
      <c r="C918" s="1" t="s">
        <v>3800</v>
      </c>
      <c r="D918" s="1">
        <f t="shared" si="14"/>
        <v>-1</v>
      </c>
      <c r="E918" s="1" t="s">
        <v>34</v>
      </c>
      <c r="F918" s="1" t="s">
        <v>3728</v>
      </c>
      <c r="G918" s="1" t="s">
        <v>3801</v>
      </c>
      <c r="H918" s="1" t="s">
        <v>37</v>
      </c>
      <c r="I918" s="1" t="s">
        <v>38</v>
      </c>
      <c r="J918" s="1" t="s">
        <v>3802</v>
      </c>
      <c r="K918" s="1" t="s">
        <v>3803</v>
      </c>
      <c r="L918" s="1">
        <v>600400</v>
      </c>
      <c r="M918" s="1">
        <v>0</v>
      </c>
      <c r="N918" s="1">
        <v>0</v>
      </c>
      <c r="O918" s="1">
        <v>3760400</v>
      </c>
      <c r="P918" s="1" t="s">
        <v>41</v>
      </c>
      <c r="Q918" s="1" t="s">
        <v>42</v>
      </c>
      <c r="R918" s="1"/>
      <c r="S918" s="1"/>
      <c r="T918" s="1"/>
      <c r="U918" s="1"/>
      <c r="V918" s="1" t="s">
        <v>161</v>
      </c>
      <c r="W918" s="1"/>
      <c r="X918" s="1"/>
    </row>
    <row r="919" spans="1:24" s="34" customFormat="1" x14ac:dyDescent="0.2">
      <c r="A919" s="1" t="s">
        <v>31</v>
      </c>
      <c r="B919" s="1" t="s">
        <v>3804</v>
      </c>
      <c r="C919" s="1" t="s">
        <v>3805</v>
      </c>
      <c r="D919" s="1">
        <f t="shared" si="14"/>
        <v>-1</v>
      </c>
      <c r="E919" s="1" t="s">
        <v>34</v>
      </c>
      <c r="F919" s="1" t="s">
        <v>3728</v>
      </c>
      <c r="G919" s="1" t="s">
        <v>3806</v>
      </c>
      <c r="H919" s="1" t="s">
        <v>37</v>
      </c>
      <c r="I919" s="1" t="s">
        <v>38</v>
      </c>
      <c r="J919" s="1" t="s">
        <v>3807</v>
      </c>
      <c r="K919" s="1" t="s">
        <v>3808</v>
      </c>
      <c r="L919" s="1">
        <v>84564.44</v>
      </c>
      <c r="M919" s="1">
        <v>0</v>
      </c>
      <c r="N919" s="1">
        <v>0</v>
      </c>
      <c r="O919" s="1">
        <v>529640.43999999994</v>
      </c>
      <c r="P919" s="1" t="s">
        <v>41</v>
      </c>
      <c r="Q919" s="1" t="s">
        <v>42</v>
      </c>
      <c r="R919" s="1"/>
      <c r="S919" s="1"/>
      <c r="T919" s="1"/>
      <c r="U919" s="1"/>
      <c r="V919" s="1" t="s">
        <v>161</v>
      </c>
      <c r="W919" s="1"/>
      <c r="X919" s="1"/>
    </row>
    <row r="920" spans="1:24" s="34" customFormat="1" x14ac:dyDescent="0.2">
      <c r="A920" s="1" t="s">
        <v>31</v>
      </c>
      <c r="B920" s="1" t="s">
        <v>3809</v>
      </c>
      <c r="C920" s="1" t="s">
        <v>3810</v>
      </c>
      <c r="D920" s="1">
        <f t="shared" si="14"/>
        <v>-1</v>
      </c>
      <c r="E920" s="1" t="s">
        <v>34</v>
      </c>
      <c r="F920" s="1" t="s">
        <v>3728</v>
      </c>
      <c r="G920" s="1" t="s">
        <v>3811</v>
      </c>
      <c r="H920" s="1" t="s">
        <v>37</v>
      </c>
      <c r="I920" s="1" t="s">
        <v>38</v>
      </c>
      <c r="J920" s="1" t="s">
        <v>3807</v>
      </c>
      <c r="K920" s="1" t="s">
        <v>3808</v>
      </c>
      <c r="L920" s="1">
        <v>165592.6</v>
      </c>
      <c r="M920" s="1">
        <v>0</v>
      </c>
      <c r="N920" s="1">
        <v>0</v>
      </c>
      <c r="O920" s="1">
        <v>1037132.6</v>
      </c>
      <c r="P920" s="1" t="s">
        <v>41</v>
      </c>
      <c r="Q920" s="1" t="s">
        <v>42</v>
      </c>
      <c r="R920" s="1"/>
      <c r="S920" s="1"/>
      <c r="T920" s="1"/>
      <c r="U920" s="1"/>
      <c r="V920" s="1" t="s">
        <v>161</v>
      </c>
      <c r="W920" s="1"/>
      <c r="X920" s="1"/>
    </row>
    <row r="921" spans="1:24" s="34" customFormat="1" x14ac:dyDescent="0.2">
      <c r="A921" s="1" t="s">
        <v>31</v>
      </c>
      <c r="B921" s="1" t="s">
        <v>3812</v>
      </c>
      <c r="C921" s="1" t="s">
        <v>3813</v>
      </c>
      <c r="D921" s="1">
        <f t="shared" si="14"/>
        <v>-1</v>
      </c>
      <c r="E921" s="1" t="s">
        <v>34</v>
      </c>
      <c r="F921" s="1" t="s">
        <v>3728</v>
      </c>
      <c r="G921" s="1" t="s">
        <v>3814</v>
      </c>
      <c r="H921" s="1" t="s">
        <v>37</v>
      </c>
      <c r="I921" s="1" t="s">
        <v>38</v>
      </c>
      <c r="J921" s="1" t="s">
        <v>3807</v>
      </c>
      <c r="K921" s="1" t="s">
        <v>3808</v>
      </c>
      <c r="L921" s="1">
        <v>85500</v>
      </c>
      <c r="M921" s="1">
        <v>0</v>
      </c>
      <c r="N921" s="1">
        <v>0</v>
      </c>
      <c r="O921" s="1">
        <v>535500</v>
      </c>
      <c r="P921" s="1" t="s">
        <v>41</v>
      </c>
      <c r="Q921" s="1" t="s">
        <v>42</v>
      </c>
      <c r="R921" s="1"/>
      <c r="S921" s="1"/>
      <c r="T921" s="1"/>
      <c r="U921" s="1"/>
      <c r="V921" s="1" t="s">
        <v>161</v>
      </c>
      <c r="W921" s="1"/>
      <c r="X921" s="1"/>
    </row>
    <row r="922" spans="1:24" s="34" customFormat="1" x14ac:dyDescent="0.2">
      <c r="A922" s="33" t="s">
        <v>31</v>
      </c>
      <c r="B922" s="33" t="s">
        <v>3815</v>
      </c>
      <c r="C922" s="33" t="s">
        <v>3816</v>
      </c>
      <c r="D922" s="33">
        <f t="shared" si="14"/>
        <v>-1</v>
      </c>
      <c r="E922" s="33" t="s">
        <v>34</v>
      </c>
      <c r="F922" s="33" t="s">
        <v>3728</v>
      </c>
      <c r="G922" s="33" t="s">
        <v>3817</v>
      </c>
      <c r="H922" s="33" t="s">
        <v>37</v>
      </c>
      <c r="I922" s="33" t="s">
        <v>38</v>
      </c>
      <c r="J922" s="33" t="s">
        <v>2590</v>
      </c>
      <c r="K922" s="33" t="s">
        <v>2591</v>
      </c>
      <c r="L922" s="33">
        <v>114000</v>
      </c>
      <c r="M922" s="33">
        <v>0</v>
      </c>
      <c r="N922" s="33">
        <v>0</v>
      </c>
      <c r="O922" s="33">
        <v>714000</v>
      </c>
      <c r="P922" s="33" t="s">
        <v>41</v>
      </c>
      <c r="Q922" s="33" t="s">
        <v>42</v>
      </c>
      <c r="R922" s="1"/>
      <c r="S922" s="1"/>
      <c r="T922" s="1"/>
      <c r="U922" s="1"/>
      <c r="V922" s="1"/>
      <c r="W922" s="33" t="s">
        <v>161</v>
      </c>
      <c r="X922" s="1" t="s">
        <v>447</v>
      </c>
    </row>
    <row r="923" spans="1:24" s="34" customFormat="1" x14ac:dyDescent="0.2">
      <c r="A923" s="33" t="s">
        <v>31</v>
      </c>
      <c r="B923" s="33" t="s">
        <v>3818</v>
      </c>
      <c r="C923" s="33" t="s">
        <v>3819</v>
      </c>
      <c r="D923" s="33">
        <f t="shared" si="14"/>
        <v>-1</v>
      </c>
      <c r="E923" s="33" t="s">
        <v>34</v>
      </c>
      <c r="F923" s="33" t="s">
        <v>3728</v>
      </c>
      <c r="G923" s="33" t="s">
        <v>3820</v>
      </c>
      <c r="H923" s="33" t="s">
        <v>37</v>
      </c>
      <c r="I923" s="33" t="s">
        <v>38</v>
      </c>
      <c r="J923" s="33" t="s">
        <v>3821</v>
      </c>
      <c r="K923" s="33" t="s">
        <v>3822</v>
      </c>
      <c r="L923" s="33">
        <v>248292</v>
      </c>
      <c r="M923" s="33">
        <v>0</v>
      </c>
      <c r="N923" s="33">
        <v>0</v>
      </c>
      <c r="O923" s="33">
        <v>1559592</v>
      </c>
      <c r="P923" s="33" t="s">
        <v>41</v>
      </c>
      <c r="Q923" s="33" t="s">
        <v>42</v>
      </c>
      <c r="R923" s="1"/>
      <c r="S923" s="1"/>
      <c r="T923" s="1"/>
      <c r="U923" s="1"/>
      <c r="V923" s="1"/>
      <c r="W923" s="33" t="s">
        <v>43</v>
      </c>
      <c r="X923" s="1" t="s">
        <v>439</v>
      </c>
    </row>
    <row r="924" spans="1:24" s="34" customFormat="1" x14ac:dyDescent="0.2">
      <c r="A924" s="28" t="s">
        <v>31</v>
      </c>
      <c r="B924" s="28" t="s">
        <v>3823</v>
      </c>
      <c r="C924" s="28" t="s">
        <v>3824</v>
      </c>
      <c r="D924" s="28">
        <f t="shared" si="14"/>
        <v>-1</v>
      </c>
      <c r="E924" s="28" t="s">
        <v>34</v>
      </c>
      <c r="F924" s="28" t="s">
        <v>3728</v>
      </c>
      <c r="G924" s="28" t="s">
        <v>3825</v>
      </c>
      <c r="H924" s="28" t="s">
        <v>37</v>
      </c>
      <c r="I924" s="28" t="s">
        <v>38</v>
      </c>
      <c r="J924" s="28" t="s">
        <v>3826</v>
      </c>
      <c r="K924" s="28" t="s">
        <v>3827</v>
      </c>
      <c r="L924" s="28">
        <v>120840</v>
      </c>
      <c r="M924" s="28">
        <v>0</v>
      </c>
      <c r="N924" s="28">
        <v>0</v>
      </c>
      <c r="O924" s="28">
        <v>756840</v>
      </c>
      <c r="P924" s="28" t="s">
        <v>41</v>
      </c>
      <c r="Q924" s="28" t="s">
        <v>42</v>
      </c>
      <c r="R924" s="1" t="s">
        <v>161</v>
      </c>
      <c r="S924" s="1"/>
      <c r="T924" s="1"/>
      <c r="U924" s="1"/>
      <c r="V924" s="1"/>
      <c r="W924" s="1"/>
      <c r="X924" s="1"/>
    </row>
    <row r="925" spans="1:24" s="34" customFormat="1" x14ac:dyDescent="0.2">
      <c r="A925" s="1" t="s">
        <v>31</v>
      </c>
      <c r="B925" s="1" t="s">
        <v>3828</v>
      </c>
      <c r="C925" s="1" t="s">
        <v>3829</v>
      </c>
      <c r="D925" s="1">
        <f t="shared" si="14"/>
        <v>-1</v>
      </c>
      <c r="E925" s="1" t="s">
        <v>34</v>
      </c>
      <c r="F925" s="1" t="s">
        <v>3728</v>
      </c>
      <c r="G925" s="1" t="s">
        <v>3830</v>
      </c>
      <c r="H925" s="1" t="s">
        <v>37</v>
      </c>
      <c r="I925" s="1" t="s">
        <v>38</v>
      </c>
      <c r="J925" s="1" t="s">
        <v>658</v>
      </c>
      <c r="K925" s="1" t="s">
        <v>659</v>
      </c>
      <c r="L925" s="1">
        <v>26182</v>
      </c>
      <c r="M925" s="1">
        <v>0</v>
      </c>
      <c r="N925" s="1">
        <v>0</v>
      </c>
      <c r="O925" s="1">
        <v>163982</v>
      </c>
      <c r="P925" s="1" t="s">
        <v>41</v>
      </c>
      <c r="Q925" s="1" t="s">
        <v>42</v>
      </c>
      <c r="R925" s="1"/>
      <c r="S925" s="1"/>
      <c r="T925" s="1"/>
      <c r="U925" s="1"/>
      <c r="V925" s="1" t="s">
        <v>161</v>
      </c>
      <c r="W925" s="1"/>
      <c r="X925" s="1"/>
    </row>
    <row r="926" spans="1:24" s="34" customFormat="1" x14ac:dyDescent="0.2">
      <c r="A926" s="1" t="s">
        <v>31</v>
      </c>
      <c r="B926" s="1" t="s">
        <v>3831</v>
      </c>
      <c r="C926" s="33" t="s">
        <v>3832</v>
      </c>
      <c r="D926" s="1">
        <f t="shared" si="14"/>
        <v>-1</v>
      </c>
      <c r="E926" s="1" t="s">
        <v>34</v>
      </c>
      <c r="F926" s="1" t="s">
        <v>3728</v>
      </c>
      <c r="G926" s="1" t="s">
        <v>3830</v>
      </c>
      <c r="H926" s="1" t="s">
        <v>37</v>
      </c>
      <c r="I926" s="1" t="s">
        <v>38</v>
      </c>
      <c r="J926" s="1" t="s">
        <v>3244</v>
      </c>
      <c r="K926" s="1" t="s">
        <v>3245</v>
      </c>
      <c r="L926" s="1">
        <v>0</v>
      </c>
      <c r="M926" s="1">
        <v>0</v>
      </c>
      <c r="N926" s="1">
        <v>0</v>
      </c>
      <c r="O926" s="1">
        <v>3450000</v>
      </c>
      <c r="P926" s="1" t="s">
        <v>41</v>
      </c>
      <c r="Q926" s="1" t="s">
        <v>42</v>
      </c>
      <c r="R926" s="1"/>
      <c r="S926" s="1"/>
      <c r="T926" s="1"/>
      <c r="U926" s="1"/>
      <c r="V926" s="1" t="s">
        <v>161</v>
      </c>
      <c r="W926" s="1"/>
      <c r="X926" s="1"/>
    </row>
    <row r="927" spans="1:24" s="34" customFormat="1" x14ac:dyDescent="0.2">
      <c r="A927" s="1" t="s">
        <v>31</v>
      </c>
      <c r="B927" s="1" t="s">
        <v>3833</v>
      </c>
      <c r="C927" s="1" t="s">
        <v>3834</v>
      </c>
      <c r="D927" s="1">
        <f t="shared" si="14"/>
        <v>-1</v>
      </c>
      <c r="E927" s="1" t="s">
        <v>34</v>
      </c>
      <c r="F927" s="1" t="s">
        <v>3728</v>
      </c>
      <c r="G927" s="1" t="s">
        <v>3835</v>
      </c>
      <c r="H927" s="1" t="s">
        <v>37</v>
      </c>
      <c r="I927" s="1" t="s">
        <v>38</v>
      </c>
      <c r="J927" s="1" t="s">
        <v>3836</v>
      </c>
      <c r="K927" s="1" t="s">
        <v>3837</v>
      </c>
      <c r="L927" s="1">
        <v>72200</v>
      </c>
      <c r="M927" s="1">
        <v>0</v>
      </c>
      <c r="N927" s="1">
        <v>0</v>
      </c>
      <c r="O927" s="1">
        <v>452200</v>
      </c>
      <c r="P927" s="1" t="s">
        <v>41</v>
      </c>
      <c r="Q927" s="1" t="s">
        <v>42</v>
      </c>
      <c r="R927" s="1"/>
      <c r="S927" s="1"/>
      <c r="T927" s="1"/>
      <c r="U927" s="1"/>
      <c r="V927" s="1" t="s">
        <v>161</v>
      </c>
      <c r="W927" s="1"/>
      <c r="X927" s="1"/>
    </row>
    <row r="928" spans="1:24" s="34" customFormat="1" x14ac:dyDescent="0.2">
      <c r="A928" s="1" t="s">
        <v>31</v>
      </c>
      <c r="B928" s="1" t="s">
        <v>3838</v>
      </c>
      <c r="C928" s="1" t="s">
        <v>3839</v>
      </c>
      <c r="D928" s="1">
        <f t="shared" si="14"/>
        <v>-1</v>
      </c>
      <c r="E928" s="1" t="s">
        <v>34</v>
      </c>
      <c r="F928" s="1" t="s">
        <v>3728</v>
      </c>
      <c r="G928" s="1" t="s">
        <v>3840</v>
      </c>
      <c r="H928" s="1" t="s">
        <v>37</v>
      </c>
      <c r="I928" s="1" t="s">
        <v>38</v>
      </c>
      <c r="J928" s="1" t="s">
        <v>3841</v>
      </c>
      <c r="K928" s="1" t="s">
        <v>3842</v>
      </c>
      <c r="L928" s="1">
        <v>160196.09</v>
      </c>
      <c r="M928" s="1">
        <v>0</v>
      </c>
      <c r="N928" s="1">
        <v>0</v>
      </c>
      <c r="O928" s="1">
        <v>1228387.0900000001</v>
      </c>
      <c r="P928" s="1" t="s">
        <v>41</v>
      </c>
      <c r="Q928" s="1" t="s">
        <v>42</v>
      </c>
      <c r="R928" s="1"/>
      <c r="S928" s="1"/>
      <c r="T928" s="1"/>
      <c r="U928" s="1"/>
      <c r="V928" s="1" t="s">
        <v>161</v>
      </c>
      <c r="W928" s="1"/>
      <c r="X928" s="1"/>
    </row>
    <row r="929" spans="1:24" s="34" customFormat="1" x14ac:dyDescent="0.2">
      <c r="A929" s="33" t="s">
        <v>31</v>
      </c>
      <c r="B929" s="33" t="s">
        <v>3843</v>
      </c>
      <c r="C929" s="33" t="s">
        <v>3844</v>
      </c>
      <c r="D929" s="33">
        <f t="shared" si="14"/>
        <v>-1</v>
      </c>
      <c r="E929" s="33" t="s">
        <v>34</v>
      </c>
      <c r="F929" s="33" t="s">
        <v>3728</v>
      </c>
      <c r="G929" s="33" t="s">
        <v>3845</v>
      </c>
      <c r="H929" s="33" t="s">
        <v>37</v>
      </c>
      <c r="I929" s="33" t="s">
        <v>38</v>
      </c>
      <c r="J929" s="33" t="s">
        <v>3846</v>
      </c>
      <c r="K929" s="33" t="s">
        <v>3847</v>
      </c>
      <c r="L929" s="33">
        <v>2163150</v>
      </c>
      <c r="M929" s="33">
        <v>0</v>
      </c>
      <c r="N929" s="33">
        <v>0</v>
      </c>
      <c r="O929" s="33">
        <v>13548150</v>
      </c>
      <c r="P929" s="33" t="s">
        <v>41</v>
      </c>
      <c r="Q929" s="33" t="s">
        <v>42</v>
      </c>
      <c r="R929" s="1"/>
      <c r="S929" s="1"/>
      <c r="T929" s="1"/>
      <c r="U929" s="1"/>
      <c r="V929" s="1"/>
      <c r="W929" s="33" t="s">
        <v>161</v>
      </c>
      <c r="X929" s="1" t="s">
        <v>742</v>
      </c>
    </row>
    <row r="930" spans="1:24" s="34" customFormat="1" x14ac:dyDescent="0.2">
      <c r="A930" s="1" t="s">
        <v>31</v>
      </c>
      <c r="B930" s="1" t="s">
        <v>3848</v>
      </c>
      <c r="C930" s="1" t="s">
        <v>3849</v>
      </c>
      <c r="D930" s="1">
        <f t="shared" si="14"/>
        <v>-1</v>
      </c>
      <c r="E930" s="1" t="s">
        <v>34</v>
      </c>
      <c r="F930" s="1" t="s">
        <v>3728</v>
      </c>
      <c r="G930" s="1" t="s">
        <v>3850</v>
      </c>
      <c r="H930" s="1" t="s">
        <v>37</v>
      </c>
      <c r="I930" s="1" t="s">
        <v>38</v>
      </c>
      <c r="J930" s="1" t="s">
        <v>1204</v>
      </c>
      <c r="K930" s="1" t="s">
        <v>1205</v>
      </c>
      <c r="L930" s="1">
        <v>161813.88</v>
      </c>
      <c r="M930" s="1">
        <v>0</v>
      </c>
      <c r="N930" s="1">
        <v>0</v>
      </c>
      <c r="O930" s="1">
        <v>1013465.88</v>
      </c>
      <c r="P930" s="1" t="s">
        <v>41</v>
      </c>
      <c r="Q930" s="1" t="s">
        <v>42</v>
      </c>
      <c r="R930" s="1"/>
      <c r="S930" s="1"/>
      <c r="T930" s="1"/>
      <c r="U930" s="1"/>
      <c r="V930" s="1" t="s">
        <v>161</v>
      </c>
      <c r="W930" s="1"/>
      <c r="X930" s="1"/>
    </row>
    <row r="931" spans="1:24" s="34" customFormat="1" x14ac:dyDescent="0.2">
      <c r="A931" s="33" t="s">
        <v>31</v>
      </c>
      <c r="B931" s="33" t="s">
        <v>3851</v>
      </c>
      <c r="C931" s="33" t="s">
        <v>3852</v>
      </c>
      <c r="D931" s="33">
        <f t="shared" si="14"/>
        <v>-1</v>
      </c>
      <c r="E931" s="33" t="s">
        <v>34</v>
      </c>
      <c r="F931" s="33" t="s">
        <v>3728</v>
      </c>
      <c r="G931" s="33" t="s">
        <v>3853</v>
      </c>
      <c r="H931" s="33" t="s">
        <v>37</v>
      </c>
      <c r="I931" s="33" t="s">
        <v>38</v>
      </c>
      <c r="J931" s="33" t="s">
        <v>3854</v>
      </c>
      <c r="K931" s="33" t="s">
        <v>3855</v>
      </c>
      <c r="L931" s="33">
        <v>19000</v>
      </c>
      <c r="M931" s="33">
        <v>0</v>
      </c>
      <c r="N931" s="33">
        <v>0</v>
      </c>
      <c r="O931" s="33">
        <v>119000</v>
      </c>
      <c r="P931" s="33" t="s">
        <v>41</v>
      </c>
      <c r="Q931" s="33" t="s">
        <v>42</v>
      </c>
      <c r="R931" s="1"/>
      <c r="S931" s="1"/>
      <c r="T931" s="1"/>
      <c r="U931" s="1"/>
      <c r="V931" s="1"/>
      <c r="W931" s="33" t="s">
        <v>43</v>
      </c>
      <c r="X931" s="1" t="s">
        <v>405</v>
      </c>
    </row>
    <row r="932" spans="1:24" s="34" customFormat="1" x14ac:dyDescent="0.2">
      <c r="A932" s="1" t="s">
        <v>31</v>
      </c>
      <c r="B932" s="1" t="s">
        <v>3856</v>
      </c>
      <c r="C932" s="1" t="s">
        <v>3857</v>
      </c>
      <c r="D932" s="1">
        <f t="shared" si="14"/>
        <v>-1</v>
      </c>
      <c r="E932" s="1" t="s">
        <v>34</v>
      </c>
      <c r="F932" s="1" t="s">
        <v>3728</v>
      </c>
      <c r="G932" s="1" t="s">
        <v>3858</v>
      </c>
      <c r="H932" s="1" t="s">
        <v>37</v>
      </c>
      <c r="I932" s="1" t="s">
        <v>38</v>
      </c>
      <c r="J932" s="1" t="s">
        <v>3859</v>
      </c>
      <c r="K932" s="1" t="s">
        <v>3860</v>
      </c>
      <c r="L932" s="1">
        <v>306164.47999999998</v>
      </c>
      <c r="M932" s="1">
        <v>0</v>
      </c>
      <c r="N932" s="1">
        <v>0</v>
      </c>
      <c r="O932" s="1">
        <v>2217556.48</v>
      </c>
      <c r="P932" s="1" t="s">
        <v>41</v>
      </c>
      <c r="Q932" s="1" t="s">
        <v>42</v>
      </c>
      <c r="R932" s="1"/>
      <c r="S932" s="1"/>
      <c r="T932" s="1"/>
      <c r="U932" s="1"/>
      <c r="V932" s="1" t="s">
        <v>161</v>
      </c>
      <c r="W932" s="1"/>
      <c r="X932" s="1"/>
    </row>
    <row r="933" spans="1:24" s="34" customFormat="1" x14ac:dyDescent="0.2">
      <c r="A933" s="33" t="s">
        <v>31</v>
      </c>
      <c r="B933" s="33" t="s">
        <v>3861</v>
      </c>
      <c r="C933" s="33" t="s">
        <v>3862</v>
      </c>
      <c r="D933" s="33">
        <f t="shared" si="14"/>
        <v>-1</v>
      </c>
      <c r="E933" s="33" t="s">
        <v>34</v>
      </c>
      <c r="F933" s="33" t="s">
        <v>3728</v>
      </c>
      <c r="G933" s="33" t="s">
        <v>3863</v>
      </c>
      <c r="H933" s="33" t="s">
        <v>37</v>
      </c>
      <c r="I933" s="33" t="s">
        <v>38</v>
      </c>
      <c r="J933" s="33" t="s">
        <v>3864</v>
      </c>
      <c r="K933" s="33" t="s">
        <v>3865</v>
      </c>
      <c r="L933" s="33">
        <v>14333.22</v>
      </c>
      <c r="M933" s="33">
        <v>0</v>
      </c>
      <c r="N933" s="33">
        <v>0</v>
      </c>
      <c r="O933" s="33">
        <v>89771.22</v>
      </c>
      <c r="P933" s="33" t="s">
        <v>41</v>
      </c>
      <c r="Q933" s="33" t="s">
        <v>42</v>
      </c>
      <c r="R933" s="1"/>
      <c r="S933" s="1"/>
      <c r="T933" s="1"/>
      <c r="U933" s="1"/>
      <c r="V933" s="1"/>
      <c r="W933" s="1" t="s">
        <v>161</v>
      </c>
      <c r="X933" s="1" t="s">
        <v>716</v>
      </c>
    </row>
    <row r="934" spans="1:24" s="34" customFormat="1" x14ac:dyDescent="0.2">
      <c r="A934" s="1" t="s">
        <v>31</v>
      </c>
      <c r="B934" s="1" t="s">
        <v>3866</v>
      </c>
      <c r="C934" s="33" t="s">
        <v>3867</v>
      </c>
      <c r="D934" s="1">
        <f t="shared" si="14"/>
        <v>-1</v>
      </c>
      <c r="E934" s="1" t="s">
        <v>34</v>
      </c>
      <c r="F934" s="1" t="s">
        <v>3728</v>
      </c>
      <c r="G934" s="1" t="s">
        <v>3868</v>
      </c>
      <c r="H934" s="1" t="s">
        <v>37</v>
      </c>
      <c r="I934" s="1" t="s">
        <v>38</v>
      </c>
      <c r="J934" s="1" t="s">
        <v>3869</v>
      </c>
      <c r="K934" s="1" t="s">
        <v>3870</v>
      </c>
      <c r="L934" s="1">
        <v>161434.99</v>
      </c>
      <c r="M934" s="1">
        <v>0</v>
      </c>
      <c r="N934" s="1">
        <v>0</v>
      </c>
      <c r="O934" s="1">
        <v>1234355.99</v>
      </c>
      <c r="P934" s="1" t="s">
        <v>41</v>
      </c>
      <c r="Q934" s="1" t="s">
        <v>42</v>
      </c>
      <c r="R934" s="1"/>
      <c r="S934" s="1"/>
      <c r="T934" s="1"/>
      <c r="U934" s="1"/>
      <c r="V934" s="1" t="s">
        <v>161</v>
      </c>
      <c r="W934" s="1"/>
      <c r="X934" s="1"/>
    </row>
    <row r="935" spans="1:24" s="34" customFormat="1" x14ac:dyDescent="0.2">
      <c r="A935" s="33" t="s">
        <v>31</v>
      </c>
      <c r="B935" s="33" t="s">
        <v>3871</v>
      </c>
      <c r="C935" s="33" t="s">
        <v>3872</v>
      </c>
      <c r="D935" s="33">
        <f t="shared" si="14"/>
        <v>-1</v>
      </c>
      <c r="E935" s="33" t="s">
        <v>34</v>
      </c>
      <c r="F935" s="33" t="s">
        <v>3728</v>
      </c>
      <c r="G935" s="33" t="s">
        <v>3873</v>
      </c>
      <c r="H935" s="33" t="s">
        <v>37</v>
      </c>
      <c r="I935" s="33" t="s">
        <v>38</v>
      </c>
      <c r="J935" s="33" t="s">
        <v>3874</v>
      </c>
      <c r="K935" s="33" t="s">
        <v>3875</v>
      </c>
      <c r="L935" s="33">
        <v>267524.67</v>
      </c>
      <c r="M935" s="33">
        <v>0</v>
      </c>
      <c r="N935" s="33">
        <v>0</v>
      </c>
      <c r="O935" s="33">
        <v>1706717.67</v>
      </c>
      <c r="P935" s="33" t="s">
        <v>41</v>
      </c>
      <c r="Q935" s="33" t="s">
        <v>42</v>
      </c>
      <c r="R935" s="1"/>
      <c r="S935" s="1"/>
      <c r="T935" s="1"/>
      <c r="U935" s="1"/>
      <c r="V935" s="1"/>
      <c r="W935" s="33" t="s">
        <v>161</v>
      </c>
      <c r="X935" s="1" t="s">
        <v>2384</v>
      </c>
    </row>
    <row r="936" spans="1:24" s="34" customFormat="1" x14ac:dyDescent="0.2">
      <c r="A936" s="31" t="s">
        <v>31</v>
      </c>
      <c r="B936" s="31" t="s">
        <v>3876</v>
      </c>
      <c r="C936" s="31" t="s">
        <v>3877</v>
      </c>
      <c r="D936" s="31">
        <f t="shared" si="14"/>
        <v>-1</v>
      </c>
      <c r="E936" s="31" t="s">
        <v>34</v>
      </c>
      <c r="F936" s="31" t="s">
        <v>3728</v>
      </c>
      <c r="G936" s="31" t="s">
        <v>3878</v>
      </c>
      <c r="H936" s="31" t="s">
        <v>37</v>
      </c>
      <c r="I936" s="31" t="s">
        <v>38</v>
      </c>
      <c r="J936" s="31" t="s">
        <v>3879</v>
      </c>
      <c r="K936" s="31" t="s">
        <v>3880</v>
      </c>
      <c r="L936" s="31">
        <v>70345.98</v>
      </c>
      <c r="M936" s="31">
        <v>0</v>
      </c>
      <c r="N936" s="31">
        <v>0</v>
      </c>
      <c r="O936" s="31">
        <v>440587.98</v>
      </c>
      <c r="P936" s="31" t="s">
        <v>41</v>
      </c>
      <c r="Q936" s="31" t="s">
        <v>42</v>
      </c>
      <c r="R936" s="1"/>
      <c r="S936" s="1"/>
      <c r="T936" s="1"/>
      <c r="U936" s="31" t="s">
        <v>161</v>
      </c>
      <c r="V936" s="1"/>
      <c r="W936" s="1"/>
      <c r="X936" s="1"/>
    </row>
    <row r="937" spans="1:24" s="34" customFormat="1" x14ac:dyDescent="0.2">
      <c r="A937" s="33" t="s">
        <v>31</v>
      </c>
      <c r="B937" s="33" t="s">
        <v>3881</v>
      </c>
      <c r="C937" s="33" t="s">
        <v>3882</v>
      </c>
      <c r="D937" s="33">
        <f t="shared" si="14"/>
        <v>-1</v>
      </c>
      <c r="E937" s="33" t="s">
        <v>34</v>
      </c>
      <c r="F937" s="33" t="s">
        <v>3728</v>
      </c>
      <c r="G937" s="33" t="s">
        <v>3883</v>
      </c>
      <c r="H937" s="33" t="s">
        <v>37</v>
      </c>
      <c r="I937" s="33" t="s">
        <v>38</v>
      </c>
      <c r="J937" s="33" t="s">
        <v>499</v>
      </c>
      <c r="K937" s="33" t="s">
        <v>500</v>
      </c>
      <c r="L937" s="33">
        <v>41800</v>
      </c>
      <c r="M937" s="33">
        <v>0</v>
      </c>
      <c r="N937" s="33">
        <v>0</v>
      </c>
      <c r="O937" s="33">
        <v>261800</v>
      </c>
      <c r="P937" s="33" t="s">
        <v>41</v>
      </c>
      <c r="Q937" s="33" t="s">
        <v>42</v>
      </c>
      <c r="R937" s="1"/>
      <c r="S937" s="1"/>
      <c r="T937" s="1"/>
      <c r="U937" s="1"/>
      <c r="V937" s="1"/>
      <c r="W937" s="33" t="s">
        <v>161</v>
      </c>
      <c r="X937" s="1" t="s">
        <v>1681</v>
      </c>
    </row>
    <row r="938" spans="1:24" s="34" customFormat="1" x14ac:dyDescent="0.2">
      <c r="A938" s="1" t="s">
        <v>31</v>
      </c>
      <c r="B938" s="1" t="s">
        <v>3884</v>
      </c>
      <c r="C938" s="1" t="s">
        <v>3885</v>
      </c>
      <c r="D938" s="1">
        <f t="shared" si="14"/>
        <v>-1</v>
      </c>
      <c r="E938" s="1" t="s">
        <v>34</v>
      </c>
      <c r="F938" s="1" t="s">
        <v>3728</v>
      </c>
      <c r="G938" s="1" t="s">
        <v>3886</v>
      </c>
      <c r="H938" s="1" t="s">
        <v>37</v>
      </c>
      <c r="I938" s="1" t="s">
        <v>38</v>
      </c>
      <c r="J938" s="1" t="s">
        <v>545</v>
      </c>
      <c r="K938" s="1" t="s">
        <v>546</v>
      </c>
      <c r="L938" s="1">
        <v>6916138.7000000002</v>
      </c>
      <c r="M938" s="1">
        <v>0</v>
      </c>
      <c r="N938" s="1">
        <v>0</v>
      </c>
      <c r="O938" s="1">
        <v>43316868.700000003</v>
      </c>
      <c r="P938" s="1" t="s">
        <v>41</v>
      </c>
      <c r="Q938" s="1" t="s">
        <v>42</v>
      </c>
      <c r="R938" s="1"/>
      <c r="S938" s="1"/>
      <c r="T938" s="1"/>
      <c r="U938" s="1"/>
      <c r="V938" s="1" t="s">
        <v>161</v>
      </c>
      <c r="W938" s="1"/>
      <c r="X938" s="1"/>
    </row>
    <row r="939" spans="1:24" s="34" customFormat="1" x14ac:dyDescent="0.2">
      <c r="A939" s="29" t="s">
        <v>31</v>
      </c>
      <c r="B939" s="29" t="s">
        <v>3887</v>
      </c>
      <c r="C939" s="29" t="s">
        <v>3888</v>
      </c>
      <c r="D939" s="29">
        <f t="shared" si="14"/>
        <v>-1</v>
      </c>
      <c r="E939" s="29" t="s">
        <v>34</v>
      </c>
      <c r="F939" s="29" t="s">
        <v>3728</v>
      </c>
      <c r="G939" s="29" t="s">
        <v>3889</v>
      </c>
      <c r="H939" s="29" t="s">
        <v>37</v>
      </c>
      <c r="I939" s="29" t="s">
        <v>38</v>
      </c>
      <c r="J939" s="29" t="s">
        <v>3478</v>
      </c>
      <c r="K939" s="29" t="s">
        <v>3479</v>
      </c>
      <c r="L939" s="29">
        <v>43700</v>
      </c>
      <c r="M939" s="29">
        <v>0</v>
      </c>
      <c r="N939" s="29">
        <v>0</v>
      </c>
      <c r="O939" s="29">
        <v>273700</v>
      </c>
      <c r="P939" s="29" t="s">
        <v>41</v>
      </c>
      <c r="Q939" s="29" t="s">
        <v>42</v>
      </c>
      <c r="R939" s="1"/>
      <c r="S939" s="1"/>
      <c r="T939" s="1" t="s">
        <v>161</v>
      </c>
      <c r="U939" s="1"/>
      <c r="V939" s="1"/>
      <c r="W939" s="1"/>
      <c r="X939" s="1"/>
    </row>
    <row r="940" spans="1:24" s="34" customFormat="1" x14ac:dyDescent="0.2">
      <c r="A940" s="28" t="s">
        <v>31</v>
      </c>
      <c r="B940" s="28" t="s">
        <v>3890</v>
      </c>
      <c r="C940" s="28" t="s">
        <v>3891</v>
      </c>
      <c r="D940" s="28">
        <f t="shared" si="14"/>
        <v>-1</v>
      </c>
      <c r="E940" s="28" t="s">
        <v>34</v>
      </c>
      <c r="F940" s="28" t="s">
        <v>3728</v>
      </c>
      <c r="G940" s="28" t="s">
        <v>3892</v>
      </c>
      <c r="H940" s="28" t="s">
        <v>37</v>
      </c>
      <c r="I940" s="28" t="s">
        <v>38</v>
      </c>
      <c r="J940" s="28" t="s">
        <v>3893</v>
      </c>
      <c r="K940" s="28" t="s">
        <v>3894</v>
      </c>
      <c r="L940" s="28">
        <v>15200</v>
      </c>
      <c r="M940" s="28">
        <v>0</v>
      </c>
      <c r="N940" s="28">
        <v>0</v>
      </c>
      <c r="O940" s="28">
        <v>95200</v>
      </c>
      <c r="P940" s="28" t="s">
        <v>41</v>
      </c>
      <c r="Q940" s="28" t="s">
        <v>42</v>
      </c>
      <c r="R940" s="1" t="s">
        <v>161</v>
      </c>
      <c r="S940" s="1"/>
      <c r="T940" s="1"/>
      <c r="U940" s="1"/>
      <c r="V940" s="1"/>
      <c r="W940" s="1"/>
      <c r="X940" s="1"/>
    </row>
    <row r="941" spans="1:24" s="34" customFormat="1" x14ac:dyDescent="0.2">
      <c r="A941" s="33" t="s">
        <v>31</v>
      </c>
      <c r="B941" s="33" t="s">
        <v>3895</v>
      </c>
      <c r="C941" s="33" t="s">
        <v>3896</v>
      </c>
      <c r="D941" s="33">
        <f t="shared" si="14"/>
        <v>-1</v>
      </c>
      <c r="E941" s="33" t="s">
        <v>34</v>
      </c>
      <c r="F941" s="33" t="s">
        <v>3728</v>
      </c>
      <c r="G941" s="33" t="s">
        <v>3897</v>
      </c>
      <c r="H941" s="33" t="s">
        <v>37</v>
      </c>
      <c r="I941" s="33" t="s">
        <v>38</v>
      </c>
      <c r="J941" s="33" t="s">
        <v>3898</v>
      </c>
      <c r="K941" s="33" t="s">
        <v>3899</v>
      </c>
      <c r="L941" s="33">
        <v>46931.9</v>
      </c>
      <c r="M941" s="33">
        <v>0</v>
      </c>
      <c r="N941" s="33">
        <v>0</v>
      </c>
      <c r="O941" s="33">
        <v>293941.90000000002</v>
      </c>
      <c r="P941" s="33" t="s">
        <v>41</v>
      </c>
      <c r="Q941" s="33" t="s">
        <v>42</v>
      </c>
      <c r="R941" s="1"/>
      <c r="S941" s="1"/>
      <c r="T941" s="1"/>
      <c r="U941" s="1"/>
      <c r="V941" s="1"/>
      <c r="W941" s="33" t="s">
        <v>43</v>
      </c>
      <c r="X941" s="1" t="s">
        <v>447</v>
      </c>
    </row>
    <row r="942" spans="1:24" s="34" customFormat="1" x14ac:dyDescent="0.2">
      <c r="A942" s="28" t="s">
        <v>31</v>
      </c>
      <c r="B942" s="28" t="s">
        <v>3900</v>
      </c>
      <c r="C942" s="28" t="s">
        <v>3901</v>
      </c>
      <c r="D942" s="28">
        <f t="shared" si="14"/>
        <v>-1</v>
      </c>
      <c r="E942" s="28" t="s">
        <v>34</v>
      </c>
      <c r="F942" s="28" t="s">
        <v>3728</v>
      </c>
      <c r="G942" s="28" t="s">
        <v>3902</v>
      </c>
      <c r="H942" s="28" t="s">
        <v>37</v>
      </c>
      <c r="I942" s="28" t="s">
        <v>38</v>
      </c>
      <c r="J942" s="28" t="s">
        <v>3630</v>
      </c>
      <c r="K942" s="28" t="s">
        <v>3631</v>
      </c>
      <c r="L942" s="28">
        <v>136629</v>
      </c>
      <c r="M942" s="28">
        <v>0</v>
      </c>
      <c r="N942" s="28">
        <v>0</v>
      </c>
      <c r="O942" s="28">
        <v>855729</v>
      </c>
      <c r="P942" s="28" t="s">
        <v>41</v>
      </c>
      <c r="Q942" s="28" t="s">
        <v>42</v>
      </c>
      <c r="R942" s="1" t="s">
        <v>161</v>
      </c>
      <c r="S942" s="1"/>
      <c r="T942" s="1"/>
      <c r="U942" s="1"/>
      <c r="V942" s="1"/>
      <c r="W942" s="1"/>
      <c r="X942" s="1"/>
    </row>
    <row r="943" spans="1:24" s="34" customFormat="1" x14ac:dyDescent="0.2">
      <c r="A943" s="29" t="s">
        <v>31</v>
      </c>
      <c r="B943" s="29" t="s">
        <v>3903</v>
      </c>
      <c r="C943" s="29" t="s">
        <v>3904</v>
      </c>
      <c r="D943" s="29">
        <f t="shared" si="14"/>
        <v>-1</v>
      </c>
      <c r="E943" s="29" t="s">
        <v>34</v>
      </c>
      <c r="F943" s="29" t="s">
        <v>3728</v>
      </c>
      <c r="G943" s="29" t="s">
        <v>3905</v>
      </c>
      <c r="H943" s="29" t="s">
        <v>37</v>
      </c>
      <c r="I943" s="29" t="s">
        <v>38</v>
      </c>
      <c r="J943" s="29" t="s">
        <v>1116</v>
      </c>
      <c r="K943" s="29" t="s">
        <v>1117</v>
      </c>
      <c r="L943" s="29">
        <v>25885.599999999999</v>
      </c>
      <c r="M943" s="29">
        <v>0</v>
      </c>
      <c r="N943" s="29">
        <v>0</v>
      </c>
      <c r="O943" s="29">
        <v>305835.59999999998</v>
      </c>
      <c r="P943" s="29" t="s">
        <v>41</v>
      </c>
      <c r="Q943" s="29" t="s">
        <v>42</v>
      </c>
      <c r="R943" s="1"/>
      <c r="S943" s="1"/>
      <c r="T943" s="1" t="s">
        <v>161</v>
      </c>
      <c r="U943" s="1"/>
      <c r="V943" s="1"/>
      <c r="W943" s="1"/>
      <c r="X943" s="1"/>
    </row>
    <row r="944" spans="1:24" s="34" customFormat="1" x14ac:dyDescent="0.2">
      <c r="A944" s="33" t="s">
        <v>31</v>
      </c>
      <c r="B944" s="33" t="s">
        <v>3906</v>
      </c>
      <c r="C944" s="33" t="s">
        <v>3907</v>
      </c>
      <c r="D944" s="33">
        <f t="shared" si="14"/>
        <v>-1</v>
      </c>
      <c r="E944" s="33" t="s">
        <v>34</v>
      </c>
      <c r="F944" s="33" t="s">
        <v>3728</v>
      </c>
      <c r="G944" s="33" t="s">
        <v>3908</v>
      </c>
      <c r="H944" s="33" t="s">
        <v>37</v>
      </c>
      <c r="I944" s="33" t="s">
        <v>38</v>
      </c>
      <c r="J944" s="33" t="s">
        <v>868</v>
      </c>
      <c r="K944" s="33" t="s">
        <v>869</v>
      </c>
      <c r="L944" s="33">
        <v>39900</v>
      </c>
      <c r="M944" s="33">
        <v>0</v>
      </c>
      <c r="N944" s="33">
        <v>0</v>
      </c>
      <c r="O944" s="33">
        <v>249900</v>
      </c>
      <c r="P944" s="33" t="s">
        <v>41</v>
      </c>
      <c r="Q944" s="33" t="s">
        <v>42</v>
      </c>
      <c r="R944" s="1"/>
      <c r="S944" s="1"/>
      <c r="T944" s="1"/>
      <c r="U944" s="1"/>
      <c r="V944" s="1"/>
      <c r="W944" s="33" t="s">
        <v>43</v>
      </c>
      <c r="X944" s="1" t="s">
        <v>742</v>
      </c>
    </row>
    <row r="945" spans="1:24" s="34" customFormat="1" x14ac:dyDescent="0.2">
      <c r="A945" s="33" t="s">
        <v>31</v>
      </c>
      <c r="B945" s="33" t="s">
        <v>3909</v>
      </c>
      <c r="C945" s="33" t="s">
        <v>3910</v>
      </c>
      <c r="D945" s="33">
        <f t="shared" si="14"/>
        <v>-1</v>
      </c>
      <c r="E945" s="33" t="s">
        <v>34</v>
      </c>
      <c r="F945" s="33" t="s">
        <v>3728</v>
      </c>
      <c r="G945" s="33" t="s">
        <v>3911</v>
      </c>
      <c r="H945" s="33" t="s">
        <v>37</v>
      </c>
      <c r="I945" s="33" t="s">
        <v>38</v>
      </c>
      <c r="J945" s="33" t="s">
        <v>3912</v>
      </c>
      <c r="K945" s="33" t="s">
        <v>3913</v>
      </c>
      <c r="L945" s="33">
        <v>29127</v>
      </c>
      <c r="M945" s="33">
        <v>0</v>
      </c>
      <c r="N945" s="33">
        <v>0</v>
      </c>
      <c r="O945" s="33">
        <v>182427</v>
      </c>
      <c r="P945" s="33" t="s">
        <v>41</v>
      </c>
      <c r="Q945" s="33" t="s">
        <v>42</v>
      </c>
      <c r="R945" s="1"/>
      <c r="S945" s="1"/>
      <c r="T945" s="1"/>
      <c r="U945" s="1"/>
      <c r="V945" s="1"/>
      <c r="W945" s="33" t="s">
        <v>43</v>
      </c>
      <c r="X945" s="1" t="s">
        <v>439</v>
      </c>
    </row>
    <row r="946" spans="1:24" s="34" customFormat="1" x14ac:dyDescent="0.2">
      <c r="A946" s="33" t="s">
        <v>31</v>
      </c>
      <c r="B946" s="33" t="s">
        <v>3914</v>
      </c>
      <c r="C946" s="33" t="s">
        <v>3915</v>
      </c>
      <c r="D946" s="33">
        <f t="shared" si="14"/>
        <v>-1</v>
      </c>
      <c r="E946" s="33" t="s">
        <v>34</v>
      </c>
      <c r="F946" s="33" t="s">
        <v>3728</v>
      </c>
      <c r="G946" s="33" t="s">
        <v>3916</v>
      </c>
      <c r="H946" s="33" t="s">
        <v>37</v>
      </c>
      <c r="I946" s="33" t="s">
        <v>38</v>
      </c>
      <c r="J946" s="33" t="s">
        <v>1884</v>
      </c>
      <c r="K946" s="33" t="s">
        <v>1885</v>
      </c>
      <c r="L946" s="33">
        <v>150714.07999999999</v>
      </c>
      <c r="M946" s="33">
        <v>0</v>
      </c>
      <c r="N946" s="33">
        <v>0</v>
      </c>
      <c r="O946" s="33">
        <v>943946.08</v>
      </c>
      <c r="P946" s="33" t="s">
        <v>41</v>
      </c>
      <c r="Q946" s="33" t="s">
        <v>42</v>
      </c>
      <c r="R946" s="1"/>
      <c r="S946" s="1"/>
      <c r="T946" s="1"/>
      <c r="U946" s="1"/>
      <c r="V946" s="1"/>
      <c r="W946" s="33" t="s">
        <v>43</v>
      </c>
      <c r="X946" s="1" t="s">
        <v>3183</v>
      </c>
    </row>
    <row r="947" spans="1:24" s="34" customFormat="1" x14ac:dyDescent="0.2">
      <c r="A947" s="29" t="s">
        <v>31</v>
      </c>
      <c r="B947" s="29" t="s">
        <v>3917</v>
      </c>
      <c r="C947" s="29" t="s">
        <v>3918</v>
      </c>
      <c r="D947" s="29">
        <f t="shared" si="14"/>
        <v>-1</v>
      </c>
      <c r="E947" s="29" t="s">
        <v>34</v>
      </c>
      <c r="F947" s="29" t="s">
        <v>3728</v>
      </c>
      <c r="G947" s="29" t="s">
        <v>3919</v>
      </c>
      <c r="H947" s="29" t="s">
        <v>37</v>
      </c>
      <c r="I947" s="29" t="s">
        <v>38</v>
      </c>
      <c r="J947" s="29" t="s">
        <v>79</v>
      </c>
      <c r="K947" s="29" t="s">
        <v>80</v>
      </c>
      <c r="L947" s="29">
        <v>373204.65</v>
      </c>
      <c r="M947" s="29">
        <v>0</v>
      </c>
      <c r="N947" s="29">
        <v>0</v>
      </c>
      <c r="O947" s="29">
        <v>2337439.65</v>
      </c>
      <c r="P947" s="29" t="s">
        <v>41</v>
      </c>
      <c r="Q947" s="29" t="s">
        <v>42</v>
      </c>
      <c r="R947" s="1"/>
      <c r="S947" s="1"/>
      <c r="T947" s="1" t="s">
        <v>161</v>
      </c>
      <c r="U947" s="1"/>
      <c r="V947" s="1"/>
      <c r="W947" s="1"/>
      <c r="X947" s="1"/>
    </row>
    <row r="948" spans="1:24" s="34" customFormat="1" x14ac:dyDescent="0.2">
      <c r="A948" s="29" t="s">
        <v>31</v>
      </c>
      <c r="B948" s="29" t="s">
        <v>3920</v>
      </c>
      <c r="C948" s="29" t="s">
        <v>3921</v>
      </c>
      <c r="D948" s="29">
        <f t="shared" si="14"/>
        <v>-1</v>
      </c>
      <c r="E948" s="29" t="s">
        <v>34</v>
      </c>
      <c r="F948" s="29" t="s">
        <v>3728</v>
      </c>
      <c r="G948" s="29" t="s">
        <v>3922</v>
      </c>
      <c r="H948" s="29" t="s">
        <v>37</v>
      </c>
      <c r="I948" s="29" t="s">
        <v>38</v>
      </c>
      <c r="J948" s="29" t="s">
        <v>79</v>
      </c>
      <c r="K948" s="29" t="s">
        <v>80</v>
      </c>
      <c r="L948" s="29">
        <v>373204.65</v>
      </c>
      <c r="M948" s="29">
        <v>0</v>
      </c>
      <c r="N948" s="29">
        <v>0</v>
      </c>
      <c r="O948" s="29">
        <v>2337439.65</v>
      </c>
      <c r="P948" s="29" t="s">
        <v>41</v>
      </c>
      <c r="Q948" s="29" t="s">
        <v>42</v>
      </c>
      <c r="R948" s="1"/>
      <c r="S948" s="1"/>
      <c r="T948" s="1" t="s">
        <v>161</v>
      </c>
      <c r="U948" s="1"/>
      <c r="V948" s="1"/>
      <c r="W948" s="1"/>
      <c r="X948" s="1"/>
    </row>
    <row r="949" spans="1:24" s="34" customFormat="1" x14ac:dyDescent="0.2">
      <c r="A949" s="29" t="s">
        <v>31</v>
      </c>
      <c r="B949" s="29" t="s">
        <v>3923</v>
      </c>
      <c r="C949" s="29" t="s">
        <v>3924</v>
      </c>
      <c r="D949" s="29">
        <f t="shared" si="14"/>
        <v>-1</v>
      </c>
      <c r="E949" s="29" t="s">
        <v>34</v>
      </c>
      <c r="F949" s="29" t="s">
        <v>3728</v>
      </c>
      <c r="G949" s="29" t="s">
        <v>3925</v>
      </c>
      <c r="H949" s="29" t="s">
        <v>37</v>
      </c>
      <c r="I949" s="29" t="s">
        <v>38</v>
      </c>
      <c r="J949" s="29" t="s">
        <v>138</v>
      </c>
      <c r="K949" s="29" t="s">
        <v>139</v>
      </c>
      <c r="L949" s="29">
        <v>746409.3</v>
      </c>
      <c r="M949" s="29">
        <v>0</v>
      </c>
      <c r="N949" s="29">
        <v>0</v>
      </c>
      <c r="O949" s="29">
        <v>4674879.3</v>
      </c>
      <c r="P949" s="29" t="s">
        <v>41</v>
      </c>
      <c r="Q949" s="29" t="s">
        <v>42</v>
      </c>
      <c r="R949" s="1"/>
      <c r="S949" s="1"/>
      <c r="T949" s="1" t="s">
        <v>161</v>
      </c>
      <c r="U949" s="1"/>
      <c r="V949" s="1"/>
      <c r="W949" s="1"/>
      <c r="X949" s="1"/>
    </row>
    <row r="950" spans="1:24" s="34" customFormat="1" x14ac:dyDescent="0.2">
      <c r="A950" s="33" t="s">
        <v>31</v>
      </c>
      <c r="B950" s="33" t="s">
        <v>3926</v>
      </c>
      <c r="C950" s="33" t="s">
        <v>3927</v>
      </c>
      <c r="D950" s="33">
        <f t="shared" si="14"/>
        <v>-1</v>
      </c>
      <c r="E950" s="33" t="s">
        <v>34</v>
      </c>
      <c r="F950" s="33" t="s">
        <v>3728</v>
      </c>
      <c r="G950" s="33" t="s">
        <v>3928</v>
      </c>
      <c r="H950" s="33" t="s">
        <v>37</v>
      </c>
      <c r="I950" s="33" t="s">
        <v>38</v>
      </c>
      <c r="J950" s="33" t="s">
        <v>3929</v>
      </c>
      <c r="K950" s="33" t="s">
        <v>3930</v>
      </c>
      <c r="L950" s="33">
        <v>383040</v>
      </c>
      <c r="M950" s="33">
        <v>0</v>
      </c>
      <c r="N950" s="33">
        <v>0</v>
      </c>
      <c r="O950" s="33">
        <v>2399040</v>
      </c>
      <c r="P950" s="33" t="s">
        <v>41</v>
      </c>
      <c r="Q950" s="33" t="s">
        <v>42</v>
      </c>
      <c r="R950" s="1"/>
      <c r="S950" s="1"/>
      <c r="T950" s="1"/>
      <c r="U950" s="1"/>
      <c r="V950" s="1"/>
      <c r="W950" s="33" t="s">
        <v>43</v>
      </c>
      <c r="X950" s="1" t="s">
        <v>2919</v>
      </c>
    </row>
    <row r="951" spans="1:24" s="34" customFormat="1" x14ac:dyDescent="0.2">
      <c r="A951" s="33" t="s">
        <v>31</v>
      </c>
      <c r="B951" s="33" t="s">
        <v>3931</v>
      </c>
      <c r="C951" s="33" t="s">
        <v>3932</v>
      </c>
      <c r="D951" s="33">
        <f t="shared" si="14"/>
        <v>-1</v>
      </c>
      <c r="E951" s="33" t="s">
        <v>34</v>
      </c>
      <c r="F951" s="33" t="s">
        <v>3728</v>
      </c>
      <c r="G951" s="33" t="s">
        <v>3933</v>
      </c>
      <c r="H951" s="33" t="s">
        <v>37</v>
      </c>
      <c r="I951" s="33" t="s">
        <v>38</v>
      </c>
      <c r="J951" s="33" t="s">
        <v>3934</v>
      </c>
      <c r="K951" s="33" t="s">
        <v>3935</v>
      </c>
      <c r="L951" s="33">
        <v>62597.78</v>
      </c>
      <c r="M951" s="33">
        <v>0</v>
      </c>
      <c r="N951" s="33">
        <v>0</v>
      </c>
      <c r="O951" s="33">
        <v>392059.78</v>
      </c>
      <c r="P951" s="33" t="s">
        <v>41</v>
      </c>
      <c r="Q951" s="33" t="s">
        <v>42</v>
      </c>
      <c r="R951" s="1"/>
      <c r="S951" s="1"/>
      <c r="T951" s="1"/>
      <c r="U951" s="1"/>
      <c r="V951" s="1"/>
      <c r="W951" s="33" t="s">
        <v>161</v>
      </c>
      <c r="X951" s="1" t="s">
        <v>226</v>
      </c>
    </row>
    <row r="952" spans="1:24" s="34" customFormat="1" x14ac:dyDescent="0.2">
      <c r="A952" s="28" t="s">
        <v>31</v>
      </c>
      <c r="B952" s="28" t="s">
        <v>3936</v>
      </c>
      <c r="C952" s="28" t="s">
        <v>3937</v>
      </c>
      <c r="D952" s="28">
        <f t="shared" si="14"/>
        <v>-1</v>
      </c>
      <c r="E952" s="28" t="s">
        <v>34</v>
      </c>
      <c r="F952" s="28" t="s">
        <v>3728</v>
      </c>
      <c r="G952" s="28" t="s">
        <v>3938</v>
      </c>
      <c r="H952" s="28" t="s">
        <v>37</v>
      </c>
      <c r="I952" s="28" t="s">
        <v>38</v>
      </c>
      <c r="J952" s="28" t="s">
        <v>3351</v>
      </c>
      <c r="K952" s="28" t="s">
        <v>3352</v>
      </c>
      <c r="L952" s="28">
        <v>2772670</v>
      </c>
      <c r="M952" s="28">
        <v>0</v>
      </c>
      <c r="N952" s="28">
        <v>0</v>
      </c>
      <c r="O952" s="28">
        <v>17365670</v>
      </c>
      <c r="P952" s="28" t="s">
        <v>41</v>
      </c>
      <c r="Q952" s="28" t="s">
        <v>42</v>
      </c>
      <c r="R952" s="1" t="s">
        <v>161</v>
      </c>
      <c r="S952" s="1"/>
      <c r="T952" s="1"/>
      <c r="U952" s="1"/>
      <c r="V952" s="1"/>
      <c r="W952" s="1"/>
      <c r="X952" s="1"/>
    </row>
    <row r="953" spans="1:24" s="34" customFormat="1" x14ac:dyDescent="0.2">
      <c r="A953" s="1" t="s">
        <v>31</v>
      </c>
      <c r="B953" s="1" t="s">
        <v>3939</v>
      </c>
      <c r="C953" s="1" t="s">
        <v>3940</v>
      </c>
      <c r="D953" s="1">
        <f t="shared" si="14"/>
        <v>-1</v>
      </c>
      <c r="E953" s="1" t="s">
        <v>34</v>
      </c>
      <c r="F953" s="1" t="s">
        <v>3728</v>
      </c>
      <c r="G953" s="1" t="s">
        <v>3941</v>
      </c>
      <c r="H953" s="1" t="s">
        <v>37</v>
      </c>
      <c r="I953" s="1" t="s">
        <v>38</v>
      </c>
      <c r="J953" s="1" t="s">
        <v>3942</v>
      </c>
      <c r="K953" s="1" t="s">
        <v>3943</v>
      </c>
      <c r="L953" s="1">
        <v>244625</v>
      </c>
      <c r="M953" s="1">
        <v>0</v>
      </c>
      <c r="N953" s="1">
        <v>0</v>
      </c>
      <c r="O953" s="1">
        <v>1532125</v>
      </c>
      <c r="P953" s="1" t="s">
        <v>41</v>
      </c>
      <c r="Q953" s="1" t="s">
        <v>42</v>
      </c>
      <c r="R953" s="1"/>
      <c r="S953" s="1"/>
      <c r="T953" s="1"/>
      <c r="U953" s="1"/>
      <c r="V953" s="1" t="s">
        <v>161</v>
      </c>
      <c r="W953" s="1"/>
      <c r="X953" s="1"/>
    </row>
    <row r="954" spans="1:24" s="34" customFormat="1" x14ac:dyDescent="0.2">
      <c r="A954" s="28" t="s">
        <v>31</v>
      </c>
      <c r="B954" s="28" t="s">
        <v>3944</v>
      </c>
      <c r="C954" s="28" t="s">
        <v>3945</v>
      </c>
      <c r="D954" s="28">
        <f t="shared" si="14"/>
        <v>-1</v>
      </c>
      <c r="E954" s="28" t="s">
        <v>34</v>
      </c>
      <c r="F954" s="28" t="s">
        <v>3728</v>
      </c>
      <c r="G954" s="28" t="s">
        <v>3946</v>
      </c>
      <c r="H954" s="28" t="s">
        <v>37</v>
      </c>
      <c r="I954" s="28" t="s">
        <v>38</v>
      </c>
      <c r="J954" s="28" t="s">
        <v>3947</v>
      </c>
      <c r="K954" s="28" t="s">
        <v>3948</v>
      </c>
      <c r="L954" s="28">
        <v>774250</v>
      </c>
      <c r="M954" s="28">
        <v>0</v>
      </c>
      <c r="N954" s="28">
        <v>0</v>
      </c>
      <c r="O954" s="28">
        <v>4849250</v>
      </c>
      <c r="P954" s="28" t="s">
        <v>41</v>
      </c>
      <c r="Q954" s="28" t="s">
        <v>42</v>
      </c>
      <c r="R954" s="1" t="s">
        <v>161</v>
      </c>
      <c r="S954" s="1"/>
      <c r="T954" s="1"/>
      <c r="U954" s="1"/>
      <c r="V954" s="1"/>
      <c r="W954" s="1"/>
      <c r="X954" s="1"/>
    </row>
    <row r="955" spans="1:24" s="34" customFormat="1" x14ac:dyDescent="0.2">
      <c r="A955" s="1" t="s">
        <v>31</v>
      </c>
      <c r="B955" s="1" t="s">
        <v>3949</v>
      </c>
      <c r="C955" s="33" t="s">
        <v>3950</v>
      </c>
      <c r="D955" s="1">
        <f t="shared" si="14"/>
        <v>-1</v>
      </c>
      <c r="E955" s="1" t="s">
        <v>34</v>
      </c>
      <c r="F955" s="1" t="s">
        <v>3728</v>
      </c>
      <c r="G955" s="1" t="s">
        <v>3951</v>
      </c>
      <c r="H955" s="1" t="s">
        <v>37</v>
      </c>
      <c r="I955" s="1" t="s">
        <v>38</v>
      </c>
      <c r="J955" s="1" t="s">
        <v>3952</v>
      </c>
      <c r="K955" s="1" t="s">
        <v>3953</v>
      </c>
      <c r="L955" s="1">
        <v>22800</v>
      </c>
      <c r="M955" s="1">
        <v>0</v>
      </c>
      <c r="N955" s="1">
        <v>0</v>
      </c>
      <c r="O955" s="1">
        <v>142800</v>
      </c>
      <c r="P955" s="1" t="s">
        <v>41</v>
      </c>
      <c r="Q955" s="1" t="s">
        <v>42</v>
      </c>
      <c r="R955" s="1"/>
      <c r="S955" s="1"/>
      <c r="T955" s="1"/>
      <c r="U955" s="1"/>
      <c r="V955" s="1" t="s">
        <v>161</v>
      </c>
      <c r="W955" s="1"/>
      <c r="X955" s="1"/>
    </row>
    <row r="956" spans="1:24" s="34" customFormat="1" x14ac:dyDescent="0.2">
      <c r="A956" s="33" t="s">
        <v>31</v>
      </c>
      <c r="B956" s="33" t="s">
        <v>3954</v>
      </c>
      <c r="C956" s="33" t="s">
        <v>3955</v>
      </c>
      <c r="D956" s="33">
        <f t="shared" si="14"/>
        <v>-1</v>
      </c>
      <c r="E956" s="33" t="s">
        <v>34</v>
      </c>
      <c r="F956" s="33" t="s">
        <v>3728</v>
      </c>
      <c r="G956" s="33" t="s">
        <v>3956</v>
      </c>
      <c r="H956" s="33" t="s">
        <v>37</v>
      </c>
      <c r="I956" s="33" t="s">
        <v>38</v>
      </c>
      <c r="J956" s="33" t="s">
        <v>3957</v>
      </c>
      <c r="K956" s="33" t="s">
        <v>3958</v>
      </c>
      <c r="L956" s="33">
        <v>42237</v>
      </c>
      <c r="M956" s="33">
        <v>0</v>
      </c>
      <c r="N956" s="33">
        <v>0</v>
      </c>
      <c r="O956" s="33">
        <v>264537</v>
      </c>
      <c r="P956" s="33" t="s">
        <v>41</v>
      </c>
      <c r="Q956" s="33" t="s">
        <v>42</v>
      </c>
      <c r="R956" s="1"/>
      <c r="S956" s="1"/>
      <c r="T956" s="1"/>
      <c r="U956" s="1"/>
      <c r="V956" s="1"/>
      <c r="W956" s="33" t="s">
        <v>43</v>
      </c>
      <c r="X956" s="1" t="s">
        <v>439</v>
      </c>
    </row>
    <row r="957" spans="1:24" s="34" customFormat="1" x14ac:dyDescent="0.2">
      <c r="A957" s="1" t="s">
        <v>31</v>
      </c>
      <c r="B957" s="1" t="s">
        <v>3959</v>
      </c>
      <c r="C957" s="1" t="s">
        <v>3960</v>
      </c>
      <c r="D957" s="1">
        <f t="shared" si="14"/>
        <v>-1</v>
      </c>
      <c r="E957" s="1" t="s">
        <v>34</v>
      </c>
      <c r="F957" s="1" t="s">
        <v>3728</v>
      </c>
      <c r="G957" s="1" t="s">
        <v>3961</v>
      </c>
      <c r="H957" s="1" t="s">
        <v>37</v>
      </c>
      <c r="I957" s="1" t="s">
        <v>38</v>
      </c>
      <c r="J957" s="1" t="s">
        <v>3324</v>
      </c>
      <c r="K957" s="1" t="s">
        <v>3325</v>
      </c>
      <c r="L957" s="1">
        <v>1058286.02</v>
      </c>
      <c r="M957" s="1">
        <v>0</v>
      </c>
      <c r="N957" s="1">
        <v>0</v>
      </c>
      <c r="O957" s="1">
        <v>9668868.3800000008</v>
      </c>
      <c r="P957" s="1" t="s">
        <v>41</v>
      </c>
      <c r="Q957" s="1" t="s">
        <v>42</v>
      </c>
      <c r="R957" s="1"/>
      <c r="S957" s="1"/>
      <c r="T957" s="1"/>
      <c r="U957" s="1"/>
      <c r="V957" s="1" t="s">
        <v>161</v>
      </c>
      <c r="W957" s="1"/>
      <c r="X957" s="1"/>
    </row>
    <row r="958" spans="1:24" s="34" customFormat="1" x14ac:dyDescent="0.2">
      <c r="A958" s="33" t="s">
        <v>31</v>
      </c>
      <c r="B958" s="33" t="s">
        <v>3962</v>
      </c>
      <c r="C958" s="33" t="s">
        <v>3963</v>
      </c>
      <c r="D958" s="33">
        <f t="shared" si="14"/>
        <v>-1</v>
      </c>
      <c r="E958" s="33" t="s">
        <v>34</v>
      </c>
      <c r="F958" s="33" t="s">
        <v>3728</v>
      </c>
      <c r="G958" s="33" t="s">
        <v>3964</v>
      </c>
      <c r="H958" s="33" t="s">
        <v>37</v>
      </c>
      <c r="I958" s="33" t="s">
        <v>38</v>
      </c>
      <c r="J958" s="33" t="s">
        <v>3965</v>
      </c>
      <c r="K958" s="33" t="s">
        <v>3966</v>
      </c>
      <c r="L958" s="33">
        <v>138320</v>
      </c>
      <c r="M958" s="33">
        <v>0</v>
      </c>
      <c r="N958" s="33">
        <v>0</v>
      </c>
      <c r="O958" s="33">
        <v>866320</v>
      </c>
      <c r="P958" s="33" t="s">
        <v>41</v>
      </c>
      <c r="Q958" s="33" t="s">
        <v>42</v>
      </c>
      <c r="R958" s="1"/>
      <c r="S958" s="1"/>
      <c r="T958" s="1"/>
      <c r="U958" s="1"/>
      <c r="V958" s="1"/>
      <c r="W958" s="33" t="s">
        <v>43</v>
      </c>
      <c r="X958" s="1" t="s">
        <v>622</v>
      </c>
    </row>
    <row r="959" spans="1:24" s="34" customFormat="1" x14ac:dyDescent="0.2">
      <c r="A959" s="29" t="s">
        <v>31</v>
      </c>
      <c r="B959" s="29" t="s">
        <v>3967</v>
      </c>
      <c r="C959" s="29" t="s">
        <v>3968</v>
      </c>
      <c r="D959" s="29">
        <f t="shared" si="14"/>
        <v>-1</v>
      </c>
      <c r="E959" s="29" t="s">
        <v>34</v>
      </c>
      <c r="F959" s="29" t="s">
        <v>3728</v>
      </c>
      <c r="G959" s="29" t="s">
        <v>3969</v>
      </c>
      <c r="H959" s="29" t="s">
        <v>37</v>
      </c>
      <c r="I959" s="29" t="s">
        <v>38</v>
      </c>
      <c r="J959" s="29" t="s">
        <v>1368</v>
      </c>
      <c r="K959" s="29" t="s">
        <v>1369</v>
      </c>
      <c r="L959" s="29">
        <v>31280.46</v>
      </c>
      <c r="M959" s="29">
        <v>0</v>
      </c>
      <c r="N959" s="29">
        <v>0</v>
      </c>
      <c r="O959" s="29">
        <v>195914.46</v>
      </c>
      <c r="P959" s="29" t="s">
        <v>41</v>
      </c>
      <c r="Q959" s="29" t="s">
        <v>42</v>
      </c>
      <c r="R959" s="1"/>
      <c r="S959" s="1"/>
      <c r="T959" s="1" t="s">
        <v>161</v>
      </c>
      <c r="U959" s="1"/>
      <c r="V959" s="1"/>
      <c r="W959" s="1"/>
      <c r="X959" s="1"/>
    </row>
    <row r="960" spans="1:24" s="34" customFormat="1" x14ac:dyDescent="0.2">
      <c r="A960" s="28" t="s">
        <v>31</v>
      </c>
      <c r="B960" s="28" t="s">
        <v>3970</v>
      </c>
      <c r="C960" s="28" t="s">
        <v>3971</v>
      </c>
      <c r="D960" s="28">
        <f t="shared" si="14"/>
        <v>-1</v>
      </c>
      <c r="E960" s="28" t="s">
        <v>34</v>
      </c>
      <c r="F960" s="28" t="s">
        <v>3728</v>
      </c>
      <c r="G960" s="28" t="s">
        <v>3972</v>
      </c>
      <c r="H960" s="28" t="s">
        <v>37</v>
      </c>
      <c r="I960" s="28" t="s">
        <v>38</v>
      </c>
      <c r="J960" s="28" t="s">
        <v>3973</v>
      </c>
      <c r="K960" s="28" t="s">
        <v>3974</v>
      </c>
      <c r="L960" s="28">
        <v>86309.59</v>
      </c>
      <c r="M960" s="28">
        <v>0</v>
      </c>
      <c r="N960" s="28">
        <v>0</v>
      </c>
      <c r="O960" s="28">
        <v>540570.59</v>
      </c>
      <c r="P960" s="28" t="s">
        <v>41</v>
      </c>
      <c r="Q960" s="28" t="s">
        <v>42</v>
      </c>
      <c r="R960" s="1" t="s">
        <v>161</v>
      </c>
      <c r="S960" s="1"/>
      <c r="T960" s="1"/>
      <c r="U960" s="1"/>
      <c r="V960" s="1"/>
      <c r="W960" s="1"/>
      <c r="X960" s="1"/>
    </row>
    <row r="961" spans="1:24" s="34" customFormat="1" x14ac:dyDescent="0.2">
      <c r="A961" s="33" t="s">
        <v>31</v>
      </c>
      <c r="B961" s="33" t="s">
        <v>3975</v>
      </c>
      <c r="C961" s="33" t="s">
        <v>3976</v>
      </c>
      <c r="D961" s="33">
        <f t="shared" si="14"/>
        <v>-1</v>
      </c>
      <c r="E961" s="33" t="s">
        <v>34</v>
      </c>
      <c r="F961" s="33" t="s">
        <v>3728</v>
      </c>
      <c r="G961" s="33" t="s">
        <v>3977</v>
      </c>
      <c r="H961" s="33" t="s">
        <v>37</v>
      </c>
      <c r="I961" s="33" t="s">
        <v>38</v>
      </c>
      <c r="J961" s="33" t="s">
        <v>3032</v>
      </c>
      <c r="K961" s="33" t="s">
        <v>3033</v>
      </c>
      <c r="L961" s="33">
        <v>31350</v>
      </c>
      <c r="M961" s="33">
        <v>0</v>
      </c>
      <c r="N961" s="33">
        <v>0</v>
      </c>
      <c r="O961" s="33">
        <v>196350</v>
      </c>
      <c r="P961" s="33" t="s">
        <v>41</v>
      </c>
      <c r="Q961" s="33" t="s">
        <v>42</v>
      </c>
      <c r="R961" s="1"/>
      <c r="S961" s="1"/>
      <c r="T961" s="1"/>
      <c r="U961" s="1"/>
      <c r="V961" s="1"/>
      <c r="W961" s="33" t="s">
        <v>161</v>
      </c>
      <c r="X961" s="1" t="s">
        <v>742</v>
      </c>
    </row>
    <row r="962" spans="1:24" s="34" customFormat="1" x14ac:dyDescent="0.2">
      <c r="A962" s="33" t="s">
        <v>31</v>
      </c>
      <c r="B962" s="33" t="s">
        <v>3978</v>
      </c>
      <c r="C962" s="33" t="s">
        <v>3979</v>
      </c>
      <c r="D962" s="33">
        <f t="shared" si="14"/>
        <v>-1</v>
      </c>
      <c r="E962" s="33" t="s">
        <v>34</v>
      </c>
      <c r="F962" s="33" t="s">
        <v>3728</v>
      </c>
      <c r="G962" s="33" t="s">
        <v>3980</v>
      </c>
      <c r="H962" s="33" t="s">
        <v>37</v>
      </c>
      <c r="I962" s="33" t="s">
        <v>38</v>
      </c>
      <c r="J962" s="33" t="s">
        <v>3032</v>
      </c>
      <c r="K962" s="33" t="s">
        <v>3033</v>
      </c>
      <c r="L962" s="33">
        <v>31350</v>
      </c>
      <c r="M962" s="33">
        <v>0</v>
      </c>
      <c r="N962" s="33">
        <v>0</v>
      </c>
      <c r="O962" s="33">
        <v>196350</v>
      </c>
      <c r="P962" s="33" t="s">
        <v>41</v>
      </c>
      <c r="Q962" s="33" t="s">
        <v>42</v>
      </c>
      <c r="R962" s="1"/>
      <c r="S962" s="1"/>
      <c r="T962" s="1"/>
      <c r="U962" s="1"/>
      <c r="V962" s="1"/>
      <c r="W962" s="33" t="s">
        <v>161</v>
      </c>
      <c r="X962" s="1" t="s">
        <v>742</v>
      </c>
    </row>
    <row r="963" spans="1:24" s="34" customFormat="1" x14ac:dyDescent="0.2">
      <c r="A963" s="1" t="s">
        <v>31</v>
      </c>
      <c r="B963" s="1" t="s">
        <v>3981</v>
      </c>
      <c r="C963" s="1" t="s">
        <v>3982</v>
      </c>
      <c r="D963" s="1">
        <f t="shared" si="14"/>
        <v>-1</v>
      </c>
      <c r="E963" s="1" t="s">
        <v>34</v>
      </c>
      <c r="F963" s="1" t="s">
        <v>3728</v>
      </c>
      <c r="G963" s="1" t="s">
        <v>3983</v>
      </c>
      <c r="H963" s="1" t="s">
        <v>37</v>
      </c>
      <c r="I963" s="1" t="s">
        <v>38</v>
      </c>
      <c r="J963" s="1" t="s">
        <v>3324</v>
      </c>
      <c r="K963" s="1" t="s">
        <v>3325</v>
      </c>
      <c r="L963" s="1">
        <v>2567689.0299999998</v>
      </c>
      <c r="M963" s="1">
        <v>0</v>
      </c>
      <c r="N963" s="1">
        <v>0</v>
      </c>
      <c r="O963" s="1">
        <v>19101995.030000001</v>
      </c>
      <c r="P963" s="1" t="s">
        <v>41</v>
      </c>
      <c r="Q963" s="1" t="s">
        <v>42</v>
      </c>
      <c r="R963" s="1"/>
      <c r="S963" s="1"/>
      <c r="T963" s="1"/>
      <c r="U963" s="1"/>
      <c r="V963" s="1" t="s">
        <v>161</v>
      </c>
      <c r="W963" s="1"/>
      <c r="X963" s="1"/>
    </row>
    <row r="964" spans="1:24" s="34" customFormat="1" x14ac:dyDescent="0.2">
      <c r="A964" s="33" t="s">
        <v>31</v>
      </c>
      <c r="B964" s="33" t="s">
        <v>3984</v>
      </c>
      <c r="C964" s="33" t="s">
        <v>3985</v>
      </c>
      <c r="D964" s="33">
        <f t="shared" si="14"/>
        <v>-1</v>
      </c>
      <c r="E964" s="33" t="s">
        <v>34</v>
      </c>
      <c r="F964" s="33" t="s">
        <v>3728</v>
      </c>
      <c r="G964" s="33" t="s">
        <v>3986</v>
      </c>
      <c r="H964" s="33" t="s">
        <v>37</v>
      </c>
      <c r="I964" s="33" t="s">
        <v>38</v>
      </c>
      <c r="J964" s="33" t="s">
        <v>3987</v>
      </c>
      <c r="K964" s="33" t="s">
        <v>3988</v>
      </c>
      <c r="L964" s="33">
        <v>89110</v>
      </c>
      <c r="M964" s="33">
        <v>0</v>
      </c>
      <c r="N964" s="33">
        <v>0</v>
      </c>
      <c r="O964" s="33">
        <v>558110</v>
      </c>
      <c r="P964" s="33" t="s">
        <v>41</v>
      </c>
      <c r="Q964" s="33" t="s">
        <v>42</v>
      </c>
      <c r="R964" s="1"/>
      <c r="S964" s="1"/>
      <c r="T964" s="1"/>
      <c r="U964" s="1"/>
      <c r="V964" s="1"/>
      <c r="W964" s="33" t="s">
        <v>43</v>
      </c>
      <c r="X964" s="1" t="s">
        <v>990</v>
      </c>
    </row>
    <row r="965" spans="1:24" s="34" customFormat="1" x14ac:dyDescent="0.2">
      <c r="A965" s="33" t="s">
        <v>31</v>
      </c>
      <c r="B965" s="33" t="s">
        <v>3989</v>
      </c>
      <c r="C965" s="33" t="s">
        <v>3990</v>
      </c>
      <c r="D965" s="33">
        <f t="shared" si="14"/>
        <v>-1</v>
      </c>
      <c r="E965" s="33" t="s">
        <v>34</v>
      </c>
      <c r="F965" s="33" t="s">
        <v>3728</v>
      </c>
      <c r="G965" s="33" t="s">
        <v>3991</v>
      </c>
      <c r="H965" s="33" t="s">
        <v>37</v>
      </c>
      <c r="I965" s="33" t="s">
        <v>38</v>
      </c>
      <c r="J965" s="33" t="s">
        <v>3992</v>
      </c>
      <c r="K965" s="33" t="s">
        <v>3993</v>
      </c>
      <c r="L965" s="33">
        <v>47500</v>
      </c>
      <c r="M965" s="33">
        <v>0</v>
      </c>
      <c r="N965" s="33">
        <v>0</v>
      </c>
      <c r="O965" s="33">
        <v>297500</v>
      </c>
      <c r="P965" s="33" t="s">
        <v>41</v>
      </c>
      <c r="Q965" s="33" t="s">
        <v>42</v>
      </c>
      <c r="R965" s="1"/>
      <c r="S965" s="1"/>
      <c r="T965" s="1"/>
      <c r="U965" s="1"/>
      <c r="V965" s="1"/>
      <c r="W965" s="33" t="s">
        <v>43</v>
      </c>
      <c r="X965" s="1" t="s">
        <v>1060</v>
      </c>
    </row>
    <row r="966" spans="1:24" s="34" customFormat="1" x14ac:dyDescent="0.2">
      <c r="A966" s="29" t="s">
        <v>31</v>
      </c>
      <c r="B966" s="29" t="s">
        <v>3994</v>
      </c>
      <c r="C966" s="29" t="s">
        <v>3995</v>
      </c>
      <c r="D966" s="29">
        <f t="shared" si="14"/>
        <v>-1</v>
      </c>
      <c r="E966" s="29" t="s">
        <v>34</v>
      </c>
      <c r="F966" s="29" t="s">
        <v>3996</v>
      </c>
      <c r="G966" s="29" t="s">
        <v>3997</v>
      </c>
      <c r="H966" s="29" t="s">
        <v>37</v>
      </c>
      <c r="I966" s="29" t="s">
        <v>38</v>
      </c>
      <c r="J966" s="29" t="s">
        <v>1368</v>
      </c>
      <c r="K966" s="29" t="s">
        <v>1369</v>
      </c>
      <c r="L966" s="29">
        <v>8265</v>
      </c>
      <c r="M966" s="29">
        <v>0</v>
      </c>
      <c r="N966" s="29">
        <v>0</v>
      </c>
      <c r="O966" s="29">
        <v>51765</v>
      </c>
      <c r="P966" s="29" t="s">
        <v>41</v>
      </c>
      <c r="Q966" s="29" t="s">
        <v>42</v>
      </c>
      <c r="R966" s="1"/>
      <c r="S966" s="1"/>
      <c r="T966" s="1" t="s">
        <v>161</v>
      </c>
      <c r="U966" s="1"/>
      <c r="V966" s="1"/>
      <c r="W966" s="1"/>
      <c r="X966" s="1"/>
    </row>
    <row r="967" spans="1:24" s="34" customFormat="1" x14ac:dyDescent="0.2">
      <c r="A967" s="33" t="s">
        <v>31</v>
      </c>
      <c r="B967" s="33" t="s">
        <v>3998</v>
      </c>
      <c r="C967" s="33" t="s">
        <v>3999</v>
      </c>
      <c r="D967" s="33">
        <f t="shared" si="14"/>
        <v>-1</v>
      </c>
      <c r="E967" s="33" t="s">
        <v>34</v>
      </c>
      <c r="F967" s="33" t="s">
        <v>3996</v>
      </c>
      <c r="G967" s="33" t="s">
        <v>4000</v>
      </c>
      <c r="H967" s="33" t="s">
        <v>37</v>
      </c>
      <c r="I967" s="33" t="s">
        <v>38</v>
      </c>
      <c r="J967" s="33" t="s">
        <v>4001</v>
      </c>
      <c r="K967" s="33" t="s">
        <v>4002</v>
      </c>
      <c r="L967" s="33">
        <v>2496600</v>
      </c>
      <c r="M967" s="33">
        <v>0</v>
      </c>
      <c r="N967" s="33">
        <v>0</v>
      </c>
      <c r="O967" s="33">
        <v>19675600</v>
      </c>
      <c r="P967" s="33" t="s">
        <v>41</v>
      </c>
      <c r="Q967" s="33" t="s">
        <v>42</v>
      </c>
      <c r="R967" s="1"/>
      <c r="S967" s="1"/>
      <c r="T967" s="1"/>
      <c r="U967" s="1"/>
      <c r="V967" s="1"/>
      <c r="W967" s="1" t="s">
        <v>161</v>
      </c>
      <c r="X967" s="1" t="s">
        <v>716</v>
      </c>
    </row>
    <row r="968" spans="1:24" s="34" customFormat="1" x14ac:dyDescent="0.2">
      <c r="A968" s="33" t="s">
        <v>31</v>
      </c>
      <c r="B968" s="33" t="s">
        <v>4003</v>
      </c>
      <c r="C968" s="33" t="s">
        <v>4004</v>
      </c>
      <c r="D968" s="33">
        <f t="shared" si="14"/>
        <v>-1</v>
      </c>
      <c r="E968" s="33" t="s">
        <v>34</v>
      </c>
      <c r="F968" s="33" t="s">
        <v>3996</v>
      </c>
      <c r="G968" s="33" t="s">
        <v>4005</v>
      </c>
      <c r="H968" s="33" t="s">
        <v>37</v>
      </c>
      <c r="I968" s="33" t="s">
        <v>38</v>
      </c>
      <c r="J968" s="33" t="s">
        <v>4006</v>
      </c>
      <c r="K968" s="33" t="s">
        <v>4007</v>
      </c>
      <c r="L968" s="33">
        <v>38760</v>
      </c>
      <c r="M968" s="33">
        <v>0</v>
      </c>
      <c r="N968" s="33">
        <v>0</v>
      </c>
      <c r="O968" s="33">
        <v>242760</v>
      </c>
      <c r="P968" s="33" t="s">
        <v>41</v>
      </c>
      <c r="Q968" s="33" t="s">
        <v>42</v>
      </c>
      <c r="R968" s="1"/>
      <c r="S968" s="1"/>
      <c r="T968" s="1"/>
      <c r="U968" s="1"/>
      <c r="V968" s="1"/>
      <c r="W968" s="1" t="s">
        <v>161</v>
      </c>
      <c r="X968" s="1" t="s">
        <v>129</v>
      </c>
    </row>
    <row r="969" spans="1:24" s="34" customFormat="1" x14ac:dyDescent="0.2">
      <c r="A969" s="1" t="s">
        <v>31</v>
      </c>
      <c r="B969" s="1" t="s">
        <v>4008</v>
      </c>
      <c r="C969" s="33" t="s">
        <v>4009</v>
      </c>
      <c r="D969" s="1">
        <f t="shared" si="14"/>
        <v>-1</v>
      </c>
      <c r="E969" s="1" t="s">
        <v>34</v>
      </c>
      <c r="F969" s="1" t="s">
        <v>3996</v>
      </c>
      <c r="G969" s="1" t="s">
        <v>4010</v>
      </c>
      <c r="H969" s="1" t="s">
        <v>37</v>
      </c>
      <c r="I969" s="1" t="s">
        <v>38</v>
      </c>
      <c r="J969" s="1" t="s">
        <v>1440</v>
      </c>
      <c r="K969" s="1" t="s">
        <v>1441</v>
      </c>
      <c r="L969" s="1">
        <v>149015.48000000001</v>
      </c>
      <c r="M969" s="1">
        <v>0</v>
      </c>
      <c r="N969" s="1">
        <v>0</v>
      </c>
      <c r="O969" s="1">
        <v>933307.48</v>
      </c>
      <c r="P969" s="1" t="s">
        <v>41</v>
      </c>
      <c r="Q969" s="1" t="s">
        <v>42</v>
      </c>
      <c r="R969" s="1"/>
      <c r="S969" s="1"/>
      <c r="T969" s="1"/>
      <c r="U969" s="1"/>
      <c r="V969" s="1" t="s">
        <v>161</v>
      </c>
      <c r="W969" s="1"/>
      <c r="X969" s="1"/>
    </row>
    <row r="970" spans="1:24" s="34" customFormat="1" x14ac:dyDescent="0.2">
      <c r="A970" s="28" t="s">
        <v>31</v>
      </c>
      <c r="B970" s="28" t="s">
        <v>4011</v>
      </c>
      <c r="C970" s="28" t="s">
        <v>4012</v>
      </c>
      <c r="D970" s="28">
        <f t="shared" si="14"/>
        <v>-1</v>
      </c>
      <c r="E970" s="28" t="s">
        <v>34</v>
      </c>
      <c r="F970" s="28" t="s">
        <v>3996</v>
      </c>
      <c r="G970" s="28" t="s">
        <v>4013</v>
      </c>
      <c r="H970" s="28" t="s">
        <v>37</v>
      </c>
      <c r="I970" s="28" t="s">
        <v>38</v>
      </c>
      <c r="J970" s="28" t="s">
        <v>4014</v>
      </c>
      <c r="K970" s="28" t="s">
        <v>4015</v>
      </c>
      <c r="L970" s="28">
        <v>423078.13</v>
      </c>
      <c r="M970" s="28">
        <v>0</v>
      </c>
      <c r="N970" s="28">
        <v>0</v>
      </c>
      <c r="O970" s="28">
        <v>2649805.13</v>
      </c>
      <c r="P970" s="28" t="s">
        <v>41</v>
      </c>
      <c r="Q970" s="28" t="s">
        <v>42</v>
      </c>
      <c r="R970" s="1" t="s">
        <v>161</v>
      </c>
      <c r="S970" s="1"/>
      <c r="T970" s="1"/>
      <c r="U970" s="1"/>
      <c r="V970" s="1"/>
      <c r="W970" s="1"/>
      <c r="X970" s="1"/>
    </row>
    <row r="971" spans="1:24" s="34" customFormat="1" x14ac:dyDescent="0.2">
      <c r="A971" s="28" t="s">
        <v>31</v>
      </c>
      <c r="B971" s="28" t="s">
        <v>4016</v>
      </c>
      <c r="C971" s="28" t="s">
        <v>4017</v>
      </c>
      <c r="D971" s="28">
        <f t="shared" ref="D971:D993" si="15">C971-C972</f>
        <v>-1</v>
      </c>
      <c r="E971" s="28" t="s">
        <v>34</v>
      </c>
      <c r="F971" s="28" t="s">
        <v>3996</v>
      </c>
      <c r="G971" s="28" t="s">
        <v>4018</v>
      </c>
      <c r="H971" s="28" t="s">
        <v>37</v>
      </c>
      <c r="I971" s="28" t="s">
        <v>38</v>
      </c>
      <c r="J971" s="28" t="s">
        <v>304</v>
      </c>
      <c r="K971" s="28" t="s">
        <v>305</v>
      </c>
      <c r="L971" s="28">
        <v>397698.5</v>
      </c>
      <c r="M971" s="28">
        <v>0</v>
      </c>
      <c r="N971" s="28">
        <v>0</v>
      </c>
      <c r="O971" s="28">
        <v>2490848.5</v>
      </c>
      <c r="P971" s="28" t="s">
        <v>41</v>
      </c>
      <c r="Q971" s="28" t="s">
        <v>42</v>
      </c>
      <c r="R971" s="1" t="s">
        <v>161</v>
      </c>
      <c r="S971" s="1"/>
      <c r="T971" s="1"/>
      <c r="U971" s="1"/>
      <c r="V971" s="1"/>
      <c r="W971" s="1"/>
      <c r="X971" s="1"/>
    </row>
    <row r="972" spans="1:24" s="34" customFormat="1" x14ac:dyDescent="0.2">
      <c r="A972" s="33" t="s">
        <v>31</v>
      </c>
      <c r="B972" s="33" t="s">
        <v>4019</v>
      </c>
      <c r="C972" s="33" t="s">
        <v>4020</v>
      </c>
      <c r="D972" s="33">
        <f t="shared" si="15"/>
        <v>-1</v>
      </c>
      <c r="E972" s="33" t="s">
        <v>34</v>
      </c>
      <c r="F972" s="33" t="s">
        <v>3996</v>
      </c>
      <c r="G972" s="33" t="s">
        <v>4021</v>
      </c>
      <c r="H972" s="33" t="s">
        <v>37</v>
      </c>
      <c r="I972" s="33" t="s">
        <v>38</v>
      </c>
      <c r="J972" s="33" t="s">
        <v>2295</v>
      </c>
      <c r="K972" s="33" t="s">
        <v>2296</v>
      </c>
      <c r="L972" s="33">
        <v>114380</v>
      </c>
      <c r="M972" s="33">
        <v>0</v>
      </c>
      <c r="N972" s="33">
        <v>0</v>
      </c>
      <c r="O972" s="33">
        <v>716380</v>
      </c>
      <c r="P972" s="33" t="s">
        <v>41</v>
      </c>
      <c r="Q972" s="33" t="s">
        <v>42</v>
      </c>
      <c r="R972" s="1"/>
      <c r="S972" s="1"/>
      <c r="T972" s="1"/>
      <c r="U972" s="1"/>
      <c r="V972" s="1"/>
      <c r="W972" s="33" t="s">
        <v>43</v>
      </c>
      <c r="X972" s="1" t="s">
        <v>742</v>
      </c>
    </row>
    <row r="973" spans="1:24" s="34" customFormat="1" x14ac:dyDescent="0.2">
      <c r="A973" s="1" t="s">
        <v>31</v>
      </c>
      <c r="B973" s="1" t="s">
        <v>4022</v>
      </c>
      <c r="C973" s="1" t="s">
        <v>4023</v>
      </c>
      <c r="D973" s="1">
        <f t="shared" si="15"/>
        <v>-1</v>
      </c>
      <c r="E973" s="1" t="s">
        <v>34</v>
      </c>
      <c r="F973" s="1" t="s">
        <v>3996</v>
      </c>
      <c r="G973" s="1" t="s">
        <v>4024</v>
      </c>
      <c r="H973" s="1" t="s">
        <v>37</v>
      </c>
      <c r="I973" s="1" t="s">
        <v>38</v>
      </c>
      <c r="J973" s="1" t="s">
        <v>4025</v>
      </c>
      <c r="K973" s="1" t="s">
        <v>4026</v>
      </c>
      <c r="L973" s="1">
        <v>344533.1</v>
      </c>
      <c r="M973" s="1">
        <v>0</v>
      </c>
      <c r="N973" s="1">
        <v>0</v>
      </c>
      <c r="O973" s="1">
        <v>2524223.1</v>
      </c>
      <c r="P973" s="1" t="s">
        <v>41</v>
      </c>
      <c r="Q973" s="1" t="s">
        <v>42</v>
      </c>
      <c r="R973" s="1"/>
      <c r="S973" s="1"/>
      <c r="T973" s="1"/>
      <c r="U973" s="1"/>
      <c r="V973" s="1" t="s">
        <v>161</v>
      </c>
      <c r="W973" s="1"/>
      <c r="X973" s="1"/>
    </row>
    <row r="974" spans="1:24" s="34" customFormat="1" x14ac:dyDescent="0.2">
      <c r="A974" s="1" t="s">
        <v>31</v>
      </c>
      <c r="B974" s="1" t="s">
        <v>4027</v>
      </c>
      <c r="C974" s="1" t="s">
        <v>4028</v>
      </c>
      <c r="D974" s="1">
        <f t="shared" si="15"/>
        <v>-1</v>
      </c>
      <c r="E974" s="1" t="s">
        <v>34</v>
      </c>
      <c r="F974" s="1" t="s">
        <v>3996</v>
      </c>
      <c r="G974" s="1" t="s">
        <v>4029</v>
      </c>
      <c r="H974" s="1" t="s">
        <v>37</v>
      </c>
      <c r="I974" s="1" t="s">
        <v>38</v>
      </c>
      <c r="J974" s="1" t="s">
        <v>906</v>
      </c>
      <c r="K974" s="1" t="s">
        <v>907</v>
      </c>
      <c r="L974" s="1">
        <v>181260</v>
      </c>
      <c r="M974" s="1">
        <v>0</v>
      </c>
      <c r="N974" s="1">
        <v>0</v>
      </c>
      <c r="O974" s="1">
        <v>1135260</v>
      </c>
      <c r="P974" s="1" t="s">
        <v>41</v>
      </c>
      <c r="Q974" s="1" t="s">
        <v>42</v>
      </c>
      <c r="R974" s="1"/>
      <c r="S974" s="1"/>
      <c r="T974" s="1"/>
      <c r="U974" s="1"/>
      <c r="V974" s="1" t="s">
        <v>161</v>
      </c>
      <c r="W974" s="1"/>
      <c r="X974" s="1"/>
    </row>
    <row r="975" spans="1:24" s="34" customFormat="1" x14ac:dyDescent="0.2">
      <c r="A975" s="1" t="s">
        <v>31</v>
      </c>
      <c r="B975" s="1" t="s">
        <v>4030</v>
      </c>
      <c r="C975" s="33" t="s">
        <v>4031</v>
      </c>
      <c r="D975" s="1">
        <f t="shared" si="15"/>
        <v>-1</v>
      </c>
      <c r="E975" s="1" t="s">
        <v>34</v>
      </c>
      <c r="F975" s="1" t="s">
        <v>3996</v>
      </c>
      <c r="G975" s="1" t="s">
        <v>4032</v>
      </c>
      <c r="H975" s="1" t="s">
        <v>37</v>
      </c>
      <c r="I975" s="1" t="s">
        <v>38</v>
      </c>
      <c r="J975" s="1" t="s">
        <v>3688</v>
      </c>
      <c r="K975" s="1" t="s">
        <v>3689</v>
      </c>
      <c r="L975" s="1">
        <v>138033.48000000001</v>
      </c>
      <c r="M975" s="1">
        <v>0</v>
      </c>
      <c r="N975" s="1">
        <v>0</v>
      </c>
      <c r="O975" s="1">
        <v>864525.48</v>
      </c>
      <c r="P975" s="1" t="s">
        <v>41</v>
      </c>
      <c r="Q975" s="1" t="s">
        <v>42</v>
      </c>
      <c r="R975" s="1"/>
      <c r="S975" s="1"/>
      <c r="T975" s="1"/>
      <c r="U975" s="1"/>
      <c r="V975" s="1" t="s">
        <v>161</v>
      </c>
      <c r="W975" s="1"/>
      <c r="X975" s="1"/>
    </row>
    <row r="976" spans="1:24" s="34" customFormat="1" x14ac:dyDescent="0.2">
      <c r="A976" s="1" t="s">
        <v>31</v>
      </c>
      <c r="B976" s="1" t="s">
        <v>4033</v>
      </c>
      <c r="C976" s="1" t="s">
        <v>4034</v>
      </c>
      <c r="D976" s="1">
        <f t="shared" si="15"/>
        <v>-1</v>
      </c>
      <c r="E976" s="1" t="s">
        <v>34</v>
      </c>
      <c r="F976" s="1" t="s">
        <v>3996</v>
      </c>
      <c r="G976" s="1" t="s">
        <v>4035</v>
      </c>
      <c r="H976" s="1" t="s">
        <v>37</v>
      </c>
      <c r="I976" s="1" t="s">
        <v>38</v>
      </c>
      <c r="J976" s="1" t="s">
        <v>740</v>
      </c>
      <c r="K976" s="1" t="s">
        <v>741</v>
      </c>
      <c r="L976" s="1">
        <v>50350</v>
      </c>
      <c r="M976" s="1">
        <v>0</v>
      </c>
      <c r="N976" s="1">
        <v>0</v>
      </c>
      <c r="O976" s="1">
        <v>315350</v>
      </c>
      <c r="P976" s="1" t="s">
        <v>41</v>
      </c>
      <c r="Q976" s="1" t="s">
        <v>42</v>
      </c>
      <c r="R976" s="1"/>
      <c r="S976" s="1"/>
      <c r="T976" s="1"/>
      <c r="U976" s="1"/>
      <c r="V976" s="1" t="s">
        <v>161</v>
      </c>
      <c r="W976" s="1"/>
      <c r="X976" s="1"/>
    </row>
    <row r="977" spans="1:24" s="34" customFormat="1" x14ac:dyDescent="0.2">
      <c r="A977" s="29" t="s">
        <v>31</v>
      </c>
      <c r="B977" s="29" t="s">
        <v>4036</v>
      </c>
      <c r="C977" s="29" t="s">
        <v>4037</v>
      </c>
      <c r="D977" s="29">
        <f t="shared" si="15"/>
        <v>-1</v>
      </c>
      <c r="E977" s="29" t="s">
        <v>34</v>
      </c>
      <c r="F977" s="29" t="s">
        <v>3996</v>
      </c>
      <c r="G977" s="29" t="s">
        <v>4038</v>
      </c>
      <c r="H977" s="29" t="s">
        <v>37</v>
      </c>
      <c r="I977" s="29" t="s">
        <v>38</v>
      </c>
      <c r="J977" s="29" t="s">
        <v>1856</v>
      </c>
      <c r="K977" s="29" t="s">
        <v>1857</v>
      </c>
      <c r="L977" s="29">
        <v>0</v>
      </c>
      <c r="M977" s="29">
        <v>0</v>
      </c>
      <c r="N977" s="29">
        <v>0</v>
      </c>
      <c r="O977" s="29">
        <v>13955685.23</v>
      </c>
      <c r="P977" s="29" t="s">
        <v>41</v>
      </c>
      <c r="Q977" s="29" t="s">
        <v>42</v>
      </c>
      <c r="R977" s="1"/>
      <c r="S977" s="1"/>
      <c r="T977" s="1" t="s">
        <v>161</v>
      </c>
      <c r="U977" s="1"/>
      <c r="V977" s="1"/>
      <c r="W977" s="1"/>
      <c r="X977" s="1"/>
    </row>
    <row r="978" spans="1:24" s="34" customFormat="1" x14ac:dyDescent="0.2">
      <c r="A978" s="33" t="s">
        <v>31</v>
      </c>
      <c r="B978" s="33" t="s">
        <v>4039</v>
      </c>
      <c r="C978" s="33" t="s">
        <v>4040</v>
      </c>
      <c r="D978" s="33">
        <f t="shared" si="15"/>
        <v>-1</v>
      </c>
      <c r="E978" s="33" t="s">
        <v>34</v>
      </c>
      <c r="F978" s="33" t="s">
        <v>3996</v>
      </c>
      <c r="G978" s="33" t="s">
        <v>4041</v>
      </c>
      <c r="H978" s="33" t="s">
        <v>37</v>
      </c>
      <c r="I978" s="33" t="s">
        <v>38</v>
      </c>
      <c r="J978" s="33" t="s">
        <v>4042</v>
      </c>
      <c r="K978" s="33" t="s">
        <v>4043</v>
      </c>
      <c r="L978" s="33">
        <v>70276.06</v>
      </c>
      <c r="M978" s="33">
        <v>0</v>
      </c>
      <c r="N978" s="33">
        <v>0</v>
      </c>
      <c r="O978" s="33">
        <v>483038.06</v>
      </c>
      <c r="P978" s="33" t="s">
        <v>41</v>
      </c>
      <c r="Q978" s="33" t="s">
        <v>42</v>
      </c>
      <c r="R978" s="1"/>
      <c r="S978" s="1"/>
      <c r="T978" s="1"/>
      <c r="U978" s="1"/>
      <c r="V978" s="1"/>
      <c r="W978" s="33" t="s">
        <v>43</v>
      </c>
      <c r="X978" s="1" t="s">
        <v>439</v>
      </c>
    </row>
    <row r="979" spans="1:24" s="34" customFormat="1" x14ac:dyDescent="0.2">
      <c r="A979" s="1" t="s">
        <v>31</v>
      </c>
      <c r="B979" s="1" t="s">
        <v>4044</v>
      </c>
      <c r="C979" s="1" t="s">
        <v>4045</v>
      </c>
      <c r="D979" s="1">
        <f t="shared" si="15"/>
        <v>-1</v>
      </c>
      <c r="E979" s="1" t="s">
        <v>34</v>
      </c>
      <c r="F979" s="1" t="s">
        <v>3996</v>
      </c>
      <c r="G979" s="1" t="s">
        <v>4046</v>
      </c>
      <c r="H979" s="1" t="s">
        <v>37</v>
      </c>
      <c r="I979" s="1" t="s">
        <v>38</v>
      </c>
      <c r="J979" s="1" t="s">
        <v>4047</v>
      </c>
      <c r="K979" s="1" t="s">
        <v>4048</v>
      </c>
      <c r="L979" s="1">
        <v>0</v>
      </c>
      <c r="M979" s="1">
        <v>0</v>
      </c>
      <c r="N979" s="1">
        <v>0</v>
      </c>
      <c r="O979" s="1">
        <v>7480857</v>
      </c>
      <c r="P979" s="1" t="s">
        <v>41</v>
      </c>
      <c r="Q979" s="1" t="s">
        <v>42</v>
      </c>
      <c r="R979" s="1"/>
      <c r="S979" s="1"/>
      <c r="T979" s="1"/>
      <c r="U979" s="1"/>
      <c r="V979" s="1" t="s">
        <v>161</v>
      </c>
      <c r="W979" s="1"/>
      <c r="X979" s="1"/>
    </row>
    <row r="980" spans="1:24" s="34" customFormat="1" x14ac:dyDescent="0.2">
      <c r="A980" s="29" t="s">
        <v>31</v>
      </c>
      <c r="B980" s="29" t="s">
        <v>4049</v>
      </c>
      <c r="C980" s="29" t="s">
        <v>4050</v>
      </c>
      <c r="D980" s="29">
        <f t="shared" si="15"/>
        <v>-1</v>
      </c>
      <c r="E980" s="29" t="s">
        <v>34</v>
      </c>
      <c r="F980" s="29" t="s">
        <v>3996</v>
      </c>
      <c r="G980" s="29" t="s">
        <v>4051</v>
      </c>
      <c r="H980" s="29" t="s">
        <v>37</v>
      </c>
      <c r="I980" s="29" t="s">
        <v>38</v>
      </c>
      <c r="J980" s="29" t="s">
        <v>4052</v>
      </c>
      <c r="K980" s="29" t="s">
        <v>4053</v>
      </c>
      <c r="L980" s="29">
        <v>205200</v>
      </c>
      <c r="M980" s="29">
        <v>0</v>
      </c>
      <c r="N980" s="29">
        <v>0</v>
      </c>
      <c r="O980" s="29">
        <v>1285200</v>
      </c>
      <c r="P980" s="29" t="s">
        <v>41</v>
      </c>
      <c r="Q980" s="29" t="s">
        <v>42</v>
      </c>
      <c r="R980" s="1"/>
      <c r="S980" s="1"/>
      <c r="T980" s="1" t="s">
        <v>161</v>
      </c>
      <c r="U980" s="1"/>
      <c r="V980" s="1"/>
      <c r="W980" s="1"/>
      <c r="X980" s="1"/>
    </row>
    <row r="981" spans="1:24" s="34" customFormat="1" x14ac:dyDescent="0.2">
      <c r="A981" s="28" t="s">
        <v>31</v>
      </c>
      <c r="B981" s="28" t="s">
        <v>4054</v>
      </c>
      <c r="C981" s="28" t="s">
        <v>4055</v>
      </c>
      <c r="D981" s="28">
        <f t="shared" si="15"/>
        <v>-1</v>
      </c>
      <c r="E981" s="28" t="s">
        <v>34</v>
      </c>
      <c r="F981" s="28" t="s">
        <v>3996</v>
      </c>
      <c r="G981" s="28" t="s">
        <v>4056</v>
      </c>
      <c r="H981" s="28" t="s">
        <v>37</v>
      </c>
      <c r="I981" s="28" t="s">
        <v>38</v>
      </c>
      <c r="J981" s="28" t="s">
        <v>4057</v>
      </c>
      <c r="K981" s="28" t="s">
        <v>4058</v>
      </c>
      <c r="L981" s="28">
        <v>165300</v>
      </c>
      <c r="M981" s="28">
        <v>0</v>
      </c>
      <c r="N981" s="28">
        <v>0</v>
      </c>
      <c r="O981" s="28">
        <v>1035300</v>
      </c>
      <c r="P981" s="28" t="s">
        <v>41</v>
      </c>
      <c r="Q981" s="28" t="s">
        <v>42</v>
      </c>
      <c r="R981" s="1" t="s">
        <v>161</v>
      </c>
      <c r="S981" s="1"/>
      <c r="T981" s="1"/>
      <c r="U981" s="1"/>
      <c r="V981" s="1"/>
      <c r="W981" s="1"/>
      <c r="X981" s="1"/>
    </row>
    <row r="982" spans="1:24" s="34" customFormat="1" x14ac:dyDescent="0.2">
      <c r="A982" s="33" t="s">
        <v>31</v>
      </c>
      <c r="B982" s="33" t="s">
        <v>4059</v>
      </c>
      <c r="C982" s="33" t="s">
        <v>4060</v>
      </c>
      <c r="D982" s="33">
        <f t="shared" si="15"/>
        <v>-1</v>
      </c>
      <c r="E982" s="33" t="s">
        <v>34</v>
      </c>
      <c r="F982" s="33" t="s">
        <v>3996</v>
      </c>
      <c r="G982" s="33" t="s">
        <v>4061</v>
      </c>
      <c r="H982" s="33" t="s">
        <v>37</v>
      </c>
      <c r="I982" s="33" t="s">
        <v>38</v>
      </c>
      <c r="J982" s="33" t="s">
        <v>3395</v>
      </c>
      <c r="K982" s="33" t="s">
        <v>3396</v>
      </c>
      <c r="L982" s="33">
        <v>921120</v>
      </c>
      <c r="M982" s="33">
        <v>0</v>
      </c>
      <c r="N982" s="33">
        <v>0</v>
      </c>
      <c r="O982" s="33">
        <v>5769120</v>
      </c>
      <c r="P982" s="33" t="s">
        <v>41</v>
      </c>
      <c r="Q982" s="33" t="s">
        <v>42</v>
      </c>
      <c r="R982" s="1"/>
      <c r="S982" s="1"/>
      <c r="T982" s="1"/>
      <c r="U982" s="1"/>
      <c r="V982" s="1"/>
      <c r="W982" s="1" t="s">
        <v>161</v>
      </c>
      <c r="X982" s="1" t="s">
        <v>791</v>
      </c>
    </row>
    <row r="983" spans="1:24" s="34" customFormat="1" x14ac:dyDescent="0.2">
      <c r="A983" s="28" t="s">
        <v>31</v>
      </c>
      <c r="B983" s="28" t="s">
        <v>4062</v>
      </c>
      <c r="C983" s="28" t="s">
        <v>4063</v>
      </c>
      <c r="D983" s="28">
        <f t="shared" si="15"/>
        <v>-1</v>
      </c>
      <c r="E983" s="28" t="s">
        <v>34</v>
      </c>
      <c r="F983" s="28" t="s">
        <v>3996</v>
      </c>
      <c r="G983" s="28" t="s">
        <v>4064</v>
      </c>
      <c r="H983" s="28" t="s">
        <v>37</v>
      </c>
      <c r="I983" s="28" t="s">
        <v>38</v>
      </c>
      <c r="J983" s="28" t="s">
        <v>4065</v>
      </c>
      <c r="K983" s="28" t="s">
        <v>4066</v>
      </c>
      <c r="L983" s="28">
        <v>103835</v>
      </c>
      <c r="M983" s="28">
        <v>0</v>
      </c>
      <c r="N983" s="28">
        <v>0</v>
      </c>
      <c r="O983" s="28">
        <v>650335</v>
      </c>
      <c r="P983" s="28" t="s">
        <v>41</v>
      </c>
      <c r="Q983" s="28" t="s">
        <v>42</v>
      </c>
      <c r="R983" s="1" t="s">
        <v>161</v>
      </c>
      <c r="S983" s="1"/>
      <c r="T983" s="1"/>
      <c r="U983" s="1"/>
      <c r="V983" s="1"/>
      <c r="W983" s="1"/>
      <c r="X983" s="1"/>
    </row>
    <row r="984" spans="1:24" s="34" customFormat="1" x14ac:dyDescent="0.2">
      <c r="A984" s="28" t="s">
        <v>31</v>
      </c>
      <c r="B984" s="28" t="s">
        <v>4067</v>
      </c>
      <c r="C984" s="28" t="s">
        <v>4068</v>
      </c>
      <c r="D984" s="28">
        <f t="shared" si="15"/>
        <v>-1</v>
      </c>
      <c r="E984" s="28" t="s">
        <v>34</v>
      </c>
      <c r="F984" s="28" t="s">
        <v>3996</v>
      </c>
      <c r="G984" s="28" t="s">
        <v>4069</v>
      </c>
      <c r="H984" s="28" t="s">
        <v>37</v>
      </c>
      <c r="I984" s="28" t="s">
        <v>38</v>
      </c>
      <c r="J984" s="28" t="s">
        <v>4065</v>
      </c>
      <c r="K984" s="28" t="s">
        <v>4066</v>
      </c>
      <c r="L984" s="28">
        <v>103835</v>
      </c>
      <c r="M984" s="28">
        <v>0</v>
      </c>
      <c r="N984" s="28">
        <v>0</v>
      </c>
      <c r="O984" s="28">
        <v>650335</v>
      </c>
      <c r="P984" s="28" t="s">
        <v>41</v>
      </c>
      <c r="Q984" s="28" t="s">
        <v>42</v>
      </c>
      <c r="R984" s="1" t="s">
        <v>161</v>
      </c>
      <c r="S984" s="1"/>
      <c r="T984" s="1"/>
      <c r="U984" s="1"/>
      <c r="V984" s="1"/>
      <c r="W984" s="1"/>
      <c r="X984" s="1"/>
    </row>
    <row r="985" spans="1:24" s="34" customFormat="1" x14ac:dyDescent="0.2">
      <c r="A985" s="1" t="s">
        <v>31</v>
      </c>
      <c r="B985" s="1" t="s">
        <v>4070</v>
      </c>
      <c r="C985" s="1" t="s">
        <v>4071</v>
      </c>
      <c r="D985" s="1">
        <f t="shared" si="15"/>
        <v>-1</v>
      </c>
      <c r="E985" s="1" t="s">
        <v>34</v>
      </c>
      <c r="F985" s="1" t="s">
        <v>3996</v>
      </c>
      <c r="G985" s="1" t="s">
        <v>4072</v>
      </c>
      <c r="H985" s="1" t="s">
        <v>37</v>
      </c>
      <c r="I985" s="1" t="s">
        <v>38</v>
      </c>
      <c r="J985" s="1" t="s">
        <v>4073</v>
      </c>
      <c r="K985" s="1" t="s">
        <v>4074</v>
      </c>
      <c r="L985" s="1">
        <v>141341</v>
      </c>
      <c r="M985" s="1">
        <v>0</v>
      </c>
      <c r="N985" s="1">
        <v>0</v>
      </c>
      <c r="O985" s="1">
        <v>885241</v>
      </c>
      <c r="P985" s="1" t="s">
        <v>41</v>
      </c>
      <c r="Q985" s="1" t="s">
        <v>42</v>
      </c>
      <c r="R985" s="1"/>
      <c r="S985" s="1"/>
      <c r="T985" s="1"/>
      <c r="U985" s="1"/>
      <c r="V985" s="1" t="s">
        <v>161</v>
      </c>
      <c r="W985" s="1"/>
      <c r="X985" s="1"/>
    </row>
    <row r="986" spans="1:24" s="34" customFormat="1" x14ac:dyDescent="0.2">
      <c r="A986" s="1" t="s">
        <v>31</v>
      </c>
      <c r="B986" s="1" t="s">
        <v>4075</v>
      </c>
      <c r="C986" s="1" t="s">
        <v>4076</v>
      </c>
      <c r="D986" s="1">
        <f t="shared" si="15"/>
        <v>-1</v>
      </c>
      <c r="E986" s="1" t="s">
        <v>34</v>
      </c>
      <c r="F986" s="1" t="s">
        <v>3996</v>
      </c>
      <c r="G986" s="1" t="s">
        <v>4077</v>
      </c>
      <c r="H986" s="1" t="s">
        <v>37</v>
      </c>
      <c r="I986" s="1" t="s">
        <v>38</v>
      </c>
      <c r="J986" s="1" t="s">
        <v>4073</v>
      </c>
      <c r="K986" s="1" t="s">
        <v>4074</v>
      </c>
      <c r="L986" s="1">
        <v>137329</v>
      </c>
      <c r="M986" s="1">
        <v>0</v>
      </c>
      <c r="N986" s="1">
        <v>0</v>
      </c>
      <c r="O986" s="1">
        <v>1390029</v>
      </c>
      <c r="P986" s="1" t="s">
        <v>41</v>
      </c>
      <c r="Q986" s="1" t="s">
        <v>42</v>
      </c>
      <c r="R986" s="1"/>
      <c r="S986" s="1"/>
      <c r="T986" s="1"/>
      <c r="U986" s="1"/>
      <c r="V986" s="1" t="s">
        <v>161</v>
      </c>
      <c r="W986" s="1"/>
      <c r="X986" s="1"/>
    </row>
    <row r="987" spans="1:24" s="34" customFormat="1" x14ac:dyDescent="0.2">
      <c r="A987" s="33" t="s">
        <v>31</v>
      </c>
      <c r="B987" s="33" t="s">
        <v>4078</v>
      </c>
      <c r="C987" s="33" t="s">
        <v>4079</v>
      </c>
      <c r="D987" s="33">
        <f t="shared" si="15"/>
        <v>-1</v>
      </c>
      <c r="E987" s="33" t="s">
        <v>34</v>
      </c>
      <c r="F987" s="33" t="s">
        <v>3996</v>
      </c>
      <c r="G987" s="33" t="s">
        <v>4080</v>
      </c>
      <c r="H987" s="33" t="s">
        <v>37</v>
      </c>
      <c r="I987" s="33" t="s">
        <v>38</v>
      </c>
      <c r="J987" s="33" t="s">
        <v>4081</v>
      </c>
      <c r="K987" s="33" t="s">
        <v>4082</v>
      </c>
      <c r="L987" s="33">
        <v>46816</v>
      </c>
      <c r="M987" s="33">
        <v>0</v>
      </c>
      <c r="N987" s="33">
        <v>0</v>
      </c>
      <c r="O987" s="33">
        <v>293216</v>
      </c>
      <c r="P987" s="33" t="s">
        <v>41</v>
      </c>
      <c r="Q987" s="33" t="s">
        <v>42</v>
      </c>
      <c r="R987" s="1"/>
      <c r="S987" s="1"/>
      <c r="T987" s="1"/>
      <c r="U987" s="1"/>
      <c r="V987" s="1"/>
      <c r="W987" s="1" t="s">
        <v>161</v>
      </c>
      <c r="X987" s="1" t="s">
        <v>129</v>
      </c>
    </row>
    <row r="988" spans="1:24" s="34" customFormat="1" x14ac:dyDescent="0.2">
      <c r="A988" s="33" t="s">
        <v>31</v>
      </c>
      <c r="B988" s="33" t="s">
        <v>4083</v>
      </c>
      <c r="C988" s="33" t="s">
        <v>4084</v>
      </c>
      <c r="D988" s="33">
        <f t="shared" si="15"/>
        <v>-1</v>
      </c>
      <c r="E988" s="33" t="s">
        <v>34</v>
      </c>
      <c r="F988" s="33" t="s">
        <v>3996</v>
      </c>
      <c r="G988" s="33" t="s">
        <v>4085</v>
      </c>
      <c r="H988" s="33" t="s">
        <v>37</v>
      </c>
      <c r="I988" s="33" t="s">
        <v>38</v>
      </c>
      <c r="J988" s="33" t="s">
        <v>4086</v>
      </c>
      <c r="K988" s="33" t="s">
        <v>4087</v>
      </c>
      <c r="L988" s="33">
        <v>1050700</v>
      </c>
      <c r="M988" s="33">
        <v>0</v>
      </c>
      <c r="N988" s="33">
        <v>0</v>
      </c>
      <c r="O988" s="33">
        <v>6580700</v>
      </c>
      <c r="P988" s="33" t="s">
        <v>41</v>
      </c>
      <c r="Q988" s="33" t="s">
        <v>42</v>
      </c>
      <c r="R988" s="1"/>
      <c r="S988" s="1"/>
      <c r="T988" s="1"/>
      <c r="U988" s="1"/>
      <c r="V988" s="1"/>
      <c r="W988" s="33" t="s">
        <v>43</v>
      </c>
      <c r="X988" s="1" t="s">
        <v>2919</v>
      </c>
    </row>
    <row r="989" spans="1:24" s="34" customFormat="1" x14ac:dyDescent="0.2">
      <c r="A989" s="33" t="s">
        <v>31</v>
      </c>
      <c r="B989" s="33" t="s">
        <v>4088</v>
      </c>
      <c r="C989" s="33" t="s">
        <v>4089</v>
      </c>
      <c r="D989" s="33">
        <f t="shared" si="15"/>
        <v>-1</v>
      </c>
      <c r="E989" s="33" t="s">
        <v>34</v>
      </c>
      <c r="F989" s="33" t="s">
        <v>3996</v>
      </c>
      <c r="G989" s="33" t="s">
        <v>4090</v>
      </c>
      <c r="H989" s="33" t="s">
        <v>37</v>
      </c>
      <c r="I989" s="33" t="s">
        <v>38</v>
      </c>
      <c r="J989" s="33" t="s">
        <v>4091</v>
      </c>
      <c r="K989" s="33" t="s">
        <v>4092</v>
      </c>
      <c r="L989" s="33">
        <v>39649.769999999997</v>
      </c>
      <c r="M989" s="33">
        <v>0</v>
      </c>
      <c r="N989" s="33">
        <v>0</v>
      </c>
      <c r="O989" s="33">
        <v>248332.77</v>
      </c>
      <c r="P989" s="33" t="s">
        <v>41</v>
      </c>
      <c r="Q989" s="33" t="s">
        <v>42</v>
      </c>
      <c r="R989" s="1"/>
      <c r="S989" s="1"/>
      <c r="T989" s="1"/>
      <c r="U989" s="1"/>
      <c r="V989" s="1"/>
      <c r="W989" s="33" t="s">
        <v>43</v>
      </c>
      <c r="X989" s="1" t="s">
        <v>589</v>
      </c>
    </row>
    <row r="990" spans="1:24" s="34" customFormat="1" x14ac:dyDescent="0.2">
      <c r="A990" s="1" t="s">
        <v>31</v>
      </c>
      <c r="B990" s="1" t="s">
        <v>4093</v>
      </c>
      <c r="C990" s="33" t="s">
        <v>4094</v>
      </c>
      <c r="D990" s="1">
        <f t="shared" si="15"/>
        <v>-1</v>
      </c>
      <c r="E990" s="1" t="s">
        <v>34</v>
      </c>
      <c r="F990" s="1" t="s">
        <v>3996</v>
      </c>
      <c r="G990" s="1" t="s">
        <v>4095</v>
      </c>
      <c r="H990" s="1" t="s">
        <v>37</v>
      </c>
      <c r="I990" s="1" t="s">
        <v>38</v>
      </c>
      <c r="J990" s="1" t="s">
        <v>1569</v>
      </c>
      <c r="K990" s="1" t="s">
        <v>1570</v>
      </c>
      <c r="L990" s="1">
        <v>96712.28</v>
      </c>
      <c r="M990" s="1">
        <v>0</v>
      </c>
      <c r="N990" s="1">
        <v>0</v>
      </c>
      <c r="O990" s="1">
        <v>605724.28</v>
      </c>
      <c r="P990" s="1" t="s">
        <v>41</v>
      </c>
      <c r="Q990" s="1" t="s">
        <v>42</v>
      </c>
      <c r="R990" s="1"/>
      <c r="S990" s="1"/>
      <c r="T990" s="1"/>
      <c r="U990" s="1"/>
      <c r="V990" s="1" t="s">
        <v>161</v>
      </c>
      <c r="W990" s="1"/>
      <c r="X990" s="1"/>
    </row>
    <row r="991" spans="1:24" s="34" customFormat="1" x14ac:dyDescent="0.2">
      <c r="A991" s="33" t="s">
        <v>31</v>
      </c>
      <c r="B991" s="33" t="s">
        <v>4096</v>
      </c>
      <c r="C991" s="33" t="s">
        <v>4097</v>
      </c>
      <c r="D991" s="33">
        <f t="shared" si="15"/>
        <v>-1</v>
      </c>
      <c r="E991" s="33" t="s">
        <v>34</v>
      </c>
      <c r="F991" s="33" t="s">
        <v>3996</v>
      </c>
      <c r="G991" s="33" t="s">
        <v>4098</v>
      </c>
      <c r="H991" s="33" t="s">
        <v>37</v>
      </c>
      <c r="I991" s="33" t="s">
        <v>38</v>
      </c>
      <c r="J991" s="33" t="s">
        <v>1856</v>
      </c>
      <c r="K991" s="33" t="s">
        <v>1857</v>
      </c>
      <c r="L991" s="33">
        <v>140685.5</v>
      </c>
      <c r="M991" s="33">
        <v>0</v>
      </c>
      <c r="N991" s="33">
        <v>0</v>
      </c>
      <c r="O991" s="33">
        <v>881135.5</v>
      </c>
      <c r="P991" s="33" t="s">
        <v>41</v>
      </c>
      <c r="Q991" s="33" t="s">
        <v>42</v>
      </c>
      <c r="R991" s="1"/>
      <c r="S991" s="1"/>
      <c r="T991" s="1"/>
      <c r="U991" s="1"/>
      <c r="V991" s="1"/>
      <c r="W991" s="33" t="s">
        <v>161</v>
      </c>
      <c r="X991" s="1" t="s">
        <v>1436</v>
      </c>
    </row>
    <row r="992" spans="1:24" s="34" customFormat="1" x14ac:dyDescent="0.2">
      <c r="A992" s="33" t="s">
        <v>31</v>
      </c>
      <c r="B992" s="33" t="s">
        <v>4099</v>
      </c>
      <c r="C992" s="33" t="s">
        <v>4100</v>
      </c>
      <c r="D992" s="33">
        <f t="shared" si="15"/>
        <v>-1</v>
      </c>
      <c r="E992" s="33" t="s">
        <v>34</v>
      </c>
      <c r="F992" s="33" t="s">
        <v>3996</v>
      </c>
      <c r="G992" s="33" t="s">
        <v>4101</v>
      </c>
      <c r="H992" s="33" t="s">
        <v>37</v>
      </c>
      <c r="I992" s="33" t="s">
        <v>38</v>
      </c>
      <c r="J992" s="33" t="s">
        <v>652</v>
      </c>
      <c r="K992" s="33" t="s">
        <v>653</v>
      </c>
      <c r="L992" s="33">
        <v>123500</v>
      </c>
      <c r="M992" s="33">
        <v>0</v>
      </c>
      <c r="N992" s="33">
        <v>0</v>
      </c>
      <c r="O992" s="33">
        <v>773500</v>
      </c>
      <c r="P992" s="33" t="s">
        <v>41</v>
      </c>
      <c r="Q992" s="33" t="s">
        <v>42</v>
      </c>
      <c r="R992" s="1"/>
      <c r="S992" s="1"/>
      <c r="T992" s="1"/>
      <c r="U992" s="1"/>
      <c r="V992" s="1"/>
      <c r="W992" s="33" t="s">
        <v>43</v>
      </c>
      <c r="X992" s="1" t="s">
        <v>3042</v>
      </c>
    </row>
    <row r="993" spans="1:24" s="34" customFormat="1" x14ac:dyDescent="0.2">
      <c r="A993" s="1" t="s">
        <v>31</v>
      </c>
      <c r="B993" s="1" t="s">
        <v>4102</v>
      </c>
      <c r="C993" s="1" t="s">
        <v>4103</v>
      </c>
      <c r="D993" s="1">
        <f t="shared" si="15"/>
        <v>-1</v>
      </c>
      <c r="E993" s="1" t="s">
        <v>34</v>
      </c>
      <c r="F993" s="1" t="s">
        <v>3996</v>
      </c>
      <c r="G993" s="1" t="s">
        <v>4104</v>
      </c>
      <c r="H993" s="1" t="s">
        <v>37</v>
      </c>
      <c r="I993" s="1" t="s">
        <v>38</v>
      </c>
      <c r="J993" s="1" t="s">
        <v>4105</v>
      </c>
      <c r="K993" s="1" t="s">
        <v>4106</v>
      </c>
      <c r="L993" s="1">
        <v>0</v>
      </c>
      <c r="M993" s="1">
        <v>0</v>
      </c>
      <c r="N993" s="1">
        <v>0</v>
      </c>
      <c r="O993" s="1">
        <v>12741156.939999999</v>
      </c>
      <c r="P993" s="1" t="s">
        <v>41</v>
      </c>
      <c r="Q993" s="1" t="s">
        <v>42</v>
      </c>
      <c r="R993" s="1"/>
      <c r="S993" s="1"/>
      <c r="T993" s="1"/>
      <c r="U993" s="1"/>
      <c r="V993" s="1" t="s">
        <v>161</v>
      </c>
      <c r="W993" s="1"/>
      <c r="X993" s="1"/>
    </row>
    <row r="994" spans="1:24" s="34" customFormat="1" x14ac:dyDescent="0.2">
      <c r="A994" s="29" t="s">
        <v>31</v>
      </c>
      <c r="B994" s="29" t="s">
        <v>4107</v>
      </c>
      <c r="C994" s="29" t="s">
        <v>4108</v>
      </c>
      <c r="D994" s="29">
        <f t="shared" ref="D994:D1044" si="16">C994-C995</f>
        <v>-1</v>
      </c>
      <c r="E994" s="29" t="s">
        <v>34</v>
      </c>
      <c r="F994" s="29" t="s">
        <v>4109</v>
      </c>
      <c r="G994" s="29" t="s">
        <v>4110</v>
      </c>
      <c r="H994" s="29" t="s">
        <v>37</v>
      </c>
      <c r="I994" s="29" t="s">
        <v>38</v>
      </c>
      <c r="J994" s="29" t="s">
        <v>4111</v>
      </c>
      <c r="K994" s="29" t="s">
        <v>4112</v>
      </c>
      <c r="L994" s="29">
        <v>239020</v>
      </c>
      <c r="M994" s="29">
        <v>0</v>
      </c>
      <c r="N994" s="29">
        <v>0</v>
      </c>
      <c r="O994" s="29">
        <v>1497020</v>
      </c>
      <c r="P994" s="29" t="s">
        <v>41</v>
      </c>
      <c r="Q994" s="29" t="s">
        <v>42</v>
      </c>
      <c r="R994" s="1"/>
      <c r="S994" s="1"/>
      <c r="T994" s="1" t="s">
        <v>161</v>
      </c>
      <c r="U994" s="1"/>
      <c r="V994" s="1"/>
      <c r="W994" s="1"/>
      <c r="X994" s="1"/>
    </row>
    <row r="995" spans="1:24" s="34" customFormat="1" x14ac:dyDescent="0.2">
      <c r="A995" s="33" t="s">
        <v>31</v>
      </c>
      <c r="B995" s="33" t="s">
        <v>4113</v>
      </c>
      <c r="C995" s="33" t="s">
        <v>4114</v>
      </c>
      <c r="D995" s="33">
        <f t="shared" si="16"/>
        <v>-1</v>
      </c>
      <c r="E995" s="33" t="s">
        <v>34</v>
      </c>
      <c r="F995" s="33" t="s">
        <v>4109</v>
      </c>
      <c r="G995" s="33" t="s">
        <v>4115</v>
      </c>
      <c r="H995" s="33" t="s">
        <v>37</v>
      </c>
      <c r="I995" s="33" t="s">
        <v>38</v>
      </c>
      <c r="J995" s="33" t="s">
        <v>1255</v>
      </c>
      <c r="K995" s="33" t="s">
        <v>1256</v>
      </c>
      <c r="L995" s="33">
        <v>121068</v>
      </c>
      <c r="M995" s="33">
        <v>0</v>
      </c>
      <c r="N995" s="33">
        <v>0</v>
      </c>
      <c r="O995" s="33">
        <v>758268</v>
      </c>
      <c r="P995" s="33" t="s">
        <v>41</v>
      </c>
      <c r="Q995" s="33" t="s">
        <v>42</v>
      </c>
      <c r="R995" s="1"/>
      <c r="S995" s="1"/>
      <c r="T995" s="1"/>
      <c r="U995" s="1"/>
      <c r="V995" s="1"/>
      <c r="W995" s="33" t="s">
        <v>161</v>
      </c>
      <c r="X995" s="1" t="s">
        <v>201</v>
      </c>
    </row>
    <row r="996" spans="1:24" s="34" customFormat="1" x14ac:dyDescent="0.2">
      <c r="A996" s="33" t="s">
        <v>31</v>
      </c>
      <c r="B996" s="33" t="s">
        <v>4116</v>
      </c>
      <c r="C996" s="33" t="s">
        <v>4117</v>
      </c>
      <c r="D996" s="33">
        <f t="shared" si="16"/>
        <v>-1</v>
      </c>
      <c r="E996" s="33" t="s">
        <v>34</v>
      </c>
      <c r="F996" s="33" t="s">
        <v>4109</v>
      </c>
      <c r="G996" s="33" t="s">
        <v>4118</v>
      </c>
      <c r="H996" s="33" t="s">
        <v>37</v>
      </c>
      <c r="I996" s="33" t="s">
        <v>38</v>
      </c>
      <c r="J996" s="33" t="s">
        <v>235</v>
      </c>
      <c r="K996" s="33" t="s">
        <v>236</v>
      </c>
      <c r="L996" s="33">
        <v>67270.5</v>
      </c>
      <c r="M996" s="33">
        <v>0</v>
      </c>
      <c r="N996" s="33">
        <v>0</v>
      </c>
      <c r="O996" s="33">
        <v>471600.5</v>
      </c>
      <c r="P996" s="33" t="s">
        <v>41</v>
      </c>
      <c r="Q996" s="33" t="s">
        <v>42</v>
      </c>
      <c r="R996" s="1"/>
      <c r="S996" s="1"/>
      <c r="T996" s="1"/>
      <c r="U996" s="1"/>
      <c r="V996" s="1"/>
      <c r="W996" s="33" t="s">
        <v>43</v>
      </c>
      <c r="X996" s="1" t="s">
        <v>665</v>
      </c>
    </row>
    <row r="997" spans="1:24" s="34" customFormat="1" x14ac:dyDescent="0.2">
      <c r="A997" s="33" t="s">
        <v>31</v>
      </c>
      <c r="B997" s="33" t="s">
        <v>4119</v>
      </c>
      <c r="C997" s="33" t="s">
        <v>4120</v>
      </c>
      <c r="D997" s="33">
        <f t="shared" si="16"/>
        <v>-1</v>
      </c>
      <c r="E997" s="33" t="s">
        <v>34</v>
      </c>
      <c r="F997" s="33" t="s">
        <v>4109</v>
      </c>
      <c r="G997" s="33" t="s">
        <v>4121</v>
      </c>
      <c r="H997" s="33" t="s">
        <v>37</v>
      </c>
      <c r="I997" s="33" t="s">
        <v>38</v>
      </c>
      <c r="J997" s="33" t="s">
        <v>3395</v>
      </c>
      <c r="K997" s="33" t="s">
        <v>3396</v>
      </c>
      <c r="L997" s="33">
        <v>712500</v>
      </c>
      <c r="M997" s="33">
        <v>0</v>
      </c>
      <c r="N997" s="33">
        <v>0</v>
      </c>
      <c r="O997" s="33">
        <v>4462500</v>
      </c>
      <c r="P997" s="33" t="s">
        <v>41</v>
      </c>
      <c r="Q997" s="33" t="s">
        <v>42</v>
      </c>
      <c r="R997" s="1"/>
      <c r="S997" s="1"/>
      <c r="T997" s="1"/>
      <c r="U997" s="1"/>
      <c r="V997" s="1"/>
      <c r="W997" s="1" t="s">
        <v>161</v>
      </c>
      <c r="X997" s="1" t="s">
        <v>129</v>
      </c>
    </row>
    <row r="998" spans="1:24" s="34" customFormat="1" x14ac:dyDescent="0.2">
      <c r="A998" s="30" t="s">
        <v>31</v>
      </c>
      <c r="B998" s="30" t="s">
        <v>4122</v>
      </c>
      <c r="C998" s="30" t="s">
        <v>4123</v>
      </c>
      <c r="D998" s="30">
        <f t="shared" si="16"/>
        <v>-1</v>
      </c>
      <c r="E998" s="30" t="s">
        <v>34</v>
      </c>
      <c r="F998" s="30" t="s">
        <v>4109</v>
      </c>
      <c r="G998" s="30" t="s">
        <v>4124</v>
      </c>
      <c r="H998" s="30" t="s">
        <v>37</v>
      </c>
      <c r="I998" s="30" t="s">
        <v>38</v>
      </c>
      <c r="J998" s="30" t="s">
        <v>703</v>
      </c>
      <c r="K998" s="30" t="s">
        <v>704</v>
      </c>
      <c r="L998" s="30">
        <v>34961.9</v>
      </c>
      <c r="M998" s="30">
        <v>0</v>
      </c>
      <c r="N998" s="30">
        <v>0</v>
      </c>
      <c r="O998" s="30">
        <v>218971.9</v>
      </c>
      <c r="P998" s="30" t="s">
        <v>41</v>
      </c>
      <c r="Q998" s="30" t="s">
        <v>42</v>
      </c>
      <c r="R998" s="1"/>
      <c r="S998" s="1" t="s">
        <v>161</v>
      </c>
      <c r="T998" s="1"/>
      <c r="U998" s="1"/>
      <c r="V998" s="1"/>
      <c r="W998" s="1"/>
      <c r="X998" s="1"/>
    </row>
    <row r="999" spans="1:24" s="34" customFormat="1" x14ac:dyDescent="0.2">
      <c r="A999" s="33" t="s">
        <v>31</v>
      </c>
      <c r="B999" s="33" t="s">
        <v>4125</v>
      </c>
      <c r="C999" s="33" t="s">
        <v>4126</v>
      </c>
      <c r="D999" s="33">
        <f t="shared" si="16"/>
        <v>-1</v>
      </c>
      <c r="E999" s="33" t="s">
        <v>34</v>
      </c>
      <c r="F999" s="33" t="s">
        <v>4109</v>
      </c>
      <c r="G999" s="33" t="s">
        <v>4127</v>
      </c>
      <c r="H999" s="33" t="s">
        <v>37</v>
      </c>
      <c r="I999" s="33" t="s">
        <v>38</v>
      </c>
      <c r="J999" s="33" t="s">
        <v>1773</v>
      </c>
      <c r="K999" s="33" t="s">
        <v>1774</v>
      </c>
      <c r="L999" s="33">
        <v>20121</v>
      </c>
      <c r="M999" s="33">
        <v>0</v>
      </c>
      <c r="N999" s="33">
        <v>0</v>
      </c>
      <c r="O999" s="33">
        <v>126021</v>
      </c>
      <c r="P999" s="33" t="s">
        <v>41</v>
      </c>
      <c r="Q999" s="33" t="s">
        <v>42</v>
      </c>
      <c r="R999" s="1"/>
      <c r="S999" s="1"/>
      <c r="T999" s="1"/>
      <c r="U999" s="1"/>
      <c r="V999" s="1"/>
      <c r="W999" s="1" t="s">
        <v>43</v>
      </c>
      <c r="X999" s="1" t="s">
        <v>69</v>
      </c>
    </row>
    <row r="1000" spans="1:24" s="34" customFormat="1" x14ac:dyDescent="0.2">
      <c r="A1000" s="1" t="s">
        <v>31</v>
      </c>
      <c r="B1000" s="1" t="s">
        <v>4128</v>
      </c>
      <c r="C1000" s="1" t="s">
        <v>4129</v>
      </c>
      <c r="D1000" s="1">
        <f t="shared" si="16"/>
        <v>-1</v>
      </c>
      <c r="E1000" s="1" t="s">
        <v>34</v>
      </c>
      <c r="F1000" s="1" t="s">
        <v>4109</v>
      </c>
      <c r="G1000" s="1" t="s">
        <v>4130</v>
      </c>
      <c r="H1000" s="1" t="s">
        <v>37</v>
      </c>
      <c r="I1000" s="1" t="s">
        <v>38</v>
      </c>
      <c r="J1000" s="1" t="s">
        <v>4131</v>
      </c>
      <c r="K1000" s="1" t="s">
        <v>4132</v>
      </c>
      <c r="L1000" s="1">
        <v>53010</v>
      </c>
      <c r="M1000" s="1">
        <v>0</v>
      </c>
      <c r="N1000" s="1">
        <v>0</v>
      </c>
      <c r="O1000" s="1">
        <v>332010</v>
      </c>
      <c r="P1000" s="1" t="s">
        <v>41</v>
      </c>
      <c r="Q1000" s="1" t="s">
        <v>42</v>
      </c>
      <c r="R1000" s="1"/>
      <c r="S1000" s="1"/>
      <c r="T1000" s="1"/>
      <c r="U1000" s="1"/>
      <c r="V1000" s="1" t="s">
        <v>161</v>
      </c>
      <c r="W1000" s="1"/>
      <c r="X1000" s="1"/>
    </row>
    <row r="1001" spans="1:24" s="34" customFormat="1" x14ac:dyDescent="0.2">
      <c r="A1001" s="33" t="s">
        <v>31</v>
      </c>
      <c r="B1001" s="33" t="s">
        <v>4133</v>
      </c>
      <c r="C1001" s="33" t="s">
        <v>4134</v>
      </c>
      <c r="D1001" s="33">
        <f t="shared" si="16"/>
        <v>-1</v>
      </c>
      <c r="E1001" s="33" t="s">
        <v>34</v>
      </c>
      <c r="F1001" s="33" t="s">
        <v>4109</v>
      </c>
      <c r="G1001" s="33" t="s">
        <v>4135</v>
      </c>
      <c r="H1001" s="33" t="s">
        <v>37</v>
      </c>
      <c r="I1001" s="33" t="s">
        <v>38</v>
      </c>
      <c r="J1001" s="33" t="s">
        <v>652</v>
      </c>
      <c r="K1001" s="33" t="s">
        <v>653</v>
      </c>
      <c r="L1001" s="33">
        <v>59850</v>
      </c>
      <c r="M1001" s="33">
        <v>0</v>
      </c>
      <c r="N1001" s="33">
        <v>0</v>
      </c>
      <c r="O1001" s="33">
        <v>374850</v>
      </c>
      <c r="P1001" s="33" t="s">
        <v>41</v>
      </c>
      <c r="Q1001" s="33" t="s">
        <v>42</v>
      </c>
      <c r="R1001" s="1"/>
      <c r="S1001" s="1"/>
      <c r="T1001" s="1"/>
      <c r="U1001" s="1"/>
      <c r="V1001" s="1"/>
      <c r="W1001" s="33" t="s">
        <v>43</v>
      </c>
      <c r="X1001" s="1" t="s">
        <v>3042</v>
      </c>
    </row>
    <row r="1002" spans="1:24" s="34" customFormat="1" x14ac:dyDescent="0.2">
      <c r="A1002" s="33" t="s">
        <v>31</v>
      </c>
      <c r="B1002" s="33" t="s">
        <v>4136</v>
      </c>
      <c r="C1002" s="33" t="s">
        <v>4137</v>
      </c>
      <c r="D1002" s="33">
        <f t="shared" si="16"/>
        <v>-1</v>
      </c>
      <c r="E1002" s="33" t="s">
        <v>34</v>
      </c>
      <c r="F1002" s="33" t="s">
        <v>4109</v>
      </c>
      <c r="G1002" s="33" t="s">
        <v>4138</v>
      </c>
      <c r="H1002" s="33" t="s">
        <v>37</v>
      </c>
      <c r="I1002" s="33" t="s">
        <v>38</v>
      </c>
      <c r="J1002" s="33" t="s">
        <v>652</v>
      </c>
      <c r="K1002" s="33" t="s">
        <v>653</v>
      </c>
      <c r="L1002" s="33">
        <v>9120</v>
      </c>
      <c r="M1002" s="33">
        <v>0</v>
      </c>
      <c r="N1002" s="33">
        <v>0</v>
      </c>
      <c r="O1002" s="33">
        <v>57120</v>
      </c>
      <c r="P1002" s="33" t="s">
        <v>41</v>
      </c>
      <c r="Q1002" s="33" t="s">
        <v>42</v>
      </c>
      <c r="R1002" s="1"/>
      <c r="S1002" s="1"/>
      <c r="T1002" s="1"/>
      <c r="U1002" s="1"/>
      <c r="V1002" s="1"/>
      <c r="W1002" s="33" t="s">
        <v>43</v>
      </c>
      <c r="X1002" s="1" t="s">
        <v>3042</v>
      </c>
    </row>
    <row r="1003" spans="1:24" s="34" customFormat="1" x14ac:dyDescent="0.2">
      <c r="A1003" s="28" t="s">
        <v>31</v>
      </c>
      <c r="B1003" s="28" t="s">
        <v>4139</v>
      </c>
      <c r="C1003" s="28" t="s">
        <v>4140</v>
      </c>
      <c r="D1003" s="28">
        <f t="shared" si="16"/>
        <v>-1</v>
      </c>
      <c r="E1003" s="28" t="s">
        <v>34</v>
      </c>
      <c r="F1003" s="28" t="s">
        <v>4109</v>
      </c>
      <c r="G1003" s="28" t="s">
        <v>4141</v>
      </c>
      <c r="H1003" s="28" t="s">
        <v>37</v>
      </c>
      <c r="I1003" s="28" t="s">
        <v>38</v>
      </c>
      <c r="J1003" s="28" t="s">
        <v>3604</v>
      </c>
      <c r="K1003" s="28" t="s">
        <v>3605</v>
      </c>
      <c r="L1003" s="28">
        <v>319200</v>
      </c>
      <c r="M1003" s="28">
        <v>0</v>
      </c>
      <c r="N1003" s="28">
        <v>0</v>
      </c>
      <c r="O1003" s="28">
        <v>1999200</v>
      </c>
      <c r="P1003" s="28" t="s">
        <v>41</v>
      </c>
      <c r="Q1003" s="28" t="s">
        <v>42</v>
      </c>
      <c r="R1003" s="1" t="s">
        <v>161</v>
      </c>
      <c r="S1003" s="1"/>
      <c r="T1003" s="1"/>
      <c r="U1003" s="1"/>
      <c r="V1003" s="1"/>
      <c r="W1003" s="1"/>
      <c r="X1003" s="1"/>
    </row>
    <row r="1004" spans="1:24" s="34" customFormat="1" x14ac:dyDescent="0.2">
      <c r="A1004" s="1" t="s">
        <v>31</v>
      </c>
      <c r="B1004" s="1" t="s">
        <v>4142</v>
      </c>
      <c r="C1004" s="33" t="s">
        <v>4143</v>
      </c>
      <c r="D1004" s="1">
        <f t="shared" si="16"/>
        <v>-1</v>
      </c>
      <c r="E1004" s="1" t="s">
        <v>34</v>
      </c>
      <c r="F1004" s="1" t="s">
        <v>4109</v>
      </c>
      <c r="G1004" s="1" t="s">
        <v>4144</v>
      </c>
      <c r="H1004" s="1" t="s">
        <v>37</v>
      </c>
      <c r="I1004" s="1" t="s">
        <v>38</v>
      </c>
      <c r="J1004" s="1" t="s">
        <v>4145</v>
      </c>
      <c r="K1004" s="1" t="s">
        <v>4146</v>
      </c>
      <c r="L1004" s="1">
        <v>158175</v>
      </c>
      <c r="M1004" s="1">
        <v>0</v>
      </c>
      <c r="N1004" s="1">
        <v>0</v>
      </c>
      <c r="O1004" s="1">
        <v>990675</v>
      </c>
      <c r="P1004" s="1" t="s">
        <v>41</v>
      </c>
      <c r="Q1004" s="1" t="s">
        <v>42</v>
      </c>
      <c r="R1004" s="1"/>
      <c r="S1004" s="1"/>
      <c r="T1004" s="1"/>
      <c r="U1004" s="1"/>
      <c r="V1004" s="1" t="s">
        <v>161</v>
      </c>
      <c r="W1004" s="1"/>
      <c r="X1004" s="1"/>
    </row>
    <row r="1005" spans="1:24" s="34" customFormat="1" x14ac:dyDescent="0.2">
      <c r="A1005" s="1" t="s">
        <v>31</v>
      </c>
      <c r="B1005" s="1" t="s">
        <v>4147</v>
      </c>
      <c r="C1005" s="33" t="s">
        <v>4148</v>
      </c>
      <c r="D1005" s="1">
        <f t="shared" si="16"/>
        <v>-1</v>
      </c>
      <c r="E1005" s="1" t="s">
        <v>34</v>
      </c>
      <c r="F1005" s="1" t="s">
        <v>4109</v>
      </c>
      <c r="G1005" s="1" t="s">
        <v>4149</v>
      </c>
      <c r="H1005" s="1" t="s">
        <v>37</v>
      </c>
      <c r="I1005" s="1" t="s">
        <v>38</v>
      </c>
      <c r="J1005" s="1" t="s">
        <v>4150</v>
      </c>
      <c r="K1005" s="1" t="s">
        <v>4151</v>
      </c>
      <c r="L1005" s="1">
        <v>90174</v>
      </c>
      <c r="M1005" s="1">
        <v>0</v>
      </c>
      <c r="N1005" s="1">
        <v>0</v>
      </c>
      <c r="O1005" s="1">
        <v>564774</v>
      </c>
      <c r="P1005" s="1" t="s">
        <v>41</v>
      </c>
      <c r="Q1005" s="1" t="s">
        <v>42</v>
      </c>
      <c r="R1005" s="1"/>
      <c r="S1005" s="1"/>
      <c r="T1005" s="1"/>
      <c r="U1005" s="1"/>
      <c r="V1005" s="1" t="s">
        <v>161</v>
      </c>
      <c r="W1005" s="1"/>
      <c r="X1005" s="1"/>
    </row>
    <row r="1006" spans="1:24" s="34" customFormat="1" x14ac:dyDescent="0.2">
      <c r="A1006" s="28" t="s">
        <v>31</v>
      </c>
      <c r="B1006" s="28" t="s">
        <v>4152</v>
      </c>
      <c r="C1006" s="28" t="s">
        <v>4153</v>
      </c>
      <c r="D1006" s="28">
        <f t="shared" si="16"/>
        <v>-1</v>
      </c>
      <c r="E1006" s="28" t="s">
        <v>34</v>
      </c>
      <c r="F1006" s="28" t="s">
        <v>4109</v>
      </c>
      <c r="G1006" s="28" t="s">
        <v>4154</v>
      </c>
      <c r="H1006" s="28" t="s">
        <v>37</v>
      </c>
      <c r="I1006" s="28" t="s">
        <v>38</v>
      </c>
      <c r="J1006" s="28" t="s">
        <v>3744</v>
      </c>
      <c r="K1006" s="28" t="s">
        <v>3745</v>
      </c>
      <c r="L1006" s="28">
        <v>1191375.81</v>
      </c>
      <c r="M1006" s="28">
        <v>0</v>
      </c>
      <c r="N1006" s="28">
        <v>0</v>
      </c>
      <c r="O1006" s="28">
        <v>7461774.8099999996</v>
      </c>
      <c r="P1006" s="28" t="s">
        <v>41</v>
      </c>
      <c r="Q1006" s="28" t="s">
        <v>42</v>
      </c>
      <c r="R1006" s="1" t="s">
        <v>161</v>
      </c>
      <c r="S1006" s="1"/>
      <c r="T1006" s="1"/>
      <c r="U1006" s="1"/>
      <c r="V1006" s="1"/>
      <c r="W1006" s="1"/>
      <c r="X1006" s="1"/>
    </row>
    <row r="1007" spans="1:24" s="34" customFormat="1" x14ac:dyDescent="0.2">
      <c r="A1007" s="33" t="s">
        <v>31</v>
      </c>
      <c r="B1007" s="33" t="s">
        <v>4155</v>
      </c>
      <c r="C1007" s="33" t="s">
        <v>4156</v>
      </c>
      <c r="D1007" s="33">
        <f t="shared" si="16"/>
        <v>-1</v>
      </c>
      <c r="E1007" s="33" t="s">
        <v>34</v>
      </c>
      <c r="F1007" s="33" t="s">
        <v>4109</v>
      </c>
      <c r="G1007" s="33" t="s">
        <v>4157</v>
      </c>
      <c r="H1007" s="33" t="s">
        <v>37</v>
      </c>
      <c r="I1007" s="33" t="s">
        <v>38</v>
      </c>
      <c r="J1007" s="33" t="s">
        <v>652</v>
      </c>
      <c r="K1007" s="33" t="s">
        <v>653</v>
      </c>
      <c r="L1007" s="33">
        <v>771780</v>
      </c>
      <c r="M1007" s="33">
        <v>0</v>
      </c>
      <c r="N1007" s="33">
        <v>0</v>
      </c>
      <c r="O1007" s="33">
        <v>4833780</v>
      </c>
      <c r="P1007" s="33" t="s">
        <v>41</v>
      </c>
      <c r="Q1007" s="33" t="s">
        <v>42</v>
      </c>
      <c r="R1007" s="1"/>
      <c r="S1007" s="1"/>
      <c r="T1007" s="1"/>
      <c r="U1007" s="1"/>
      <c r="V1007" s="1"/>
      <c r="W1007" s="33" t="s">
        <v>43</v>
      </c>
      <c r="X1007" s="1" t="s">
        <v>3042</v>
      </c>
    </row>
    <row r="1008" spans="1:24" s="34" customFormat="1" x14ac:dyDescent="0.2">
      <c r="A1008" s="33" t="s">
        <v>31</v>
      </c>
      <c r="B1008" s="33" t="s">
        <v>4158</v>
      </c>
      <c r="C1008" s="33" t="s">
        <v>4159</v>
      </c>
      <c r="D1008" s="33">
        <f t="shared" si="16"/>
        <v>-1</v>
      </c>
      <c r="E1008" s="33" t="s">
        <v>34</v>
      </c>
      <c r="F1008" s="33" t="s">
        <v>4109</v>
      </c>
      <c r="G1008" s="33" t="s">
        <v>4160</v>
      </c>
      <c r="H1008" s="33" t="s">
        <v>37</v>
      </c>
      <c r="I1008" s="33" t="s">
        <v>38</v>
      </c>
      <c r="J1008" s="33" t="s">
        <v>2506</v>
      </c>
      <c r="K1008" s="33" t="s">
        <v>2507</v>
      </c>
      <c r="L1008" s="33">
        <v>11226.15</v>
      </c>
      <c r="M1008" s="33">
        <v>0</v>
      </c>
      <c r="N1008" s="33">
        <v>0</v>
      </c>
      <c r="O1008" s="33">
        <v>70311.149999999994</v>
      </c>
      <c r="P1008" s="33" t="s">
        <v>41</v>
      </c>
      <c r="Q1008" s="33" t="s">
        <v>42</v>
      </c>
      <c r="R1008" s="1"/>
      <c r="S1008" s="1"/>
      <c r="T1008" s="1"/>
      <c r="U1008" s="1"/>
      <c r="V1008" s="1"/>
      <c r="W1008" s="33" t="s">
        <v>43</v>
      </c>
      <c r="X1008" s="1" t="s">
        <v>665</v>
      </c>
    </row>
    <row r="1009" spans="1:24" s="34" customFormat="1" x14ac:dyDescent="0.2">
      <c r="A1009" s="33" t="s">
        <v>31</v>
      </c>
      <c r="B1009" s="33" t="s">
        <v>4161</v>
      </c>
      <c r="C1009" s="33" t="s">
        <v>4162</v>
      </c>
      <c r="D1009" s="33">
        <f t="shared" si="16"/>
        <v>-1</v>
      </c>
      <c r="E1009" s="33" t="s">
        <v>34</v>
      </c>
      <c r="F1009" s="33" t="s">
        <v>4109</v>
      </c>
      <c r="G1009" s="33" t="s">
        <v>4163</v>
      </c>
      <c r="H1009" s="33" t="s">
        <v>37</v>
      </c>
      <c r="I1009" s="33" t="s">
        <v>38</v>
      </c>
      <c r="J1009" s="33" t="s">
        <v>304</v>
      </c>
      <c r="K1009" s="33" t="s">
        <v>305</v>
      </c>
      <c r="L1009" s="33">
        <v>2213500</v>
      </c>
      <c r="M1009" s="33">
        <v>0</v>
      </c>
      <c r="N1009" s="33">
        <v>0</v>
      </c>
      <c r="O1009" s="33">
        <v>13863500</v>
      </c>
      <c r="P1009" s="33" t="s">
        <v>41</v>
      </c>
      <c r="Q1009" s="33" t="s">
        <v>42</v>
      </c>
      <c r="R1009" s="1"/>
      <c r="S1009" s="1"/>
      <c r="T1009" s="1"/>
      <c r="U1009" s="1"/>
      <c r="V1009" s="1"/>
      <c r="W1009" s="33" t="s">
        <v>43</v>
      </c>
      <c r="X1009" s="1" t="s">
        <v>990</v>
      </c>
    </row>
    <row r="1010" spans="1:24" s="34" customFormat="1" x14ac:dyDescent="0.2">
      <c r="A1010" s="29" t="s">
        <v>31</v>
      </c>
      <c r="B1010" s="29" t="s">
        <v>4164</v>
      </c>
      <c r="C1010" s="29" t="s">
        <v>4165</v>
      </c>
      <c r="D1010" s="29">
        <f t="shared" si="16"/>
        <v>-1</v>
      </c>
      <c r="E1010" s="29" t="s">
        <v>34</v>
      </c>
      <c r="F1010" s="29" t="s">
        <v>4109</v>
      </c>
      <c r="G1010" s="29" t="s">
        <v>4166</v>
      </c>
      <c r="H1010" s="29" t="s">
        <v>37</v>
      </c>
      <c r="I1010" s="29" t="s">
        <v>38</v>
      </c>
      <c r="J1010" s="29" t="s">
        <v>4167</v>
      </c>
      <c r="K1010" s="29" t="s">
        <v>4168</v>
      </c>
      <c r="L1010" s="29">
        <v>284430</v>
      </c>
      <c r="M1010" s="29">
        <v>0</v>
      </c>
      <c r="N1010" s="29">
        <v>0</v>
      </c>
      <c r="O1010" s="29">
        <v>1781430</v>
      </c>
      <c r="P1010" s="29" t="s">
        <v>41</v>
      </c>
      <c r="Q1010" s="29" t="s">
        <v>42</v>
      </c>
      <c r="R1010" s="1"/>
      <c r="S1010" s="1"/>
      <c r="T1010" s="1" t="s">
        <v>161</v>
      </c>
      <c r="U1010" s="1"/>
      <c r="V1010" s="1"/>
      <c r="W1010" s="1"/>
      <c r="X1010" s="1"/>
    </row>
    <row r="1011" spans="1:24" s="34" customFormat="1" x14ac:dyDescent="0.2">
      <c r="A1011" s="28" t="s">
        <v>31</v>
      </c>
      <c r="B1011" s="28" t="s">
        <v>4169</v>
      </c>
      <c r="C1011" s="28" t="s">
        <v>4170</v>
      </c>
      <c r="D1011" s="28">
        <f t="shared" si="16"/>
        <v>-1</v>
      </c>
      <c r="E1011" s="28" t="s">
        <v>34</v>
      </c>
      <c r="F1011" s="28" t="s">
        <v>4109</v>
      </c>
      <c r="G1011" s="28" t="s">
        <v>4171</v>
      </c>
      <c r="H1011" s="28" t="s">
        <v>37</v>
      </c>
      <c r="I1011" s="28" t="s">
        <v>38</v>
      </c>
      <c r="J1011" s="28" t="s">
        <v>1170</v>
      </c>
      <c r="K1011" s="28" t="s">
        <v>1171</v>
      </c>
      <c r="L1011" s="28">
        <v>272726</v>
      </c>
      <c r="M1011" s="28">
        <v>0</v>
      </c>
      <c r="N1011" s="28">
        <v>0</v>
      </c>
      <c r="O1011" s="28">
        <v>1723726</v>
      </c>
      <c r="P1011" s="28" t="s">
        <v>41</v>
      </c>
      <c r="Q1011" s="28" t="s">
        <v>42</v>
      </c>
      <c r="R1011" s="1" t="s">
        <v>161</v>
      </c>
      <c r="S1011" s="1"/>
      <c r="T1011" s="1"/>
      <c r="U1011" s="1"/>
      <c r="V1011" s="1"/>
      <c r="W1011" s="1"/>
      <c r="X1011" s="1"/>
    </row>
    <row r="1012" spans="1:24" s="34" customFormat="1" x14ac:dyDescent="0.2">
      <c r="A1012" s="33" t="s">
        <v>31</v>
      </c>
      <c r="B1012" s="33" t="s">
        <v>4172</v>
      </c>
      <c r="C1012" s="33" t="s">
        <v>4173</v>
      </c>
      <c r="D1012" s="33">
        <f t="shared" si="16"/>
        <v>-1</v>
      </c>
      <c r="E1012" s="33" t="s">
        <v>34</v>
      </c>
      <c r="F1012" s="33" t="s">
        <v>4109</v>
      </c>
      <c r="G1012" s="33" t="s">
        <v>4174</v>
      </c>
      <c r="H1012" s="33" t="s">
        <v>37</v>
      </c>
      <c r="I1012" s="33" t="s">
        <v>38</v>
      </c>
      <c r="J1012" s="33" t="s">
        <v>4175</v>
      </c>
      <c r="K1012" s="33" t="s">
        <v>4176</v>
      </c>
      <c r="L1012" s="33">
        <v>0</v>
      </c>
      <c r="M1012" s="33">
        <v>0</v>
      </c>
      <c r="N1012" s="33">
        <v>0</v>
      </c>
      <c r="O1012" s="33">
        <v>13932000</v>
      </c>
      <c r="P1012" s="33" t="s">
        <v>41</v>
      </c>
      <c r="Q1012" s="33" t="s">
        <v>42</v>
      </c>
      <c r="R1012" s="1"/>
      <c r="S1012" s="1"/>
      <c r="T1012" s="1"/>
      <c r="U1012" s="1"/>
      <c r="V1012" s="1"/>
      <c r="W1012" s="33" t="s">
        <v>43</v>
      </c>
      <c r="X1012" s="1" t="s">
        <v>3126</v>
      </c>
    </row>
    <row r="1013" spans="1:24" s="34" customFormat="1" x14ac:dyDescent="0.2">
      <c r="A1013" s="1" t="s">
        <v>31</v>
      </c>
      <c r="B1013" s="1" t="s">
        <v>4177</v>
      </c>
      <c r="C1013" s="33" t="s">
        <v>4178</v>
      </c>
      <c r="D1013" s="1">
        <f t="shared" si="16"/>
        <v>-1</v>
      </c>
      <c r="E1013" s="1" t="s">
        <v>34</v>
      </c>
      <c r="F1013" s="1" t="s">
        <v>4109</v>
      </c>
      <c r="G1013" s="1" t="s">
        <v>4179</v>
      </c>
      <c r="H1013" s="1" t="s">
        <v>37</v>
      </c>
      <c r="I1013" s="1" t="s">
        <v>38</v>
      </c>
      <c r="J1013" s="1" t="s">
        <v>4180</v>
      </c>
      <c r="K1013" s="1" t="s">
        <v>4181</v>
      </c>
      <c r="L1013" s="1">
        <v>0</v>
      </c>
      <c r="M1013" s="1">
        <v>0</v>
      </c>
      <c r="N1013" s="1">
        <v>0</v>
      </c>
      <c r="O1013" s="1">
        <v>3350000</v>
      </c>
      <c r="P1013" s="1" t="s">
        <v>41</v>
      </c>
      <c r="Q1013" s="1" t="s">
        <v>42</v>
      </c>
      <c r="R1013" s="1"/>
      <c r="S1013" s="1"/>
      <c r="T1013" s="1"/>
      <c r="U1013" s="1"/>
      <c r="V1013" s="1" t="s">
        <v>161</v>
      </c>
      <c r="W1013" s="1"/>
      <c r="X1013" s="1"/>
    </row>
    <row r="1014" spans="1:24" s="34" customFormat="1" x14ac:dyDescent="0.2">
      <c r="A1014" s="33" t="s">
        <v>31</v>
      </c>
      <c r="B1014" s="33" t="s">
        <v>4182</v>
      </c>
      <c r="C1014" s="33" t="s">
        <v>4183</v>
      </c>
      <c r="D1014" s="33">
        <f t="shared" si="16"/>
        <v>-1</v>
      </c>
      <c r="E1014" s="33" t="s">
        <v>34</v>
      </c>
      <c r="F1014" s="33" t="s">
        <v>4184</v>
      </c>
      <c r="G1014" s="33" t="s">
        <v>4185</v>
      </c>
      <c r="H1014" s="33" t="s">
        <v>37</v>
      </c>
      <c r="I1014" s="33" t="s">
        <v>38</v>
      </c>
      <c r="J1014" s="33" t="s">
        <v>658</v>
      </c>
      <c r="K1014" s="33" t="s">
        <v>659</v>
      </c>
      <c r="L1014" s="33">
        <v>297121.87</v>
      </c>
      <c r="M1014" s="33">
        <v>0</v>
      </c>
      <c r="N1014" s="33">
        <v>0</v>
      </c>
      <c r="O1014" s="33">
        <v>2720034.87</v>
      </c>
      <c r="P1014" s="33" t="s">
        <v>41</v>
      </c>
      <c r="Q1014" s="33" t="s">
        <v>42</v>
      </c>
      <c r="R1014" s="1"/>
      <c r="S1014" s="1"/>
      <c r="T1014" s="1"/>
      <c r="U1014" s="1"/>
      <c r="V1014" s="1"/>
      <c r="W1014" s="33" t="s">
        <v>161</v>
      </c>
      <c r="X1014" s="1" t="s">
        <v>226</v>
      </c>
    </row>
    <row r="1015" spans="1:24" s="34" customFormat="1" x14ac:dyDescent="0.2">
      <c r="A1015" s="33" t="s">
        <v>31</v>
      </c>
      <c r="B1015" s="33" t="s">
        <v>4186</v>
      </c>
      <c r="C1015" s="33" t="s">
        <v>4187</v>
      </c>
      <c r="D1015" s="33">
        <f t="shared" si="16"/>
        <v>-1</v>
      </c>
      <c r="E1015" s="33" t="s">
        <v>34</v>
      </c>
      <c r="F1015" s="33" t="s">
        <v>4184</v>
      </c>
      <c r="G1015" s="33" t="s">
        <v>4188</v>
      </c>
      <c r="H1015" s="33" t="s">
        <v>37</v>
      </c>
      <c r="I1015" s="33" t="s">
        <v>38</v>
      </c>
      <c r="J1015" s="33" t="s">
        <v>4189</v>
      </c>
      <c r="K1015" s="33" t="s">
        <v>4190</v>
      </c>
      <c r="L1015" s="33">
        <v>38723.5</v>
      </c>
      <c r="M1015" s="33">
        <v>0</v>
      </c>
      <c r="N1015" s="33">
        <v>0</v>
      </c>
      <c r="O1015" s="33">
        <v>323053.5</v>
      </c>
      <c r="P1015" s="33" t="s">
        <v>41</v>
      </c>
      <c r="Q1015" s="33" t="s">
        <v>42</v>
      </c>
      <c r="R1015" s="1"/>
      <c r="S1015" s="1"/>
      <c r="T1015" s="1"/>
      <c r="U1015" s="1"/>
      <c r="V1015" s="1"/>
      <c r="W1015" s="33" t="s">
        <v>43</v>
      </c>
      <c r="X1015" s="1" t="s">
        <v>277</v>
      </c>
    </row>
    <row r="1016" spans="1:24" s="34" customFormat="1" x14ac:dyDescent="0.2">
      <c r="A1016" s="33" t="s">
        <v>31</v>
      </c>
      <c r="B1016" s="33" t="s">
        <v>4191</v>
      </c>
      <c r="C1016" s="33" t="s">
        <v>4192</v>
      </c>
      <c r="D1016" s="33">
        <f t="shared" si="16"/>
        <v>-1</v>
      </c>
      <c r="E1016" s="33" t="s">
        <v>34</v>
      </c>
      <c r="F1016" s="33" t="s">
        <v>4184</v>
      </c>
      <c r="G1016" s="33" t="s">
        <v>4193</v>
      </c>
      <c r="H1016" s="33" t="s">
        <v>37</v>
      </c>
      <c r="I1016" s="33" t="s">
        <v>38</v>
      </c>
      <c r="J1016" s="33" t="s">
        <v>3239</v>
      </c>
      <c r="K1016" s="33" t="s">
        <v>3240</v>
      </c>
      <c r="L1016" s="33">
        <v>38760</v>
      </c>
      <c r="M1016" s="33">
        <v>0</v>
      </c>
      <c r="N1016" s="33">
        <v>0</v>
      </c>
      <c r="O1016" s="33">
        <v>242760</v>
      </c>
      <c r="P1016" s="33" t="s">
        <v>41</v>
      </c>
      <c r="Q1016" s="33" t="s">
        <v>42</v>
      </c>
      <c r="R1016" s="1"/>
      <c r="S1016" s="1"/>
      <c r="T1016" s="1"/>
      <c r="U1016" s="1"/>
      <c r="V1016" s="1"/>
      <c r="W1016" s="33" t="s">
        <v>161</v>
      </c>
      <c r="X1016" s="1" t="s">
        <v>4194</v>
      </c>
    </row>
    <row r="1017" spans="1:24" s="34" customFormat="1" x14ac:dyDescent="0.2">
      <c r="A1017" s="33" t="s">
        <v>31</v>
      </c>
      <c r="B1017" s="33" t="s">
        <v>4195</v>
      </c>
      <c r="C1017" s="33" t="s">
        <v>4196</v>
      </c>
      <c r="D1017" s="33">
        <f t="shared" si="16"/>
        <v>-1</v>
      </c>
      <c r="E1017" s="33" t="s">
        <v>34</v>
      </c>
      <c r="F1017" s="33" t="s">
        <v>4184</v>
      </c>
      <c r="G1017" s="33" t="s">
        <v>4197</v>
      </c>
      <c r="H1017" s="33" t="s">
        <v>37</v>
      </c>
      <c r="I1017" s="33" t="s">
        <v>38</v>
      </c>
      <c r="J1017" s="33" t="s">
        <v>4198</v>
      </c>
      <c r="K1017" s="33" t="s">
        <v>4199</v>
      </c>
      <c r="L1017" s="33">
        <v>63431.5</v>
      </c>
      <c r="M1017" s="33">
        <v>0</v>
      </c>
      <c r="N1017" s="33">
        <v>0</v>
      </c>
      <c r="O1017" s="33">
        <v>416581.5</v>
      </c>
      <c r="P1017" s="33" t="s">
        <v>41</v>
      </c>
      <c r="Q1017" s="33" t="s">
        <v>42</v>
      </c>
      <c r="R1017" s="1"/>
      <c r="S1017" s="1"/>
      <c r="T1017" s="1"/>
      <c r="U1017" s="1"/>
      <c r="V1017" s="1"/>
      <c r="W1017" s="33" t="s">
        <v>43</v>
      </c>
      <c r="X1017" s="1" t="s">
        <v>784</v>
      </c>
    </row>
    <row r="1018" spans="1:24" s="34" customFormat="1" x14ac:dyDescent="0.2">
      <c r="A1018" s="1" t="s">
        <v>31</v>
      </c>
      <c r="B1018" s="1" t="s">
        <v>4200</v>
      </c>
      <c r="C1018" s="33" t="s">
        <v>4201</v>
      </c>
      <c r="D1018" s="1">
        <f t="shared" si="16"/>
        <v>-1</v>
      </c>
      <c r="E1018" s="1" t="s">
        <v>34</v>
      </c>
      <c r="F1018" s="1" t="s">
        <v>4184</v>
      </c>
      <c r="G1018" s="1" t="s">
        <v>4202</v>
      </c>
      <c r="H1018" s="1" t="s">
        <v>37</v>
      </c>
      <c r="I1018" s="1" t="s">
        <v>38</v>
      </c>
      <c r="J1018" s="1" t="s">
        <v>1180</v>
      </c>
      <c r="K1018" s="1" t="s">
        <v>1181</v>
      </c>
      <c r="L1018" s="1">
        <v>45980</v>
      </c>
      <c r="M1018" s="1">
        <v>0</v>
      </c>
      <c r="N1018" s="1">
        <v>0</v>
      </c>
      <c r="O1018" s="1">
        <v>287980</v>
      </c>
      <c r="P1018" s="1" t="s">
        <v>41</v>
      </c>
      <c r="Q1018" s="1" t="s">
        <v>42</v>
      </c>
      <c r="R1018" s="1"/>
      <c r="S1018" s="1"/>
      <c r="T1018" s="1"/>
      <c r="U1018" s="1"/>
      <c r="V1018" s="1" t="s">
        <v>161</v>
      </c>
      <c r="W1018" s="1"/>
      <c r="X1018" s="1"/>
    </row>
    <row r="1019" spans="1:24" s="34" customFormat="1" x14ac:dyDescent="0.2">
      <c r="A1019" s="28" t="s">
        <v>31</v>
      </c>
      <c r="B1019" s="28" t="s">
        <v>4203</v>
      </c>
      <c r="C1019" s="28" t="s">
        <v>4204</v>
      </c>
      <c r="D1019" s="28">
        <f t="shared" si="16"/>
        <v>-1</v>
      </c>
      <c r="E1019" s="28" t="s">
        <v>34</v>
      </c>
      <c r="F1019" s="28" t="s">
        <v>4184</v>
      </c>
      <c r="G1019" s="28" t="s">
        <v>4205</v>
      </c>
      <c r="H1019" s="28" t="s">
        <v>37</v>
      </c>
      <c r="I1019" s="28" t="s">
        <v>38</v>
      </c>
      <c r="J1019" s="28" t="s">
        <v>550</v>
      </c>
      <c r="K1019" s="28" t="s">
        <v>551</v>
      </c>
      <c r="L1019" s="28">
        <v>158650</v>
      </c>
      <c r="M1019" s="28">
        <v>0</v>
      </c>
      <c r="N1019" s="28">
        <v>0</v>
      </c>
      <c r="O1019" s="28">
        <v>993650</v>
      </c>
      <c r="P1019" s="28" t="s">
        <v>41</v>
      </c>
      <c r="Q1019" s="28" t="s">
        <v>42</v>
      </c>
      <c r="R1019" s="1" t="s">
        <v>161</v>
      </c>
      <c r="S1019" s="1"/>
      <c r="T1019" s="1"/>
      <c r="U1019" s="1"/>
      <c r="V1019" s="1"/>
      <c r="W1019" s="1"/>
      <c r="X1019" s="1"/>
    </row>
    <row r="1020" spans="1:24" s="34" customFormat="1" x14ac:dyDescent="0.2">
      <c r="A1020" s="30" t="s">
        <v>31</v>
      </c>
      <c r="B1020" s="30" t="s">
        <v>4206</v>
      </c>
      <c r="C1020" s="30" t="s">
        <v>4207</v>
      </c>
      <c r="D1020" s="30">
        <f t="shared" si="16"/>
        <v>-1</v>
      </c>
      <c r="E1020" s="30" t="s">
        <v>34</v>
      </c>
      <c r="F1020" s="30" t="s">
        <v>4184</v>
      </c>
      <c r="G1020" s="30" t="s">
        <v>4208</v>
      </c>
      <c r="H1020" s="30" t="s">
        <v>37</v>
      </c>
      <c r="I1020" s="30" t="s">
        <v>38</v>
      </c>
      <c r="J1020" s="30" t="s">
        <v>2430</v>
      </c>
      <c r="K1020" s="30" t="s">
        <v>2431</v>
      </c>
      <c r="L1020" s="30">
        <v>3154883.5</v>
      </c>
      <c r="M1020" s="30">
        <v>0</v>
      </c>
      <c r="N1020" s="30">
        <v>0</v>
      </c>
      <c r="O1020" s="30">
        <v>19759533.5</v>
      </c>
      <c r="P1020" s="30" t="s">
        <v>41</v>
      </c>
      <c r="Q1020" s="30" t="s">
        <v>42</v>
      </c>
      <c r="R1020" s="1"/>
      <c r="S1020" s="1" t="s">
        <v>161</v>
      </c>
      <c r="T1020" s="1"/>
      <c r="U1020" s="1"/>
      <c r="V1020" s="1"/>
      <c r="W1020" s="1"/>
      <c r="X1020" s="1"/>
    </row>
    <row r="1021" spans="1:24" s="34" customFormat="1" x14ac:dyDescent="0.2">
      <c r="A1021" s="1" t="s">
        <v>31</v>
      </c>
      <c r="B1021" s="1" t="s">
        <v>4209</v>
      </c>
      <c r="C1021" s="33" t="s">
        <v>4210</v>
      </c>
      <c r="D1021" s="1">
        <f t="shared" si="16"/>
        <v>-1</v>
      </c>
      <c r="E1021" s="1" t="s">
        <v>34</v>
      </c>
      <c r="F1021" s="1" t="s">
        <v>4184</v>
      </c>
      <c r="G1021" s="1" t="s">
        <v>4211</v>
      </c>
      <c r="H1021" s="1" t="s">
        <v>37</v>
      </c>
      <c r="I1021" s="1" t="s">
        <v>38</v>
      </c>
      <c r="J1021" s="1" t="s">
        <v>2242</v>
      </c>
      <c r="K1021" s="1" t="s">
        <v>2243</v>
      </c>
      <c r="L1021" s="1">
        <v>81937.5</v>
      </c>
      <c r="M1021" s="1">
        <v>0</v>
      </c>
      <c r="N1021" s="1">
        <v>0</v>
      </c>
      <c r="O1021" s="1">
        <v>513187.5</v>
      </c>
      <c r="P1021" s="1" t="s">
        <v>41</v>
      </c>
      <c r="Q1021" s="1" t="s">
        <v>42</v>
      </c>
      <c r="R1021" s="1"/>
      <c r="S1021" s="1"/>
      <c r="T1021" s="1"/>
      <c r="U1021" s="1"/>
      <c r="V1021" s="1" t="s">
        <v>161</v>
      </c>
      <c r="W1021" s="1"/>
      <c r="X1021" s="1"/>
    </row>
    <row r="1022" spans="1:24" s="34" customFormat="1" x14ac:dyDescent="0.2">
      <c r="A1022" s="1" t="s">
        <v>31</v>
      </c>
      <c r="B1022" s="1" t="s">
        <v>4212</v>
      </c>
      <c r="C1022" s="33" t="s">
        <v>4213</v>
      </c>
      <c r="D1022" s="1">
        <f t="shared" si="16"/>
        <v>-1</v>
      </c>
      <c r="E1022" s="1" t="s">
        <v>34</v>
      </c>
      <c r="F1022" s="1" t="s">
        <v>4184</v>
      </c>
      <c r="G1022" s="1" t="s">
        <v>4214</v>
      </c>
      <c r="H1022" s="1" t="s">
        <v>37</v>
      </c>
      <c r="I1022" s="1" t="s">
        <v>38</v>
      </c>
      <c r="J1022" s="1" t="s">
        <v>2663</v>
      </c>
      <c r="K1022" s="1" t="s">
        <v>2664</v>
      </c>
      <c r="L1022" s="1">
        <v>0</v>
      </c>
      <c r="M1022" s="1">
        <v>0</v>
      </c>
      <c r="N1022" s="1">
        <v>0</v>
      </c>
      <c r="O1022" s="1">
        <v>1743875</v>
      </c>
      <c r="P1022" s="1" t="s">
        <v>41</v>
      </c>
      <c r="Q1022" s="1" t="s">
        <v>42</v>
      </c>
      <c r="R1022" s="1"/>
      <c r="S1022" s="1"/>
      <c r="T1022" s="1"/>
      <c r="U1022" s="1"/>
      <c r="V1022" s="1" t="s">
        <v>161</v>
      </c>
      <c r="W1022" s="1"/>
      <c r="X1022" s="1"/>
    </row>
    <row r="1023" spans="1:24" s="34" customFormat="1" x14ac:dyDescent="0.2">
      <c r="A1023" s="28" t="s">
        <v>31</v>
      </c>
      <c r="B1023" s="28" t="s">
        <v>4215</v>
      </c>
      <c r="C1023" s="28" t="s">
        <v>4216</v>
      </c>
      <c r="D1023" s="28">
        <f t="shared" si="16"/>
        <v>-1</v>
      </c>
      <c r="E1023" s="28" t="s">
        <v>34</v>
      </c>
      <c r="F1023" s="28" t="s">
        <v>4184</v>
      </c>
      <c r="G1023" s="28" t="s">
        <v>4217</v>
      </c>
      <c r="H1023" s="28" t="s">
        <v>37</v>
      </c>
      <c r="I1023" s="28" t="s">
        <v>38</v>
      </c>
      <c r="J1023" s="28" t="s">
        <v>4065</v>
      </c>
      <c r="K1023" s="28" t="s">
        <v>4066</v>
      </c>
      <c r="L1023" s="28">
        <v>122550</v>
      </c>
      <c r="M1023" s="28">
        <v>0</v>
      </c>
      <c r="N1023" s="28">
        <v>0</v>
      </c>
      <c r="O1023" s="28">
        <v>767550</v>
      </c>
      <c r="P1023" s="28" t="s">
        <v>41</v>
      </c>
      <c r="Q1023" s="28" t="s">
        <v>42</v>
      </c>
      <c r="R1023" s="1" t="s">
        <v>161</v>
      </c>
      <c r="S1023" s="1"/>
      <c r="T1023" s="1"/>
      <c r="U1023" s="1"/>
      <c r="V1023" s="1"/>
      <c r="W1023" s="1"/>
      <c r="X1023" s="1"/>
    </row>
    <row r="1024" spans="1:24" s="34" customFormat="1" x14ac:dyDescent="0.2">
      <c r="A1024" s="33" t="s">
        <v>31</v>
      </c>
      <c r="B1024" s="33" t="s">
        <v>4218</v>
      </c>
      <c r="C1024" s="33" t="s">
        <v>4219</v>
      </c>
      <c r="D1024" s="33">
        <f t="shared" si="16"/>
        <v>-1</v>
      </c>
      <c r="E1024" s="33" t="s">
        <v>34</v>
      </c>
      <c r="F1024" s="33" t="s">
        <v>4184</v>
      </c>
      <c r="G1024" s="33" t="s">
        <v>4220</v>
      </c>
      <c r="H1024" s="33" t="s">
        <v>37</v>
      </c>
      <c r="I1024" s="33" t="s">
        <v>38</v>
      </c>
      <c r="J1024" s="33" t="s">
        <v>3387</v>
      </c>
      <c r="K1024" s="33" t="s">
        <v>3388</v>
      </c>
      <c r="L1024" s="33">
        <v>96900</v>
      </c>
      <c r="M1024" s="33">
        <v>0</v>
      </c>
      <c r="N1024" s="33">
        <v>0</v>
      </c>
      <c r="O1024" s="33">
        <v>606900</v>
      </c>
      <c r="P1024" s="33" t="s">
        <v>41</v>
      </c>
      <c r="Q1024" s="33" t="s">
        <v>42</v>
      </c>
      <c r="R1024" s="1"/>
      <c r="S1024" s="1"/>
      <c r="T1024" s="1"/>
      <c r="U1024" s="1"/>
      <c r="V1024" s="1"/>
      <c r="W1024" s="33" t="s">
        <v>43</v>
      </c>
      <c r="X1024" s="1" t="s">
        <v>3126</v>
      </c>
    </row>
    <row r="1025" spans="1:24" s="34" customFormat="1" x14ac:dyDescent="0.2">
      <c r="A1025" s="28" t="s">
        <v>31</v>
      </c>
      <c r="B1025" s="28" t="s">
        <v>4221</v>
      </c>
      <c r="C1025" s="28" t="s">
        <v>4222</v>
      </c>
      <c r="D1025" s="28">
        <f t="shared" si="16"/>
        <v>-1</v>
      </c>
      <c r="E1025" s="28" t="s">
        <v>34</v>
      </c>
      <c r="F1025" s="28" t="s">
        <v>4184</v>
      </c>
      <c r="G1025" s="28" t="s">
        <v>4223</v>
      </c>
      <c r="H1025" s="28" t="s">
        <v>37</v>
      </c>
      <c r="I1025" s="28" t="s">
        <v>38</v>
      </c>
      <c r="J1025" s="28" t="s">
        <v>1485</v>
      </c>
      <c r="K1025" s="28" t="s">
        <v>1486</v>
      </c>
      <c r="L1025" s="28">
        <v>903474.51</v>
      </c>
      <c r="M1025" s="28">
        <v>0</v>
      </c>
      <c r="N1025" s="28">
        <v>0</v>
      </c>
      <c r="O1025" s="28">
        <v>5658603.5099999998</v>
      </c>
      <c r="P1025" s="28" t="s">
        <v>41</v>
      </c>
      <c r="Q1025" s="28" t="s">
        <v>42</v>
      </c>
      <c r="R1025" s="1" t="s">
        <v>161</v>
      </c>
      <c r="S1025" s="1"/>
      <c r="T1025" s="1"/>
      <c r="U1025" s="1"/>
      <c r="V1025" s="1"/>
      <c r="W1025" s="1"/>
      <c r="X1025" s="1"/>
    </row>
    <row r="1026" spans="1:24" s="34" customFormat="1" x14ac:dyDescent="0.2">
      <c r="A1026" s="1" t="s">
        <v>31</v>
      </c>
      <c r="B1026" s="1" t="s">
        <v>4224</v>
      </c>
      <c r="C1026" s="33" t="s">
        <v>4225</v>
      </c>
      <c r="D1026" s="1">
        <f t="shared" si="16"/>
        <v>-1</v>
      </c>
      <c r="E1026" s="1" t="s">
        <v>34</v>
      </c>
      <c r="F1026" s="1" t="s">
        <v>4184</v>
      </c>
      <c r="G1026" s="1" t="s">
        <v>4226</v>
      </c>
      <c r="H1026" s="1" t="s">
        <v>37</v>
      </c>
      <c r="I1026" s="1" t="s">
        <v>38</v>
      </c>
      <c r="J1026" s="1" t="s">
        <v>4227</v>
      </c>
      <c r="K1026" s="1" t="s">
        <v>4228</v>
      </c>
      <c r="L1026" s="1">
        <v>3367940</v>
      </c>
      <c r="M1026" s="1">
        <v>0</v>
      </c>
      <c r="N1026" s="1">
        <v>0</v>
      </c>
      <c r="O1026" s="1">
        <v>21093940</v>
      </c>
      <c r="P1026" s="1" t="s">
        <v>41</v>
      </c>
      <c r="Q1026" s="1" t="s">
        <v>42</v>
      </c>
      <c r="R1026" s="1"/>
      <c r="S1026" s="1"/>
      <c r="T1026" s="1"/>
      <c r="U1026" s="1"/>
      <c r="V1026" s="1" t="s">
        <v>161</v>
      </c>
      <c r="W1026" s="1"/>
      <c r="X1026" s="1"/>
    </row>
    <row r="1027" spans="1:24" s="34" customFormat="1" x14ac:dyDescent="0.2">
      <c r="A1027" s="1" t="s">
        <v>31</v>
      </c>
      <c r="B1027" s="1" t="s">
        <v>4229</v>
      </c>
      <c r="C1027" s="1" t="s">
        <v>4230</v>
      </c>
      <c r="D1027" s="1">
        <f t="shared" si="16"/>
        <v>-1</v>
      </c>
      <c r="E1027" s="1" t="s">
        <v>34</v>
      </c>
      <c r="F1027" s="1" t="s">
        <v>4184</v>
      </c>
      <c r="G1027" s="1" t="s">
        <v>4231</v>
      </c>
      <c r="H1027" s="1" t="s">
        <v>37</v>
      </c>
      <c r="I1027" s="1" t="s">
        <v>38</v>
      </c>
      <c r="J1027" s="1" t="s">
        <v>4232</v>
      </c>
      <c r="K1027" s="1" t="s">
        <v>4233</v>
      </c>
      <c r="L1027" s="1">
        <v>160153.66</v>
      </c>
      <c r="M1027" s="1">
        <v>0</v>
      </c>
      <c r="N1027" s="1">
        <v>0</v>
      </c>
      <c r="O1027" s="1">
        <v>1003067.66</v>
      </c>
      <c r="P1027" s="1" t="s">
        <v>41</v>
      </c>
      <c r="Q1027" s="1" t="s">
        <v>42</v>
      </c>
      <c r="R1027" s="1"/>
      <c r="S1027" s="1"/>
      <c r="T1027" s="1"/>
      <c r="U1027" s="1"/>
      <c r="V1027" s="1" t="s">
        <v>161</v>
      </c>
      <c r="W1027" s="1"/>
      <c r="X1027" s="1"/>
    </row>
    <row r="1028" spans="1:24" s="34" customFormat="1" x14ac:dyDescent="0.2">
      <c r="A1028" s="33" t="s">
        <v>31</v>
      </c>
      <c r="B1028" s="33" t="s">
        <v>4234</v>
      </c>
      <c r="C1028" s="33" t="s">
        <v>4235</v>
      </c>
      <c r="D1028" s="33">
        <f t="shared" si="16"/>
        <v>-1</v>
      </c>
      <c r="E1028" s="33" t="s">
        <v>34</v>
      </c>
      <c r="F1028" s="33" t="s">
        <v>4184</v>
      </c>
      <c r="G1028" s="33" t="s">
        <v>4236</v>
      </c>
      <c r="H1028" s="33" t="s">
        <v>37</v>
      </c>
      <c r="I1028" s="33" t="s">
        <v>38</v>
      </c>
      <c r="J1028" s="33" t="s">
        <v>4237</v>
      </c>
      <c r="K1028" s="33" t="s">
        <v>4238</v>
      </c>
      <c r="L1028" s="33">
        <v>0</v>
      </c>
      <c r="M1028" s="33">
        <v>0</v>
      </c>
      <c r="N1028" s="33">
        <v>0</v>
      </c>
      <c r="O1028" s="33">
        <v>2350000</v>
      </c>
      <c r="P1028" s="33" t="s">
        <v>41</v>
      </c>
      <c r="Q1028" s="33" t="s">
        <v>42</v>
      </c>
      <c r="R1028" s="1"/>
      <c r="S1028" s="1"/>
      <c r="T1028" s="1"/>
      <c r="U1028" s="1"/>
      <c r="V1028" s="1"/>
      <c r="W1028" s="33" t="s">
        <v>161</v>
      </c>
      <c r="X1028" s="1" t="s">
        <v>4194</v>
      </c>
    </row>
    <row r="1029" spans="1:24" s="34" customFormat="1" x14ac:dyDescent="0.2">
      <c r="A1029" s="1" t="s">
        <v>31</v>
      </c>
      <c r="B1029" s="1" t="s">
        <v>4239</v>
      </c>
      <c r="C1029" s="1" t="s">
        <v>4240</v>
      </c>
      <c r="D1029" s="1">
        <f t="shared" si="16"/>
        <v>-1</v>
      </c>
      <c r="E1029" s="1" t="s">
        <v>34</v>
      </c>
      <c r="F1029" s="1" t="s">
        <v>4184</v>
      </c>
      <c r="G1029" s="1" t="s">
        <v>4241</v>
      </c>
      <c r="H1029" s="1" t="s">
        <v>37</v>
      </c>
      <c r="I1029" s="1" t="s">
        <v>38</v>
      </c>
      <c r="J1029" s="1" t="s">
        <v>4242</v>
      </c>
      <c r="K1029" s="1" t="s">
        <v>4243</v>
      </c>
      <c r="L1029" s="1">
        <v>1940850</v>
      </c>
      <c r="M1029" s="1">
        <v>0</v>
      </c>
      <c r="N1029" s="1">
        <v>0</v>
      </c>
      <c r="O1029" s="1">
        <v>12155850</v>
      </c>
      <c r="P1029" s="1" t="s">
        <v>41</v>
      </c>
      <c r="Q1029" s="1" t="s">
        <v>42</v>
      </c>
      <c r="R1029" s="1"/>
      <c r="S1029" s="1"/>
      <c r="T1029" s="1"/>
      <c r="U1029" s="1"/>
      <c r="V1029" s="1" t="s">
        <v>161</v>
      </c>
      <c r="W1029" s="1"/>
      <c r="X1029" s="1"/>
    </row>
    <row r="1030" spans="1:24" s="34" customFormat="1" x14ac:dyDescent="0.2">
      <c r="A1030" s="1" t="s">
        <v>31</v>
      </c>
      <c r="B1030" s="1" t="s">
        <v>4244</v>
      </c>
      <c r="C1030" s="33" t="s">
        <v>4245</v>
      </c>
      <c r="D1030" s="1">
        <f t="shared" si="16"/>
        <v>-1</v>
      </c>
      <c r="E1030" s="1" t="s">
        <v>34</v>
      </c>
      <c r="F1030" s="1" t="s">
        <v>4184</v>
      </c>
      <c r="G1030" s="1" t="s">
        <v>4246</v>
      </c>
      <c r="H1030" s="1" t="s">
        <v>37</v>
      </c>
      <c r="I1030" s="1" t="s">
        <v>38</v>
      </c>
      <c r="J1030" s="1" t="s">
        <v>4150</v>
      </c>
      <c r="K1030" s="1" t="s">
        <v>4151</v>
      </c>
      <c r="L1030" s="1">
        <v>19152</v>
      </c>
      <c r="M1030" s="1">
        <v>0</v>
      </c>
      <c r="N1030" s="1">
        <v>0</v>
      </c>
      <c r="O1030" s="1">
        <v>119952</v>
      </c>
      <c r="P1030" s="1" t="s">
        <v>41</v>
      </c>
      <c r="Q1030" s="1" t="s">
        <v>42</v>
      </c>
      <c r="R1030" s="1"/>
      <c r="S1030" s="1"/>
      <c r="T1030" s="1"/>
      <c r="U1030" s="1"/>
      <c r="V1030" s="1" t="s">
        <v>161</v>
      </c>
      <c r="W1030" s="1"/>
      <c r="X1030" s="1"/>
    </row>
    <row r="1031" spans="1:24" s="34" customFormat="1" x14ac:dyDescent="0.2">
      <c r="A1031" s="1" t="s">
        <v>31</v>
      </c>
      <c r="B1031" s="1" t="s">
        <v>4247</v>
      </c>
      <c r="C1031" s="33" t="s">
        <v>4248</v>
      </c>
      <c r="D1031" s="1">
        <f t="shared" si="16"/>
        <v>-1</v>
      </c>
      <c r="E1031" s="1" t="s">
        <v>34</v>
      </c>
      <c r="F1031" s="1" t="s">
        <v>4249</v>
      </c>
      <c r="G1031" s="1" t="s">
        <v>4250</v>
      </c>
      <c r="H1031" s="1" t="s">
        <v>37</v>
      </c>
      <c r="I1031" s="1" t="s">
        <v>38</v>
      </c>
      <c r="J1031" s="1" t="s">
        <v>4251</v>
      </c>
      <c r="K1031" s="1" t="s">
        <v>4252</v>
      </c>
      <c r="L1031" s="1">
        <v>237500</v>
      </c>
      <c r="M1031" s="1">
        <v>0</v>
      </c>
      <c r="N1031" s="1">
        <v>0</v>
      </c>
      <c r="O1031" s="1">
        <v>1487500</v>
      </c>
      <c r="P1031" s="1" t="s">
        <v>41</v>
      </c>
      <c r="Q1031" s="1" t="s">
        <v>42</v>
      </c>
      <c r="R1031" s="1"/>
      <c r="S1031" s="1"/>
      <c r="T1031" s="1"/>
      <c r="U1031" s="1"/>
      <c r="V1031" s="1" t="s">
        <v>161</v>
      </c>
      <c r="W1031" s="1"/>
      <c r="X1031" s="1"/>
    </row>
    <row r="1032" spans="1:24" s="34" customFormat="1" x14ac:dyDescent="0.2">
      <c r="A1032" s="33" t="s">
        <v>31</v>
      </c>
      <c r="B1032" s="33" t="s">
        <v>4253</v>
      </c>
      <c r="C1032" s="33" t="s">
        <v>4254</v>
      </c>
      <c r="D1032" s="33">
        <f t="shared" si="16"/>
        <v>-1</v>
      </c>
      <c r="E1032" s="33" t="s">
        <v>34</v>
      </c>
      <c r="F1032" s="33" t="s">
        <v>4249</v>
      </c>
      <c r="G1032" s="33" t="s">
        <v>4255</v>
      </c>
      <c r="H1032" s="33" t="s">
        <v>37</v>
      </c>
      <c r="I1032" s="33" t="s">
        <v>38</v>
      </c>
      <c r="J1032" s="33" t="s">
        <v>4256</v>
      </c>
      <c r="K1032" s="33" t="s">
        <v>4257</v>
      </c>
      <c r="L1032" s="33">
        <v>678148</v>
      </c>
      <c r="M1032" s="33">
        <v>0</v>
      </c>
      <c r="N1032" s="33">
        <v>0</v>
      </c>
      <c r="O1032" s="33">
        <v>4247348</v>
      </c>
      <c r="P1032" s="33" t="s">
        <v>41</v>
      </c>
      <c r="Q1032" s="33" t="s">
        <v>42</v>
      </c>
      <c r="R1032" s="1"/>
      <c r="S1032" s="1"/>
      <c r="T1032" s="1"/>
      <c r="U1032" s="1"/>
      <c r="V1032" s="1"/>
      <c r="W1032" s="33" t="s">
        <v>43</v>
      </c>
      <c r="X1032" s="1" t="s">
        <v>589</v>
      </c>
    </row>
    <row r="1033" spans="1:24" s="34" customFormat="1" x14ac:dyDescent="0.2">
      <c r="A1033" s="1" t="s">
        <v>31</v>
      </c>
      <c r="B1033" s="1" t="s">
        <v>4258</v>
      </c>
      <c r="C1033" s="33" t="s">
        <v>4259</v>
      </c>
      <c r="D1033" s="1">
        <f t="shared" si="16"/>
        <v>-1</v>
      </c>
      <c r="E1033" s="1" t="s">
        <v>34</v>
      </c>
      <c r="F1033" s="1" t="s">
        <v>4249</v>
      </c>
      <c r="G1033" s="1" t="s">
        <v>4260</v>
      </c>
      <c r="H1033" s="1" t="s">
        <v>37</v>
      </c>
      <c r="I1033" s="1" t="s">
        <v>38</v>
      </c>
      <c r="J1033" s="1" t="s">
        <v>1924</v>
      </c>
      <c r="K1033" s="1" t="s">
        <v>1925</v>
      </c>
      <c r="L1033" s="1">
        <v>52440</v>
      </c>
      <c r="M1033" s="1">
        <v>0</v>
      </c>
      <c r="N1033" s="1">
        <v>0</v>
      </c>
      <c r="O1033" s="1">
        <v>328440</v>
      </c>
      <c r="P1033" s="1" t="s">
        <v>41</v>
      </c>
      <c r="Q1033" s="1" t="s">
        <v>42</v>
      </c>
      <c r="R1033" s="1"/>
      <c r="S1033" s="1"/>
      <c r="T1033" s="1"/>
      <c r="U1033" s="1"/>
      <c r="V1033" s="1" t="s">
        <v>161</v>
      </c>
      <c r="W1033" s="1"/>
      <c r="X1033" s="1"/>
    </row>
    <row r="1034" spans="1:24" s="34" customFormat="1" x14ac:dyDescent="0.2">
      <c r="A1034" s="1" t="s">
        <v>31</v>
      </c>
      <c r="B1034" s="1" t="s">
        <v>4261</v>
      </c>
      <c r="C1034" s="1" t="s">
        <v>4262</v>
      </c>
      <c r="D1034" s="1">
        <f t="shared" si="16"/>
        <v>-1</v>
      </c>
      <c r="E1034" s="1" t="s">
        <v>34</v>
      </c>
      <c r="F1034" s="1" t="s">
        <v>4249</v>
      </c>
      <c r="G1034" s="1" t="s">
        <v>4263</v>
      </c>
      <c r="H1034" s="1" t="s">
        <v>37</v>
      </c>
      <c r="I1034" s="1" t="s">
        <v>38</v>
      </c>
      <c r="J1034" s="1" t="s">
        <v>4264</v>
      </c>
      <c r="K1034" s="1" t="s">
        <v>4265</v>
      </c>
      <c r="L1034" s="1">
        <v>39816.400000000001</v>
      </c>
      <c r="M1034" s="1">
        <v>0</v>
      </c>
      <c r="N1034" s="1">
        <v>0</v>
      </c>
      <c r="O1034" s="1">
        <v>249376.4</v>
      </c>
      <c r="P1034" s="1" t="s">
        <v>41</v>
      </c>
      <c r="Q1034" s="1" t="s">
        <v>42</v>
      </c>
      <c r="R1034" s="1"/>
      <c r="S1034" s="1"/>
      <c r="T1034" s="1"/>
      <c r="U1034" s="1"/>
      <c r="V1034" s="1" t="s">
        <v>161</v>
      </c>
      <c r="W1034" s="1"/>
      <c r="X1034" s="1"/>
    </row>
    <row r="1035" spans="1:24" s="34" customFormat="1" x14ac:dyDescent="0.2">
      <c r="A1035" s="33" t="s">
        <v>31</v>
      </c>
      <c r="B1035" s="33" t="s">
        <v>4266</v>
      </c>
      <c r="C1035" s="33" t="s">
        <v>4267</v>
      </c>
      <c r="D1035" s="33">
        <f t="shared" si="16"/>
        <v>-1</v>
      </c>
      <c r="E1035" s="33" t="s">
        <v>34</v>
      </c>
      <c r="F1035" s="33" t="s">
        <v>4249</v>
      </c>
      <c r="G1035" s="33" t="s">
        <v>4268</v>
      </c>
      <c r="H1035" s="33" t="s">
        <v>37</v>
      </c>
      <c r="I1035" s="33" t="s">
        <v>38</v>
      </c>
      <c r="J1035" s="33" t="s">
        <v>4269</v>
      </c>
      <c r="K1035" s="33" t="s">
        <v>4270</v>
      </c>
      <c r="L1035" s="33">
        <v>39900</v>
      </c>
      <c r="M1035" s="33">
        <v>0</v>
      </c>
      <c r="N1035" s="33">
        <v>0</v>
      </c>
      <c r="O1035" s="33">
        <v>249900</v>
      </c>
      <c r="P1035" s="33" t="s">
        <v>41</v>
      </c>
      <c r="Q1035" s="33" t="s">
        <v>42</v>
      </c>
      <c r="R1035" s="1"/>
      <c r="S1035" s="1"/>
      <c r="T1035" s="1"/>
      <c r="U1035" s="1"/>
      <c r="V1035" s="1"/>
      <c r="W1035" s="33" t="s">
        <v>43</v>
      </c>
      <c r="X1035" s="1" t="s">
        <v>589</v>
      </c>
    </row>
    <row r="1036" spans="1:24" s="34" customFormat="1" x14ac:dyDescent="0.2">
      <c r="A1036" s="33" t="s">
        <v>31</v>
      </c>
      <c r="B1036" s="33" t="s">
        <v>4271</v>
      </c>
      <c r="C1036" s="33" t="s">
        <v>4272</v>
      </c>
      <c r="D1036" s="33">
        <f t="shared" si="16"/>
        <v>-1</v>
      </c>
      <c r="E1036" s="33" t="s">
        <v>34</v>
      </c>
      <c r="F1036" s="33" t="s">
        <v>4273</v>
      </c>
      <c r="G1036" s="33" t="s">
        <v>4274</v>
      </c>
      <c r="H1036" s="33" t="s">
        <v>37</v>
      </c>
      <c r="I1036" s="33" t="s">
        <v>38</v>
      </c>
      <c r="J1036" s="33" t="s">
        <v>4275</v>
      </c>
      <c r="K1036" s="33" t="s">
        <v>4276</v>
      </c>
      <c r="L1036" s="33">
        <v>237377.78</v>
      </c>
      <c r="M1036" s="33">
        <v>0</v>
      </c>
      <c r="N1036" s="33">
        <v>0</v>
      </c>
      <c r="O1036" s="33">
        <v>1788629.78</v>
      </c>
      <c r="P1036" s="33" t="s">
        <v>41</v>
      </c>
      <c r="Q1036" s="33" t="s">
        <v>42</v>
      </c>
      <c r="R1036" s="1"/>
      <c r="S1036" s="1"/>
      <c r="T1036" s="1"/>
      <c r="U1036" s="1"/>
      <c r="V1036" s="1"/>
      <c r="W1036" s="33" t="s">
        <v>43</v>
      </c>
      <c r="X1036" s="1" t="s">
        <v>2586</v>
      </c>
    </row>
    <row r="1037" spans="1:24" s="34" customFormat="1" x14ac:dyDescent="0.2">
      <c r="A1037" s="33" t="s">
        <v>31</v>
      </c>
      <c r="B1037" s="33" t="s">
        <v>4277</v>
      </c>
      <c r="C1037" s="33" t="s">
        <v>4278</v>
      </c>
      <c r="D1037" s="33">
        <f t="shared" si="16"/>
        <v>-1</v>
      </c>
      <c r="E1037" s="33" t="s">
        <v>34</v>
      </c>
      <c r="F1037" s="33" t="s">
        <v>4273</v>
      </c>
      <c r="G1037" s="33" t="s">
        <v>4279</v>
      </c>
      <c r="H1037" s="33" t="s">
        <v>37</v>
      </c>
      <c r="I1037" s="33" t="s">
        <v>38</v>
      </c>
      <c r="J1037" s="33" t="s">
        <v>4275</v>
      </c>
      <c r="K1037" s="33" t="s">
        <v>4276</v>
      </c>
      <c r="L1037" s="33">
        <v>25080</v>
      </c>
      <c r="M1037" s="33">
        <v>0</v>
      </c>
      <c r="N1037" s="33">
        <v>0</v>
      </c>
      <c r="O1037" s="33">
        <v>237230</v>
      </c>
      <c r="P1037" s="33" t="s">
        <v>41</v>
      </c>
      <c r="Q1037" s="33" t="s">
        <v>42</v>
      </c>
      <c r="R1037" s="1"/>
      <c r="S1037" s="1"/>
      <c r="T1037" s="1"/>
      <c r="U1037" s="1"/>
      <c r="V1037" s="1"/>
      <c r="W1037" s="33" t="s">
        <v>43</v>
      </c>
      <c r="X1037" s="1" t="s">
        <v>2586</v>
      </c>
    </row>
    <row r="1038" spans="1:24" s="34" customFormat="1" x14ac:dyDescent="0.2">
      <c r="A1038" s="33" t="s">
        <v>31</v>
      </c>
      <c r="B1038" s="33" t="s">
        <v>4280</v>
      </c>
      <c r="C1038" s="33" t="s">
        <v>4281</v>
      </c>
      <c r="D1038" s="33">
        <f t="shared" si="16"/>
        <v>-1</v>
      </c>
      <c r="E1038" s="33" t="s">
        <v>34</v>
      </c>
      <c r="F1038" s="33" t="s">
        <v>4273</v>
      </c>
      <c r="G1038" s="33" t="s">
        <v>4282</v>
      </c>
      <c r="H1038" s="33" t="s">
        <v>37</v>
      </c>
      <c r="I1038" s="33" t="s">
        <v>38</v>
      </c>
      <c r="J1038" s="33" t="s">
        <v>4283</v>
      </c>
      <c r="K1038" s="33" t="s">
        <v>4284</v>
      </c>
      <c r="L1038" s="33">
        <v>14250</v>
      </c>
      <c r="M1038" s="33">
        <v>0</v>
      </c>
      <c r="N1038" s="33">
        <v>0</v>
      </c>
      <c r="O1038" s="33">
        <v>89250</v>
      </c>
      <c r="P1038" s="33" t="s">
        <v>41</v>
      </c>
      <c r="Q1038" s="33" t="s">
        <v>42</v>
      </c>
      <c r="R1038" s="1"/>
      <c r="S1038" s="1"/>
      <c r="T1038" s="1"/>
      <c r="U1038" s="1"/>
      <c r="V1038" s="1"/>
      <c r="W1038" s="33" t="s">
        <v>43</v>
      </c>
      <c r="X1038" s="1" t="s">
        <v>439</v>
      </c>
    </row>
    <row r="1039" spans="1:24" s="34" customFormat="1" x14ac:dyDescent="0.2">
      <c r="A1039" s="33" t="s">
        <v>31</v>
      </c>
      <c r="B1039" s="33" t="s">
        <v>4285</v>
      </c>
      <c r="C1039" s="33" t="s">
        <v>4286</v>
      </c>
      <c r="D1039" s="33">
        <f t="shared" si="16"/>
        <v>-1</v>
      </c>
      <c r="E1039" s="33" t="s">
        <v>34</v>
      </c>
      <c r="F1039" s="33" t="s">
        <v>4273</v>
      </c>
      <c r="G1039" s="33" t="s">
        <v>4287</v>
      </c>
      <c r="H1039" s="33" t="s">
        <v>37</v>
      </c>
      <c r="I1039" s="33" t="s">
        <v>38</v>
      </c>
      <c r="J1039" s="33" t="s">
        <v>4288</v>
      </c>
      <c r="K1039" s="33" t="s">
        <v>4289</v>
      </c>
      <c r="L1039" s="33">
        <v>1326200</v>
      </c>
      <c r="M1039" s="33">
        <v>0</v>
      </c>
      <c r="N1039" s="33">
        <v>0</v>
      </c>
      <c r="O1039" s="33">
        <v>8306200</v>
      </c>
      <c r="P1039" s="33" t="s">
        <v>41</v>
      </c>
      <c r="Q1039" s="33" t="s">
        <v>42</v>
      </c>
      <c r="R1039" s="1"/>
      <c r="S1039" s="1"/>
      <c r="T1039" s="1"/>
      <c r="U1039" s="1"/>
      <c r="V1039" s="1"/>
      <c r="W1039" s="33" t="s">
        <v>43</v>
      </c>
      <c r="X1039" s="1" t="s">
        <v>524</v>
      </c>
    </row>
    <row r="1040" spans="1:24" s="34" customFormat="1" x14ac:dyDescent="0.2">
      <c r="A1040" s="33" t="s">
        <v>31</v>
      </c>
      <c r="B1040" s="33" t="s">
        <v>4290</v>
      </c>
      <c r="C1040" s="33" t="s">
        <v>4291</v>
      </c>
      <c r="D1040" s="33">
        <f t="shared" si="16"/>
        <v>-1</v>
      </c>
      <c r="E1040" s="33" t="s">
        <v>34</v>
      </c>
      <c r="F1040" s="33" t="s">
        <v>4273</v>
      </c>
      <c r="G1040" s="33" t="s">
        <v>4292</v>
      </c>
      <c r="H1040" s="33" t="s">
        <v>37</v>
      </c>
      <c r="I1040" s="33" t="s">
        <v>38</v>
      </c>
      <c r="J1040" s="33" t="s">
        <v>4293</v>
      </c>
      <c r="K1040" s="33" t="s">
        <v>4294</v>
      </c>
      <c r="L1040" s="33">
        <v>327475.40000000002</v>
      </c>
      <c r="M1040" s="33">
        <v>0</v>
      </c>
      <c r="N1040" s="33">
        <v>0</v>
      </c>
      <c r="O1040" s="33">
        <v>2667435.4</v>
      </c>
      <c r="P1040" s="33" t="s">
        <v>41</v>
      </c>
      <c r="Q1040" s="33" t="s">
        <v>42</v>
      </c>
      <c r="R1040" s="1"/>
      <c r="S1040" s="1"/>
      <c r="T1040" s="1"/>
      <c r="U1040" s="1"/>
      <c r="V1040" s="1"/>
      <c r="W1040" s="33" t="s">
        <v>43</v>
      </c>
      <c r="X1040" s="1" t="s">
        <v>694</v>
      </c>
    </row>
    <row r="1041" spans="1:24" s="34" customFormat="1" x14ac:dyDescent="0.2">
      <c r="A1041" s="33" t="s">
        <v>31</v>
      </c>
      <c r="B1041" s="33" t="s">
        <v>4295</v>
      </c>
      <c r="C1041" s="33" t="s">
        <v>4296</v>
      </c>
      <c r="D1041" s="33">
        <f t="shared" si="16"/>
        <v>-1</v>
      </c>
      <c r="E1041" s="33" t="s">
        <v>34</v>
      </c>
      <c r="F1041" s="33" t="s">
        <v>4273</v>
      </c>
      <c r="G1041" s="33" t="s">
        <v>4297</v>
      </c>
      <c r="H1041" s="33" t="s">
        <v>37</v>
      </c>
      <c r="I1041" s="33" t="s">
        <v>38</v>
      </c>
      <c r="J1041" s="33" t="s">
        <v>4298</v>
      </c>
      <c r="K1041" s="33" t="s">
        <v>4299</v>
      </c>
      <c r="L1041" s="33">
        <v>975840</v>
      </c>
      <c r="M1041" s="33">
        <v>0</v>
      </c>
      <c r="N1041" s="33">
        <v>0</v>
      </c>
      <c r="O1041" s="33">
        <v>6111840</v>
      </c>
      <c r="P1041" s="33" t="s">
        <v>41</v>
      </c>
      <c r="Q1041" s="33" t="s">
        <v>42</v>
      </c>
      <c r="R1041" s="1"/>
      <c r="S1041" s="1"/>
      <c r="T1041" s="1"/>
      <c r="U1041" s="1"/>
      <c r="V1041" s="1"/>
      <c r="W1041" s="33" t="s">
        <v>43</v>
      </c>
      <c r="X1041" s="1" t="s">
        <v>524</v>
      </c>
    </row>
    <row r="1042" spans="1:24" s="34" customFormat="1" x14ac:dyDescent="0.2">
      <c r="A1042" s="33" t="s">
        <v>31</v>
      </c>
      <c r="B1042" s="33" t="s">
        <v>4300</v>
      </c>
      <c r="C1042" s="33" t="s">
        <v>4301</v>
      </c>
      <c r="D1042" s="33">
        <f t="shared" si="16"/>
        <v>-1</v>
      </c>
      <c r="E1042" s="33" t="s">
        <v>34</v>
      </c>
      <c r="F1042" s="33" t="s">
        <v>4273</v>
      </c>
      <c r="G1042" s="33" t="s">
        <v>4302</v>
      </c>
      <c r="H1042" s="33" t="s">
        <v>37</v>
      </c>
      <c r="I1042" s="33" t="s">
        <v>38</v>
      </c>
      <c r="J1042" s="33" t="s">
        <v>4303</v>
      </c>
      <c r="K1042" s="33" t="s">
        <v>4304</v>
      </c>
      <c r="L1042" s="33">
        <v>78933.600000000006</v>
      </c>
      <c r="M1042" s="33">
        <v>0</v>
      </c>
      <c r="N1042" s="33">
        <v>0</v>
      </c>
      <c r="O1042" s="33">
        <v>494373.6</v>
      </c>
      <c r="P1042" s="33" t="s">
        <v>41</v>
      </c>
      <c r="Q1042" s="33" t="s">
        <v>42</v>
      </c>
      <c r="R1042" s="1"/>
      <c r="S1042" s="1"/>
      <c r="T1042" s="1"/>
      <c r="U1042" s="1"/>
      <c r="V1042" s="1"/>
      <c r="W1042" s="33" t="s">
        <v>43</v>
      </c>
      <c r="X1042" s="1" t="s">
        <v>524</v>
      </c>
    </row>
    <row r="1043" spans="1:24" s="34" customFormat="1" x14ac:dyDescent="0.2">
      <c r="A1043" s="33" t="s">
        <v>31</v>
      </c>
      <c r="B1043" s="33" t="s">
        <v>4305</v>
      </c>
      <c r="C1043" s="33" t="s">
        <v>4306</v>
      </c>
      <c r="D1043" s="33">
        <f t="shared" si="16"/>
        <v>-1</v>
      </c>
      <c r="E1043" s="33" t="s">
        <v>34</v>
      </c>
      <c r="F1043" s="33" t="s">
        <v>4273</v>
      </c>
      <c r="G1043" s="33" t="s">
        <v>4307</v>
      </c>
      <c r="H1043" s="33" t="s">
        <v>37</v>
      </c>
      <c r="I1043" s="33" t="s">
        <v>38</v>
      </c>
      <c r="J1043" s="33" t="s">
        <v>4308</v>
      </c>
      <c r="K1043" s="33" t="s">
        <v>4309</v>
      </c>
      <c r="L1043" s="33">
        <v>10640</v>
      </c>
      <c r="M1043" s="33">
        <v>0</v>
      </c>
      <c r="N1043" s="33">
        <v>0</v>
      </c>
      <c r="O1043" s="33">
        <v>66640</v>
      </c>
      <c r="P1043" s="33" t="s">
        <v>41</v>
      </c>
      <c r="Q1043" s="33" t="s">
        <v>42</v>
      </c>
      <c r="R1043" s="1"/>
      <c r="S1043" s="1"/>
      <c r="T1043" s="1"/>
      <c r="U1043" s="1"/>
      <c r="V1043" s="1"/>
      <c r="W1043" s="33" t="s">
        <v>43</v>
      </c>
      <c r="X1043" s="1" t="s">
        <v>317</v>
      </c>
    </row>
    <row r="1044" spans="1:24" x14ac:dyDescent="0.2">
      <c r="A1044" s="33" t="s">
        <v>31</v>
      </c>
      <c r="B1044" s="33" t="s">
        <v>4305</v>
      </c>
      <c r="C1044" s="33" t="s">
        <v>4310</v>
      </c>
      <c r="D1044" s="33">
        <f t="shared" si="16"/>
        <v>105657</v>
      </c>
      <c r="E1044" s="33" t="s">
        <v>34</v>
      </c>
      <c r="F1044" s="33" t="s">
        <v>4311</v>
      </c>
      <c r="G1044" s="33" t="s">
        <v>4312</v>
      </c>
      <c r="H1044" s="33" t="s">
        <v>4313</v>
      </c>
      <c r="I1044" s="33" t="s">
        <v>38</v>
      </c>
      <c r="J1044" s="36"/>
      <c r="K1044" s="33"/>
      <c r="L1044" s="33"/>
      <c r="M1044" s="33"/>
      <c r="N1044" s="33"/>
      <c r="O1044" s="33"/>
      <c r="P1044" s="33"/>
      <c r="Q1044" s="33"/>
      <c r="V1044" s="35"/>
      <c r="W1044" s="33" t="s">
        <v>43</v>
      </c>
      <c r="X1044" s="1" t="s">
        <v>369</v>
      </c>
    </row>
  </sheetData>
  <phoneticPr fontId="10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F6F99-58E8-4C39-8E8F-451BB3F4A302}">
  <dimension ref="A1:D169"/>
  <sheetViews>
    <sheetView workbookViewId="0"/>
  </sheetViews>
  <sheetFormatPr baseColWidth="10" defaultColWidth="9.140625" defaultRowHeight="15" x14ac:dyDescent="0.25"/>
  <cols>
    <col min="1" max="1" width="27.28515625" customWidth="1"/>
    <col min="2" max="2" width="21" bestFit="1" customWidth="1"/>
    <col min="3" max="3" width="18.42578125" bestFit="1" customWidth="1"/>
    <col min="4" max="4" width="16.42578125" bestFit="1" customWidth="1"/>
    <col min="5" max="15" width="10.42578125" bestFit="1" customWidth="1"/>
    <col min="16" max="90" width="11.42578125" bestFit="1" customWidth="1"/>
    <col min="91" max="158" width="13" bestFit="1" customWidth="1"/>
    <col min="159" max="180" width="14" bestFit="1" customWidth="1"/>
    <col min="181" max="182" width="15" bestFit="1" customWidth="1"/>
    <col min="183" max="183" width="12.5703125" bestFit="1" customWidth="1"/>
    <col min="184" max="530" width="11.42578125" bestFit="1" customWidth="1"/>
    <col min="531" max="929" width="13" bestFit="1" customWidth="1"/>
    <col min="930" max="1028" width="14" bestFit="1" customWidth="1"/>
    <col min="1029" max="1036" width="15" bestFit="1" customWidth="1"/>
    <col min="1037" max="1037" width="12.5703125" bestFit="1" customWidth="1"/>
  </cols>
  <sheetData>
    <row r="1" spans="1:4" x14ac:dyDescent="0.25">
      <c r="A1" s="4" t="s">
        <v>4</v>
      </c>
      <c r="B1" t="s">
        <v>4314</v>
      </c>
    </row>
    <row r="3" spans="1:4" x14ac:dyDescent="0.25">
      <c r="A3" s="4" t="s">
        <v>19</v>
      </c>
      <c r="B3" s="4" t="s">
        <v>11</v>
      </c>
      <c r="C3" t="s">
        <v>4315</v>
      </c>
      <c r="D3" t="s">
        <v>4316</v>
      </c>
    </row>
    <row r="4" spans="1:4" x14ac:dyDescent="0.25">
      <c r="A4" t="s">
        <v>3827</v>
      </c>
      <c r="B4" t="s">
        <v>3824</v>
      </c>
      <c r="C4">
        <v>1</v>
      </c>
      <c r="D4" s="5">
        <v>756840</v>
      </c>
    </row>
    <row r="5" spans="1:4" x14ac:dyDescent="0.25">
      <c r="A5" t="s">
        <v>4317</v>
      </c>
      <c r="C5">
        <v>1</v>
      </c>
      <c r="D5" s="5">
        <v>756840</v>
      </c>
    </row>
    <row r="6" spans="1:4" x14ac:dyDescent="0.25">
      <c r="A6" t="s">
        <v>2470</v>
      </c>
      <c r="B6" t="s">
        <v>2467</v>
      </c>
      <c r="C6">
        <v>1</v>
      </c>
      <c r="D6" s="5">
        <v>38679760</v>
      </c>
    </row>
    <row r="7" spans="1:4" x14ac:dyDescent="0.25">
      <c r="B7" t="s">
        <v>2684</v>
      </c>
      <c r="C7">
        <v>1</v>
      </c>
      <c r="D7" s="5">
        <v>6664000</v>
      </c>
    </row>
    <row r="8" spans="1:4" x14ac:dyDescent="0.25">
      <c r="B8" t="s">
        <v>3535</v>
      </c>
      <c r="C8">
        <v>1</v>
      </c>
      <c r="D8" s="5">
        <v>7590000</v>
      </c>
    </row>
    <row r="9" spans="1:4" x14ac:dyDescent="0.25">
      <c r="A9" t="s">
        <v>4318</v>
      </c>
      <c r="C9">
        <v>3</v>
      </c>
      <c r="D9" s="5">
        <v>52933760</v>
      </c>
    </row>
    <row r="10" spans="1:4" x14ac:dyDescent="0.25">
      <c r="A10" t="s">
        <v>4058</v>
      </c>
      <c r="B10" t="s">
        <v>4055</v>
      </c>
      <c r="C10">
        <v>1</v>
      </c>
      <c r="D10" s="5">
        <v>1035300</v>
      </c>
    </row>
    <row r="11" spans="1:4" x14ac:dyDescent="0.25">
      <c r="A11" t="s">
        <v>4319</v>
      </c>
      <c r="C11">
        <v>1</v>
      </c>
      <c r="D11" s="5">
        <v>1035300</v>
      </c>
    </row>
    <row r="12" spans="1:4" x14ac:dyDescent="0.25">
      <c r="A12" t="s">
        <v>1171</v>
      </c>
      <c r="B12" t="s">
        <v>4170</v>
      </c>
      <c r="C12">
        <v>1</v>
      </c>
      <c r="D12" s="5">
        <v>1723726</v>
      </c>
    </row>
    <row r="13" spans="1:4" x14ac:dyDescent="0.25">
      <c r="A13" t="s">
        <v>4320</v>
      </c>
      <c r="C13">
        <v>1</v>
      </c>
      <c r="D13" s="5">
        <v>1723726</v>
      </c>
    </row>
    <row r="14" spans="1:4" x14ac:dyDescent="0.25">
      <c r="A14" t="s">
        <v>3631</v>
      </c>
      <c r="B14" t="s">
        <v>3628</v>
      </c>
      <c r="C14">
        <v>1</v>
      </c>
      <c r="D14" s="5">
        <v>158270</v>
      </c>
    </row>
    <row r="15" spans="1:4" x14ac:dyDescent="0.25">
      <c r="B15" t="s">
        <v>3901</v>
      </c>
      <c r="C15">
        <v>1</v>
      </c>
      <c r="D15" s="5">
        <v>855729</v>
      </c>
    </row>
    <row r="16" spans="1:4" x14ac:dyDescent="0.25">
      <c r="A16" t="s">
        <v>4321</v>
      </c>
      <c r="C16">
        <v>2</v>
      </c>
      <c r="D16" s="5">
        <v>1013999</v>
      </c>
    </row>
    <row r="17" spans="1:4" x14ac:dyDescent="0.25">
      <c r="A17" t="s">
        <v>80</v>
      </c>
      <c r="B17" t="s">
        <v>77</v>
      </c>
      <c r="C17">
        <v>1</v>
      </c>
      <c r="D17" s="5">
        <v>2890148.24</v>
      </c>
    </row>
    <row r="18" spans="1:4" x14ac:dyDescent="0.25">
      <c r="A18" t="s">
        <v>4322</v>
      </c>
      <c r="C18">
        <v>1</v>
      </c>
      <c r="D18" s="5">
        <v>2890148.24</v>
      </c>
    </row>
    <row r="19" spans="1:4" x14ac:dyDescent="0.25">
      <c r="A19" t="s">
        <v>3163</v>
      </c>
      <c r="B19" t="s">
        <v>3160</v>
      </c>
      <c r="C19">
        <v>1</v>
      </c>
      <c r="D19" s="5">
        <v>407607.83</v>
      </c>
    </row>
    <row r="20" spans="1:4" x14ac:dyDescent="0.25">
      <c r="A20" t="s">
        <v>4323</v>
      </c>
      <c r="C20">
        <v>1</v>
      </c>
      <c r="D20" s="5">
        <v>407607.83</v>
      </c>
    </row>
    <row r="21" spans="1:4" x14ac:dyDescent="0.25">
      <c r="A21" t="s">
        <v>305</v>
      </c>
      <c r="B21" t="s">
        <v>2763</v>
      </c>
      <c r="C21">
        <v>1</v>
      </c>
      <c r="D21" s="5">
        <v>8949058.2300000004</v>
      </c>
    </row>
    <row r="22" spans="1:4" x14ac:dyDescent="0.25">
      <c r="B22" t="s">
        <v>3557</v>
      </c>
      <c r="C22">
        <v>1</v>
      </c>
      <c r="D22" s="5">
        <v>2034031.3</v>
      </c>
    </row>
    <row r="23" spans="1:4" x14ac:dyDescent="0.25">
      <c r="B23" t="s">
        <v>4017</v>
      </c>
      <c r="C23">
        <v>1</v>
      </c>
      <c r="D23" s="5">
        <v>2490848.5</v>
      </c>
    </row>
    <row r="24" spans="1:4" x14ac:dyDescent="0.25">
      <c r="A24" t="s">
        <v>4324</v>
      </c>
      <c r="C24">
        <v>3</v>
      </c>
      <c r="D24" s="5">
        <v>13473938.030000001</v>
      </c>
    </row>
    <row r="25" spans="1:4" x14ac:dyDescent="0.25">
      <c r="A25" t="s">
        <v>3605</v>
      </c>
      <c r="B25" t="s">
        <v>4140</v>
      </c>
      <c r="C25">
        <v>1</v>
      </c>
      <c r="D25" s="5">
        <v>1999200</v>
      </c>
    </row>
    <row r="26" spans="1:4" x14ac:dyDescent="0.25">
      <c r="A26" t="s">
        <v>4325</v>
      </c>
      <c r="C26">
        <v>1</v>
      </c>
      <c r="D26" s="5">
        <v>1999200</v>
      </c>
    </row>
    <row r="27" spans="1:4" x14ac:dyDescent="0.25">
      <c r="A27" t="s">
        <v>53</v>
      </c>
      <c r="B27" t="s">
        <v>50</v>
      </c>
      <c r="C27">
        <v>1</v>
      </c>
      <c r="D27" s="5">
        <v>19962970</v>
      </c>
    </row>
    <row r="28" spans="1:4" x14ac:dyDescent="0.25">
      <c r="B28" t="s">
        <v>2480</v>
      </c>
      <c r="C28">
        <v>1</v>
      </c>
      <c r="D28" s="5">
        <v>21122500</v>
      </c>
    </row>
    <row r="29" spans="1:4" x14ac:dyDescent="0.25">
      <c r="B29" t="s">
        <v>3014</v>
      </c>
      <c r="C29">
        <v>1</v>
      </c>
      <c r="D29" s="5">
        <v>11529841.4</v>
      </c>
    </row>
    <row r="30" spans="1:4" x14ac:dyDescent="0.25">
      <c r="B30" t="s">
        <v>3092</v>
      </c>
      <c r="C30">
        <v>1</v>
      </c>
      <c r="D30" s="5">
        <v>6943846.3499999996</v>
      </c>
    </row>
    <row r="31" spans="1:4" x14ac:dyDescent="0.25">
      <c r="A31" t="s">
        <v>4326</v>
      </c>
      <c r="C31">
        <v>4</v>
      </c>
      <c r="D31" s="5">
        <v>59559157.75</v>
      </c>
    </row>
    <row r="32" spans="1:4" x14ac:dyDescent="0.25">
      <c r="A32" t="s">
        <v>1166</v>
      </c>
      <c r="B32" t="s">
        <v>1183</v>
      </c>
      <c r="C32">
        <v>1</v>
      </c>
      <c r="D32" s="5">
        <v>2543726.61</v>
      </c>
    </row>
    <row r="33" spans="1:4" x14ac:dyDescent="0.25">
      <c r="A33" t="s">
        <v>4327</v>
      </c>
      <c r="C33">
        <v>1</v>
      </c>
      <c r="D33" s="5">
        <v>2543726.61</v>
      </c>
    </row>
    <row r="34" spans="1:4" x14ac:dyDescent="0.25">
      <c r="A34" t="s">
        <v>63</v>
      </c>
      <c r="B34" t="s">
        <v>2670</v>
      </c>
      <c r="C34">
        <v>1</v>
      </c>
      <c r="D34" s="5">
        <v>19876241.559999999</v>
      </c>
    </row>
    <row r="35" spans="1:4" x14ac:dyDescent="0.25">
      <c r="B35" t="s">
        <v>2731</v>
      </c>
      <c r="C35">
        <v>1</v>
      </c>
      <c r="D35" s="5">
        <v>27948158</v>
      </c>
    </row>
    <row r="36" spans="1:4" x14ac:dyDescent="0.25">
      <c r="B36" t="s">
        <v>2967</v>
      </c>
      <c r="C36">
        <v>1</v>
      </c>
      <c r="D36" s="5">
        <v>38798212.049999997</v>
      </c>
    </row>
    <row r="37" spans="1:4" x14ac:dyDescent="0.25">
      <c r="B37" t="s">
        <v>3107</v>
      </c>
      <c r="C37">
        <v>1</v>
      </c>
      <c r="D37" s="5">
        <v>87650.64</v>
      </c>
    </row>
    <row r="38" spans="1:4" x14ac:dyDescent="0.25">
      <c r="B38" t="s">
        <v>3144</v>
      </c>
      <c r="C38">
        <v>1</v>
      </c>
      <c r="D38" s="5">
        <v>5301594</v>
      </c>
    </row>
    <row r="39" spans="1:4" x14ac:dyDescent="0.25">
      <c r="A39" t="s">
        <v>4328</v>
      </c>
      <c r="C39">
        <v>5</v>
      </c>
      <c r="D39" s="5">
        <v>92011856.25</v>
      </c>
    </row>
    <row r="40" spans="1:4" x14ac:dyDescent="0.25">
      <c r="A40" t="s">
        <v>58</v>
      </c>
      <c r="B40" t="s">
        <v>55</v>
      </c>
      <c r="C40">
        <v>1</v>
      </c>
      <c r="D40" s="5">
        <v>39925940</v>
      </c>
    </row>
    <row r="41" spans="1:4" x14ac:dyDescent="0.25">
      <c r="B41" t="s">
        <v>602</v>
      </c>
      <c r="C41">
        <v>1</v>
      </c>
      <c r="D41" s="5">
        <v>3841320</v>
      </c>
    </row>
    <row r="42" spans="1:4" x14ac:dyDescent="0.25">
      <c r="B42" t="s">
        <v>880</v>
      </c>
      <c r="C42">
        <v>1</v>
      </c>
      <c r="D42" s="5">
        <v>1276777.18</v>
      </c>
    </row>
    <row r="43" spans="1:4" x14ac:dyDescent="0.25">
      <c r="B43" t="s">
        <v>1493</v>
      </c>
      <c r="C43">
        <v>1</v>
      </c>
      <c r="D43" s="5">
        <v>60818712.850000001</v>
      </c>
    </row>
    <row r="44" spans="1:4" x14ac:dyDescent="0.25">
      <c r="B44" t="s">
        <v>1760</v>
      </c>
      <c r="C44">
        <v>1</v>
      </c>
      <c r="D44" s="5">
        <v>3002762.7</v>
      </c>
    </row>
    <row r="45" spans="1:4" x14ac:dyDescent="0.25">
      <c r="B45" t="s">
        <v>2484</v>
      </c>
      <c r="C45">
        <v>1</v>
      </c>
      <c r="D45" s="5">
        <v>21122500</v>
      </c>
    </row>
    <row r="46" spans="1:4" x14ac:dyDescent="0.25">
      <c r="B46" t="s">
        <v>2598</v>
      </c>
      <c r="C46">
        <v>1</v>
      </c>
      <c r="D46" s="5">
        <v>90946336.25</v>
      </c>
    </row>
    <row r="47" spans="1:4" x14ac:dyDescent="0.25">
      <c r="B47" t="s">
        <v>2970</v>
      </c>
      <c r="C47">
        <v>1</v>
      </c>
      <c r="D47" s="5">
        <v>35285878.859999999</v>
      </c>
    </row>
    <row r="48" spans="1:4" x14ac:dyDescent="0.25">
      <c r="B48" t="s">
        <v>3104</v>
      </c>
      <c r="C48">
        <v>1</v>
      </c>
      <c r="D48" s="5">
        <v>13313087.210000001</v>
      </c>
    </row>
    <row r="49" spans="1:4" x14ac:dyDescent="0.25">
      <c r="B49" t="s">
        <v>3147</v>
      </c>
      <c r="C49">
        <v>1</v>
      </c>
      <c r="D49" s="5">
        <v>13023736.039999999</v>
      </c>
    </row>
    <row r="50" spans="1:4" x14ac:dyDescent="0.25">
      <c r="A50" t="s">
        <v>4329</v>
      </c>
      <c r="C50">
        <v>10</v>
      </c>
      <c r="D50" s="5">
        <v>282557051.09000003</v>
      </c>
    </row>
    <row r="51" spans="1:4" x14ac:dyDescent="0.25">
      <c r="A51" t="s">
        <v>1181</v>
      </c>
      <c r="B51" t="s">
        <v>1178</v>
      </c>
      <c r="C51">
        <v>1</v>
      </c>
      <c r="D51" s="5">
        <v>738276</v>
      </c>
    </row>
    <row r="52" spans="1:4" x14ac:dyDescent="0.25">
      <c r="B52" t="s">
        <v>3089</v>
      </c>
      <c r="C52">
        <v>1</v>
      </c>
      <c r="D52" s="5">
        <v>359682.05</v>
      </c>
    </row>
    <row r="53" spans="1:4" x14ac:dyDescent="0.25">
      <c r="A53" t="s">
        <v>4330</v>
      </c>
      <c r="C53">
        <v>2</v>
      </c>
      <c r="D53" s="5">
        <v>1097958.05</v>
      </c>
    </row>
    <row r="54" spans="1:4" x14ac:dyDescent="0.25">
      <c r="A54" t="s">
        <v>2027</v>
      </c>
      <c r="B54" t="s">
        <v>3308</v>
      </c>
      <c r="C54">
        <v>1</v>
      </c>
      <c r="D54" s="5">
        <v>218781.5</v>
      </c>
    </row>
    <row r="55" spans="1:4" x14ac:dyDescent="0.25">
      <c r="B55" t="s">
        <v>3311</v>
      </c>
      <c r="C55">
        <v>1</v>
      </c>
      <c r="D55" s="5">
        <v>6902</v>
      </c>
    </row>
    <row r="56" spans="1:4" x14ac:dyDescent="0.25">
      <c r="B56" t="s">
        <v>3314</v>
      </c>
      <c r="C56">
        <v>1</v>
      </c>
      <c r="D56" s="5">
        <v>6902000</v>
      </c>
    </row>
    <row r="57" spans="1:4" x14ac:dyDescent="0.25">
      <c r="A57" t="s">
        <v>4331</v>
      </c>
      <c r="C57">
        <v>3</v>
      </c>
      <c r="D57" s="5">
        <v>7127683.5</v>
      </c>
    </row>
    <row r="58" spans="1:4" x14ac:dyDescent="0.25">
      <c r="A58" t="s">
        <v>2243</v>
      </c>
      <c r="B58" t="s">
        <v>2240</v>
      </c>
      <c r="C58">
        <v>1</v>
      </c>
      <c r="D58" s="5">
        <v>207476.5</v>
      </c>
    </row>
    <row r="59" spans="1:4" x14ac:dyDescent="0.25">
      <c r="A59" t="s">
        <v>4332</v>
      </c>
      <c r="C59">
        <v>1</v>
      </c>
      <c r="D59" s="5">
        <v>207476.5</v>
      </c>
    </row>
    <row r="60" spans="1:4" x14ac:dyDescent="0.25">
      <c r="A60" t="s">
        <v>1570</v>
      </c>
      <c r="B60" t="s">
        <v>1567</v>
      </c>
      <c r="C60">
        <v>1</v>
      </c>
      <c r="D60" s="5">
        <v>379015</v>
      </c>
    </row>
    <row r="61" spans="1:4" x14ac:dyDescent="0.25">
      <c r="B61" t="s">
        <v>3343</v>
      </c>
      <c r="C61">
        <v>1</v>
      </c>
      <c r="D61" s="5">
        <v>70574.14</v>
      </c>
    </row>
    <row r="62" spans="1:4" x14ac:dyDescent="0.25">
      <c r="B62" t="s">
        <v>3718</v>
      </c>
      <c r="C62">
        <v>1</v>
      </c>
      <c r="D62" s="5">
        <v>513187.5</v>
      </c>
    </row>
    <row r="63" spans="1:4" x14ac:dyDescent="0.25">
      <c r="A63" t="s">
        <v>4333</v>
      </c>
      <c r="C63">
        <v>3</v>
      </c>
      <c r="D63" s="5">
        <v>962776.64</v>
      </c>
    </row>
    <row r="64" spans="1:4" x14ac:dyDescent="0.25">
      <c r="A64" t="s">
        <v>276</v>
      </c>
      <c r="B64" t="s">
        <v>2604</v>
      </c>
      <c r="C64">
        <v>1</v>
      </c>
      <c r="D64" s="5">
        <v>158865</v>
      </c>
    </row>
    <row r="65" spans="1:4" x14ac:dyDescent="0.25">
      <c r="A65" t="s">
        <v>4334</v>
      </c>
      <c r="C65">
        <v>1</v>
      </c>
      <c r="D65" s="5">
        <v>158865</v>
      </c>
    </row>
    <row r="66" spans="1:4" x14ac:dyDescent="0.25">
      <c r="A66" t="s">
        <v>1342</v>
      </c>
      <c r="B66" t="s">
        <v>1353</v>
      </c>
      <c r="C66">
        <v>1</v>
      </c>
      <c r="D66" s="5">
        <v>4078846.38</v>
      </c>
    </row>
    <row r="67" spans="1:4" x14ac:dyDescent="0.25">
      <c r="B67" t="s">
        <v>2568</v>
      </c>
      <c r="C67">
        <v>1</v>
      </c>
      <c r="D67" s="5">
        <v>2627951</v>
      </c>
    </row>
    <row r="68" spans="1:4" x14ac:dyDescent="0.25">
      <c r="A68" t="s">
        <v>4335</v>
      </c>
      <c r="C68">
        <v>2</v>
      </c>
      <c r="D68" s="5">
        <v>6706797.3799999999</v>
      </c>
    </row>
    <row r="69" spans="1:4" x14ac:dyDescent="0.25">
      <c r="A69" t="s">
        <v>2827</v>
      </c>
      <c r="B69" t="s">
        <v>2824</v>
      </c>
      <c r="C69">
        <v>1</v>
      </c>
      <c r="D69" s="5">
        <v>3282020</v>
      </c>
    </row>
    <row r="70" spans="1:4" x14ac:dyDescent="0.25">
      <c r="A70" t="s">
        <v>4336</v>
      </c>
      <c r="C70">
        <v>1</v>
      </c>
      <c r="D70" s="5">
        <v>3282020</v>
      </c>
    </row>
    <row r="71" spans="1:4" x14ac:dyDescent="0.25">
      <c r="A71" t="s">
        <v>1422</v>
      </c>
      <c r="B71" t="s">
        <v>2191</v>
      </c>
      <c r="C71">
        <v>1</v>
      </c>
      <c r="D71" s="5">
        <v>898450</v>
      </c>
    </row>
    <row r="72" spans="1:4" x14ac:dyDescent="0.25">
      <c r="B72" t="s">
        <v>2232</v>
      </c>
      <c r="C72">
        <v>1</v>
      </c>
      <c r="D72" s="5">
        <v>11942840</v>
      </c>
    </row>
    <row r="73" spans="1:4" x14ac:dyDescent="0.25">
      <c r="B73" t="s">
        <v>2433</v>
      </c>
      <c r="C73">
        <v>1</v>
      </c>
      <c r="D73" s="5">
        <v>7461300</v>
      </c>
    </row>
    <row r="74" spans="1:4" x14ac:dyDescent="0.25">
      <c r="B74" t="s">
        <v>3247</v>
      </c>
      <c r="C74">
        <v>1</v>
      </c>
      <c r="D74" s="5">
        <v>1347556</v>
      </c>
    </row>
    <row r="75" spans="1:4" x14ac:dyDescent="0.25">
      <c r="A75" t="s">
        <v>4337</v>
      </c>
      <c r="C75">
        <v>4</v>
      </c>
      <c r="D75" s="5">
        <v>21650146</v>
      </c>
    </row>
    <row r="76" spans="1:4" x14ac:dyDescent="0.25">
      <c r="A76" t="s">
        <v>2129</v>
      </c>
      <c r="B76" t="s">
        <v>2126</v>
      </c>
      <c r="C76">
        <v>1</v>
      </c>
      <c r="D76" s="5">
        <v>2954460.32</v>
      </c>
    </row>
    <row r="77" spans="1:4" x14ac:dyDescent="0.25">
      <c r="B77" t="s">
        <v>2453</v>
      </c>
      <c r="C77">
        <v>1</v>
      </c>
      <c r="D77" s="5">
        <v>3592507.66</v>
      </c>
    </row>
    <row r="78" spans="1:4" x14ac:dyDescent="0.25">
      <c r="B78" t="s">
        <v>3567</v>
      </c>
      <c r="C78">
        <v>1</v>
      </c>
      <c r="D78" s="5">
        <v>735064.05</v>
      </c>
    </row>
    <row r="79" spans="1:4" x14ac:dyDescent="0.25">
      <c r="B79" t="s">
        <v>3570</v>
      </c>
      <c r="C79">
        <v>1</v>
      </c>
      <c r="D79" s="5">
        <v>9368493.75</v>
      </c>
    </row>
    <row r="80" spans="1:4" x14ac:dyDescent="0.25">
      <c r="B80" t="s">
        <v>3573</v>
      </c>
      <c r="C80">
        <v>1</v>
      </c>
      <c r="D80" s="5">
        <v>1430475.2</v>
      </c>
    </row>
    <row r="81" spans="1:4" x14ac:dyDescent="0.25">
      <c r="B81" t="s">
        <v>3576</v>
      </c>
      <c r="C81">
        <v>1</v>
      </c>
      <c r="D81" s="5">
        <v>1352012.55</v>
      </c>
    </row>
    <row r="82" spans="1:4" x14ac:dyDescent="0.25">
      <c r="B82" t="s">
        <v>3579</v>
      </c>
      <c r="C82">
        <v>1</v>
      </c>
      <c r="D82" s="5">
        <v>555083.19999999995</v>
      </c>
    </row>
    <row r="83" spans="1:4" x14ac:dyDescent="0.25">
      <c r="B83" t="s">
        <v>3582</v>
      </c>
      <c r="C83">
        <v>1</v>
      </c>
      <c r="D83" s="5">
        <v>1208684.05</v>
      </c>
    </row>
    <row r="84" spans="1:4" x14ac:dyDescent="0.25">
      <c r="A84" t="s">
        <v>4338</v>
      </c>
      <c r="C84">
        <v>8</v>
      </c>
      <c r="D84" s="5">
        <v>21196780.780000001</v>
      </c>
    </row>
    <row r="85" spans="1:4" x14ac:dyDescent="0.25">
      <c r="A85" t="s">
        <v>68</v>
      </c>
      <c r="B85" t="s">
        <v>71</v>
      </c>
      <c r="C85">
        <v>1</v>
      </c>
      <c r="D85" s="5">
        <v>339796.17</v>
      </c>
    </row>
    <row r="86" spans="1:4" x14ac:dyDescent="0.25">
      <c r="A86" t="s">
        <v>4339</v>
      </c>
      <c r="C86">
        <v>1</v>
      </c>
      <c r="D86" s="5">
        <v>339796.17</v>
      </c>
    </row>
    <row r="87" spans="1:4" x14ac:dyDescent="0.25">
      <c r="A87" t="s">
        <v>551</v>
      </c>
      <c r="B87" t="s">
        <v>4204</v>
      </c>
      <c r="C87">
        <v>1</v>
      </c>
      <c r="D87" s="5">
        <v>993650</v>
      </c>
    </row>
    <row r="88" spans="1:4" x14ac:dyDescent="0.25">
      <c r="A88" t="s">
        <v>4340</v>
      </c>
      <c r="C88">
        <v>1</v>
      </c>
      <c r="D88" s="5">
        <v>993650</v>
      </c>
    </row>
    <row r="89" spans="1:4" x14ac:dyDescent="0.25">
      <c r="A89" t="s">
        <v>1486</v>
      </c>
      <c r="B89" t="s">
        <v>1483</v>
      </c>
      <c r="C89">
        <v>1</v>
      </c>
      <c r="D89" s="5">
        <v>7694540</v>
      </c>
    </row>
    <row r="90" spans="1:4" x14ac:dyDescent="0.25">
      <c r="B90" t="s">
        <v>4222</v>
      </c>
      <c r="C90">
        <v>1</v>
      </c>
      <c r="D90" s="5">
        <v>5658603.5099999998</v>
      </c>
    </row>
    <row r="91" spans="1:4" x14ac:dyDescent="0.25">
      <c r="A91" t="s">
        <v>4341</v>
      </c>
      <c r="C91">
        <v>2</v>
      </c>
      <c r="D91" s="5">
        <v>13353143.51</v>
      </c>
    </row>
    <row r="92" spans="1:4" x14ac:dyDescent="0.25">
      <c r="A92" t="s">
        <v>768</v>
      </c>
      <c r="B92" t="s">
        <v>765</v>
      </c>
      <c r="C92">
        <v>1</v>
      </c>
      <c r="D92" s="5">
        <v>5071920</v>
      </c>
    </row>
    <row r="93" spans="1:4" x14ac:dyDescent="0.25">
      <c r="B93" t="s">
        <v>909</v>
      </c>
      <c r="C93">
        <v>1</v>
      </c>
      <c r="D93" s="5">
        <v>15676540</v>
      </c>
    </row>
    <row r="94" spans="1:4" x14ac:dyDescent="0.25">
      <c r="B94" t="s">
        <v>2658</v>
      </c>
      <c r="C94">
        <v>1</v>
      </c>
      <c r="D94" s="5">
        <v>99960</v>
      </c>
    </row>
    <row r="95" spans="1:4" x14ac:dyDescent="0.25">
      <c r="A95" t="s">
        <v>4342</v>
      </c>
      <c r="C95">
        <v>3</v>
      </c>
      <c r="D95" s="5">
        <v>20848420</v>
      </c>
    </row>
    <row r="96" spans="1:4" x14ac:dyDescent="0.25">
      <c r="A96" t="s">
        <v>3352</v>
      </c>
      <c r="B96" t="s">
        <v>3349</v>
      </c>
      <c r="C96">
        <v>1</v>
      </c>
      <c r="D96" s="5">
        <v>2156280</v>
      </c>
    </row>
    <row r="97" spans="1:4" x14ac:dyDescent="0.25">
      <c r="B97" t="s">
        <v>3354</v>
      </c>
      <c r="C97">
        <v>1</v>
      </c>
      <c r="D97" s="5">
        <v>1120980</v>
      </c>
    </row>
    <row r="98" spans="1:4" x14ac:dyDescent="0.25">
      <c r="B98" t="s">
        <v>3357</v>
      </c>
      <c r="C98">
        <v>1</v>
      </c>
      <c r="D98" s="5">
        <v>9639000</v>
      </c>
    </row>
    <row r="99" spans="1:4" x14ac:dyDescent="0.25">
      <c r="B99" t="s">
        <v>3625</v>
      </c>
      <c r="C99">
        <v>1</v>
      </c>
      <c r="D99" s="5">
        <v>724710</v>
      </c>
    </row>
    <row r="100" spans="1:4" x14ac:dyDescent="0.25">
      <c r="B100" t="s">
        <v>3694</v>
      </c>
      <c r="C100">
        <v>1</v>
      </c>
      <c r="D100" s="5">
        <v>2786980</v>
      </c>
    </row>
    <row r="101" spans="1:4" x14ac:dyDescent="0.25">
      <c r="B101" t="s">
        <v>3937</v>
      </c>
      <c r="C101">
        <v>1</v>
      </c>
      <c r="D101" s="5">
        <v>17365670</v>
      </c>
    </row>
    <row r="102" spans="1:4" x14ac:dyDescent="0.25">
      <c r="A102" t="s">
        <v>4343</v>
      </c>
      <c r="C102">
        <v>6</v>
      </c>
      <c r="D102" s="5">
        <v>33793620</v>
      </c>
    </row>
    <row r="103" spans="1:4" x14ac:dyDescent="0.25">
      <c r="A103" t="s">
        <v>1075</v>
      </c>
      <c r="B103" t="s">
        <v>1072</v>
      </c>
      <c r="C103">
        <v>1</v>
      </c>
      <c r="D103" s="5">
        <v>1943545</v>
      </c>
    </row>
    <row r="104" spans="1:4" x14ac:dyDescent="0.25">
      <c r="B104" t="s">
        <v>2456</v>
      </c>
      <c r="C104">
        <v>1</v>
      </c>
      <c r="D104" s="5">
        <v>2131021.06</v>
      </c>
    </row>
    <row r="105" spans="1:4" x14ac:dyDescent="0.25">
      <c r="A105" t="s">
        <v>4344</v>
      </c>
      <c r="C105">
        <v>2</v>
      </c>
      <c r="D105" s="5">
        <v>4074566.06</v>
      </c>
    </row>
    <row r="106" spans="1:4" x14ac:dyDescent="0.25">
      <c r="A106" t="s">
        <v>2664</v>
      </c>
      <c r="B106" t="s">
        <v>2661</v>
      </c>
      <c r="C106">
        <v>1</v>
      </c>
      <c r="D106" s="5">
        <v>3980550</v>
      </c>
    </row>
    <row r="107" spans="1:4" x14ac:dyDescent="0.25">
      <c r="A107" t="s">
        <v>4345</v>
      </c>
      <c r="C107">
        <v>1</v>
      </c>
      <c r="D107" s="5">
        <v>3980550</v>
      </c>
    </row>
    <row r="108" spans="1:4" x14ac:dyDescent="0.25">
      <c r="A108" t="s">
        <v>48</v>
      </c>
      <c r="B108" t="s">
        <v>45</v>
      </c>
      <c r="C108">
        <v>1</v>
      </c>
      <c r="D108" s="5">
        <v>19962970</v>
      </c>
    </row>
    <row r="109" spans="1:4" x14ac:dyDescent="0.25">
      <c r="A109" t="s">
        <v>4346</v>
      </c>
      <c r="C109">
        <v>1</v>
      </c>
      <c r="D109" s="5">
        <v>19962970</v>
      </c>
    </row>
    <row r="110" spans="1:4" x14ac:dyDescent="0.25">
      <c r="A110" t="s">
        <v>216</v>
      </c>
      <c r="B110" t="s">
        <v>219</v>
      </c>
      <c r="C110">
        <v>1</v>
      </c>
      <c r="D110" s="5">
        <v>464100</v>
      </c>
    </row>
    <row r="111" spans="1:4" x14ac:dyDescent="0.25">
      <c r="B111" t="s">
        <v>3541</v>
      </c>
      <c r="C111">
        <v>1</v>
      </c>
      <c r="D111" s="5">
        <v>6783200</v>
      </c>
    </row>
    <row r="112" spans="1:4" x14ac:dyDescent="0.25">
      <c r="A112" t="s">
        <v>4347</v>
      </c>
      <c r="C112">
        <v>2</v>
      </c>
      <c r="D112" s="5">
        <v>7247300</v>
      </c>
    </row>
    <row r="113" spans="1:4" x14ac:dyDescent="0.25">
      <c r="A113" t="s">
        <v>245</v>
      </c>
      <c r="B113" t="s">
        <v>2095</v>
      </c>
      <c r="C113">
        <v>1</v>
      </c>
      <c r="D113" s="5">
        <v>156675.4</v>
      </c>
    </row>
    <row r="114" spans="1:4" x14ac:dyDescent="0.25">
      <c r="B114" t="s">
        <v>3070</v>
      </c>
      <c r="C114">
        <v>1</v>
      </c>
      <c r="D114" s="5">
        <v>129207.4</v>
      </c>
    </row>
    <row r="115" spans="1:4" x14ac:dyDescent="0.25">
      <c r="A115" t="s">
        <v>4348</v>
      </c>
      <c r="C115">
        <v>2</v>
      </c>
      <c r="D115" s="5">
        <v>285882.8</v>
      </c>
    </row>
    <row r="116" spans="1:4" x14ac:dyDescent="0.25">
      <c r="A116" t="s">
        <v>886</v>
      </c>
      <c r="B116" t="s">
        <v>888</v>
      </c>
      <c r="C116">
        <v>1</v>
      </c>
      <c r="D116" s="5">
        <v>4956350</v>
      </c>
    </row>
    <row r="117" spans="1:4" x14ac:dyDescent="0.25">
      <c r="A117" t="s">
        <v>4349</v>
      </c>
      <c r="C117">
        <v>1</v>
      </c>
      <c r="D117" s="5">
        <v>4956350</v>
      </c>
    </row>
    <row r="118" spans="1:4" x14ac:dyDescent="0.25">
      <c r="A118" t="s">
        <v>931</v>
      </c>
      <c r="B118" t="s">
        <v>928</v>
      </c>
      <c r="C118">
        <v>1</v>
      </c>
      <c r="D118" s="5">
        <v>1808800</v>
      </c>
    </row>
    <row r="119" spans="1:4" x14ac:dyDescent="0.25">
      <c r="A119" t="s">
        <v>4350</v>
      </c>
      <c r="C119">
        <v>1</v>
      </c>
      <c r="D119" s="5">
        <v>1808800</v>
      </c>
    </row>
    <row r="120" spans="1:4" x14ac:dyDescent="0.25">
      <c r="A120" t="s">
        <v>1091</v>
      </c>
      <c r="B120" t="s">
        <v>1088</v>
      </c>
      <c r="C120">
        <v>1</v>
      </c>
      <c r="D120" s="5">
        <v>191590</v>
      </c>
    </row>
    <row r="121" spans="1:4" x14ac:dyDescent="0.25">
      <c r="A121" t="s">
        <v>4351</v>
      </c>
      <c r="C121">
        <v>1</v>
      </c>
      <c r="D121" s="5">
        <v>191590</v>
      </c>
    </row>
    <row r="122" spans="1:4" x14ac:dyDescent="0.25">
      <c r="A122" t="s">
        <v>1251</v>
      </c>
      <c r="B122" t="s">
        <v>2459</v>
      </c>
      <c r="C122">
        <v>1</v>
      </c>
      <c r="D122" s="5">
        <v>5311745.88</v>
      </c>
    </row>
    <row r="123" spans="1:4" x14ac:dyDescent="0.25">
      <c r="A123" t="s">
        <v>4352</v>
      </c>
      <c r="C123">
        <v>1</v>
      </c>
      <c r="D123" s="5">
        <v>5311745.88</v>
      </c>
    </row>
    <row r="124" spans="1:4" x14ac:dyDescent="0.25">
      <c r="A124" t="s">
        <v>1890</v>
      </c>
      <c r="B124" t="s">
        <v>1887</v>
      </c>
      <c r="C124">
        <v>1</v>
      </c>
      <c r="D124" s="5">
        <v>5109270.95</v>
      </c>
    </row>
    <row r="125" spans="1:4" x14ac:dyDescent="0.25">
      <c r="A125" t="s">
        <v>4353</v>
      </c>
      <c r="C125">
        <v>1</v>
      </c>
      <c r="D125" s="5">
        <v>5109270.95</v>
      </c>
    </row>
    <row r="126" spans="1:4" x14ac:dyDescent="0.25">
      <c r="A126" t="s">
        <v>1925</v>
      </c>
      <c r="B126" t="s">
        <v>1922</v>
      </c>
      <c r="C126">
        <v>1</v>
      </c>
      <c r="D126" s="5">
        <v>1852344.48</v>
      </c>
    </row>
    <row r="127" spans="1:4" x14ac:dyDescent="0.25">
      <c r="A127" t="s">
        <v>4354</v>
      </c>
      <c r="C127">
        <v>1</v>
      </c>
      <c r="D127" s="5">
        <v>1852344.48</v>
      </c>
    </row>
    <row r="128" spans="1:4" x14ac:dyDescent="0.25">
      <c r="A128" t="s">
        <v>2058</v>
      </c>
      <c r="B128" t="s">
        <v>2055</v>
      </c>
      <c r="C128">
        <v>1</v>
      </c>
      <c r="D128" s="5">
        <v>1731450</v>
      </c>
    </row>
    <row r="129" spans="1:4" x14ac:dyDescent="0.25">
      <c r="B129" t="s">
        <v>2511</v>
      </c>
      <c r="C129">
        <v>1</v>
      </c>
      <c r="D129" s="5">
        <v>362950</v>
      </c>
    </row>
    <row r="130" spans="1:4" x14ac:dyDescent="0.25">
      <c r="B130" t="s">
        <v>3697</v>
      </c>
      <c r="C130">
        <v>1</v>
      </c>
      <c r="D130" s="5">
        <v>362950</v>
      </c>
    </row>
    <row r="131" spans="1:4" x14ac:dyDescent="0.25">
      <c r="A131" t="s">
        <v>4355</v>
      </c>
      <c r="C131">
        <v>3</v>
      </c>
      <c r="D131" s="5">
        <v>2457350</v>
      </c>
    </row>
    <row r="132" spans="1:4" x14ac:dyDescent="0.25">
      <c r="A132" t="s">
        <v>2063</v>
      </c>
      <c r="B132" t="s">
        <v>2060</v>
      </c>
      <c r="C132">
        <v>1</v>
      </c>
      <c r="D132" s="5">
        <v>831249.51</v>
      </c>
    </row>
    <row r="133" spans="1:4" x14ac:dyDescent="0.25">
      <c r="A133" t="s">
        <v>4356</v>
      </c>
      <c r="C133">
        <v>1</v>
      </c>
      <c r="D133" s="5">
        <v>831249.51</v>
      </c>
    </row>
    <row r="134" spans="1:4" x14ac:dyDescent="0.25">
      <c r="A134" t="s">
        <v>2168</v>
      </c>
      <c r="B134" t="s">
        <v>2165</v>
      </c>
      <c r="C134">
        <v>1</v>
      </c>
      <c r="D134" s="5">
        <v>65381325.100000001</v>
      </c>
    </row>
    <row r="135" spans="1:4" x14ac:dyDescent="0.25">
      <c r="A135" t="s">
        <v>4357</v>
      </c>
      <c r="C135">
        <v>1</v>
      </c>
      <c r="D135" s="5">
        <v>65381325.100000001</v>
      </c>
    </row>
    <row r="136" spans="1:4" x14ac:dyDescent="0.25">
      <c r="A136" t="s">
        <v>2209</v>
      </c>
      <c r="B136" t="s">
        <v>2206</v>
      </c>
      <c r="C136">
        <v>1</v>
      </c>
      <c r="D136" s="5">
        <v>737151.8</v>
      </c>
    </row>
    <row r="137" spans="1:4" x14ac:dyDescent="0.25">
      <c r="A137" t="s">
        <v>4358</v>
      </c>
      <c r="C137">
        <v>1</v>
      </c>
      <c r="D137" s="5">
        <v>737151.8</v>
      </c>
    </row>
    <row r="138" spans="1:4" x14ac:dyDescent="0.25">
      <c r="A138" t="s">
        <v>2351</v>
      </c>
      <c r="B138" t="s">
        <v>2348</v>
      </c>
      <c r="C138">
        <v>1</v>
      </c>
      <c r="D138" s="5">
        <v>3604510</v>
      </c>
    </row>
    <row r="139" spans="1:4" x14ac:dyDescent="0.25">
      <c r="B139" t="s">
        <v>2498</v>
      </c>
      <c r="C139">
        <v>1</v>
      </c>
      <c r="D139" s="5">
        <v>3053540</v>
      </c>
    </row>
    <row r="140" spans="1:4" x14ac:dyDescent="0.25">
      <c r="A140" t="s">
        <v>4359</v>
      </c>
      <c r="C140">
        <v>2</v>
      </c>
      <c r="D140" s="5">
        <v>6658050</v>
      </c>
    </row>
    <row r="141" spans="1:4" x14ac:dyDescent="0.25">
      <c r="A141" t="s">
        <v>2392</v>
      </c>
      <c r="B141" t="s">
        <v>2389</v>
      </c>
      <c r="C141">
        <v>1</v>
      </c>
      <c r="D141" s="5">
        <v>8187200</v>
      </c>
    </row>
    <row r="142" spans="1:4" x14ac:dyDescent="0.25">
      <c r="A142" t="s">
        <v>4360</v>
      </c>
      <c r="C142">
        <v>1</v>
      </c>
      <c r="D142" s="5">
        <v>8187200</v>
      </c>
    </row>
    <row r="143" spans="1:4" x14ac:dyDescent="0.25">
      <c r="A143" t="s">
        <v>2490</v>
      </c>
      <c r="B143" t="s">
        <v>2487</v>
      </c>
      <c r="C143">
        <v>1</v>
      </c>
      <c r="D143" s="5">
        <v>21122500</v>
      </c>
    </row>
    <row r="144" spans="1:4" x14ac:dyDescent="0.25">
      <c r="B144" t="s">
        <v>3411</v>
      </c>
      <c r="C144">
        <v>1</v>
      </c>
      <c r="D144" s="5">
        <v>21242014.079999998</v>
      </c>
    </row>
    <row r="145" spans="1:4" x14ac:dyDescent="0.25">
      <c r="A145" t="s">
        <v>4361</v>
      </c>
      <c r="C145">
        <v>2</v>
      </c>
      <c r="D145" s="5">
        <v>42364514.079999998</v>
      </c>
    </row>
    <row r="146" spans="1:4" x14ac:dyDescent="0.25">
      <c r="A146" t="s">
        <v>3406</v>
      </c>
      <c r="B146" t="s">
        <v>3403</v>
      </c>
      <c r="C146">
        <v>1</v>
      </c>
      <c r="D146" s="5">
        <v>476535.95</v>
      </c>
    </row>
    <row r="147" spans="1:4" x14ac:dyDescent="0.25">
      <c r="A147" t="s">
        <v>4362</v>
      </c>
      <c r="C147">
        <v>1</v>
      </c>
      <c r="D147" s="5">
        <v>476535.95</v>
      </c>
    </row>
    <row r="148" spans="1:4" x14ac:dyDescent="0.25">
      <c r="A148" t="s">
        <v>3484</v>
      </c>
      <c r="B148" t="s">
        <v>3481</v>
      </c>
      <c r="C148">
        <v>1</v>
      </c>
      <c r="D148" s="5">
        <v>1225700</v>
      </c>
    </row>
    <row r="149" spans="1:4" x14ac:dyDescent="0.25">
      <c r="A149" t="s">
        <v>4363</v>
      </c>
      <c r="C149">
        <v>1</v>
      </c>
      <c r="D149" s="5">
        <v>1225700</v>
      </c>
    </row>
    <row r="150" spans="1:4" x14ac:dyDescent="0.25">
      <c r="A150" t="s">
        <v>3713</v>
      </c>
      <c r="B150" t="s">
        <v>3710</v>
      </c>
      <c r="C150">
        <v>1</v>
      </c>
      <c r="D150" s="5">
        <v>1344581</v>
      </c>
    </row>
    <row r="151" spans="1:4" x14ac:dyDescent="0.25">
      <c r="B151" t="s">
        <v>3715</v>
      </c>
      <c r="C151">
        <v>1</v>
      </c>
      <c r="D151" s="5">
        <v>1344581</v>
      </c>
    </row>
    <row r="152" spans="1:4" x14ac:dyDescent="0.25">
      <c r="A152" t="s">
        <v>4364</v>
      </c>
      <c r="C152">
        <v>2</v>
      </c>
      <c r="D152" s="5">
        <v>2689162</v>
      </c>
    </row>
    <row r="153" spans="1:4" x14ac:dyDescent="0.25">
      <c r="A153" t="s">
        <v>3745</v>
      </c>
      <c r="B153" t="s">
        <v>4153</v>
      </c>
      <c r="C153">
        <v>1</v>
      </c>
      <c r="D153" s="5">
        <v>7461774.8099999996</v>
      </c>
    </row>
    <row r="154" spans="1:4" x14ac:dyDescent="0.25">
      <c r="A154" t="s">
        <v>4365</v>
      </c>
      <c r="C154">
        <v>1</v>
      </c>
      <c r="D154" s="5">
        <v>7461774.8099999996</v>
      </c>
    </row>
    <row r="155" spans="1:4" x14ac:dyDescent="0.25">
      <c r="A155" t="s">
        <v>3778</v>
      </c>
      <c r="B155" t="s">
        <v>3775</v>
      </c>
      <c r="C155">
        <v>1</v>
      </c>
      <c r="D155" s="5">
        <v>32200293.300000001</v>
      </c>
    </row>
    <row r="156" spans="1:4" x14ac:dyDescent="0.25">
      <c r="A156" t="s">
        <v>4366</v>
      </c>
      <c r="C156">
        <v>1</v>
      </c>
      <c r="D156" s="5">
        <v>32200293.300000001</v>
      </c>
    </row>
    <row r="157" spans="1:4" x14ac:dyDescent="0.25">
      <c r="A157" t="s">
        <v>3894</v>
      </c>
      <c r="B157" t="s">
        <v>3891</v>
      </c>
      <c r="C157">
        <v>1</v>
      </c>
      <c r="D157" s="5">
        <v>95200</v>
      </c>
    </row>
    <row r="158" spans="1:4" x14ac:dyDescent="0.25">
      <c r="A158" t="s">
        <v>4367</v>
      </c>
      <c r="C158">
        <v>1</v>
      </c>
      <c r="D158" s="5">
        <v>95200</v>
      </c>
    </row>
    <row r="159" spans="1:4" x14ac:dyDescent="0.25">
      <c r="A159" t="s">
        <v>3948</v>
      </c>
      <c r="B159" t="s">
        <v>3945</v>
      </c>
      <c r="C159">
        <v>1</v>
      </c>
      <c r="D159" s="5">
        <v>4849250</v>
      </c>
    </row>
    <row r="160" spans="1:4" x14ac:dyDescent="0.25">
      <c r="A160" t="s">
        <v>4368</v>
      </c>
      <c r="C160">
        <v>1</v>
      </c>
      <c r="D160" s="5">
        <v>4849250</v>
      </c>
    </row>
    <row r="161" spans="1:4" x14ac:dyDescent="0.25">
      <c r="A161" t="s">
        <v>3974</v>
      </c>
      <c r="B161" t="s">
        <v>3971</v>
      </c>
      <c r="C161">
        <v>1</v>
      </c>
      <c r="D161" s="5">
        <v>540570.59</v>
      </c>
    </row>
    <row r="162" spans="1:4" x14ac:dyDescent="0.25">
      <c r="A162" t="s">
        <v>4369</v>
      </c>
      <c r="C162">
        <v>1</v>
      </c>
      <c r="D162" s="5">
        <v>540570.59</v>
      </c>
    </row>
    <row r="163" spans="1:4" x14ac:dyDescent="0.25">
      <c r="A163" t="s">
        <v>4015</v>
      </c>
      <c r="B163" t="s">
        <v>4012</v>
      </c>
      <c r="C163">
        <v>1</v>
      </c>
      <c r="D163" s="5">
        <v>2649805.13</v>
      </c>
    </row>
    <row r="164" spans="1:4" x14ac:dyDescent="0.25">
      <c r="A164" t="s">
        <v>4370</v>
      </c>
      <c r="C164">
        <v>1</v>
      </c>
      <c r="D164" s="5">
        <v>2649805.13</v>
      </c>
    </row>
    <row r="165" spans="1:4" x14ac:dyDescent="0.25">
      <c r="A165" t="s">
        <v>4066</v>
      </c>
      <c r="B165" t="s">
        <v>4063</v>
      </c>
      <c r="C165">
        <v>1</v>
      </c>
      <c r="D165" s="5">
        <v>650335</v>
      </c>
    </row>
    <row r="166" spans="1:4" x14ac:dyDescent="0.25">
      <c r="B166" t="s">
        <v>4068</v>
      </c>
      <c r="C166">
        <v>1</v>
      </c>
      <c r="D166" s="5">
        <v>650335</v>
      </c>
    </row>
    <row r="167" spans="1:4" x14ac:dyDescent="0.25">
      <c r="B167" t="s">
        <v>4216</v>
      </c>
      <c r="C167">
        <v>1</v>
      </c>
      <c r="D167" s="5">
        <v>767550</v>
      </c>
    </row>
    <row r="168" spans="1:4" x14ac:dyDescent="0.25">
      <c r="A168" t="s">
        <v>4371</v>
      </c>
      <c r="C168">
        <v>3</v>
      </c>
      <c r="D168" s="5">
        <v>2068220</v>
      </c>
    </row>
    <row r="169" spans="1:4" x14ac:dyDescent="0.25">
      <c r="A169" t="s">
        <v>4372</v>
      </c>
      <c r="C169">
        <v>110</v>
      </c>
      <c r="D169" s="5">
        <v>880280166.76999986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CF33D-D126-4947-AF2C-82F44549BDDD}">
  <dimension ref="A1:D43"/>
  <sheetViews>
    <sheetView workbookViewId="0">
      <selection activeCell="D7" sqref="D7"/>
    </sheetView>
  </sheetViews>
  <sheetFormatPr baseColWidth="10" defaultColWidth="9.140625" defaultRowHeight="15" x14ac:dyDescent="0.25"/>
  <cols>
    <col min="1" max="1" width="90.42578125" bestFit="1" customWidth="1"/>
    <col min="2" max="2" width="20.42578125" bestFit="1" customWidth="1"/>
    <col min="3" max="3" width="17.85546875" bestFit="1" customWidth="1"/>
    <col min="4" max="4" width="15.140625" bestFit="1" customWidth="1"/>
    <col min="5" max="26" width="12.28515625" bestFit="1" customWidth="1"/>
    <col min="27" max="34" width="13.85546875" bestFit="1" customWidth="1"/>
    <col min="35" max="40" width="15" bestFit="1" customWidth="1"/>
    <col min="41" max="41" width="12.5703125" bestFit="1" customWidth="1"/>
  </cols>
  <sheetData>
    <row r="1" spans="1:4" x14ac:dyDescent="0.25">
      <c r="A1" s="4" t="s">
        <v>26</v>
      </c>
      <c r="B1" t="s">
        <v>4314</v>
      </c>
    </row>
    <row r="3" spans="1:4" x14ac:dyDescent="0.25">
      <c r="A3" s="4" t="s">
        <v>19</v>
      </c>
      <c r="B3" s="4" t="s">
        <v>11</v>
      </c>
      <c r="C3" t="s">
        <v>4373</v>
      </c>
      <c r="D3" t="s">
        <v>4316</v>
      </c>
    </row>
    <row r="4" spans="1:4" x14ac:dyDescent="0.25">
      <c r="A4" t="s">
        <v>1635</v>
      </c>
      <c r="B4" t="s">
        <v>1632</v>
      </c>
      <c r="C4">
        <v>1</v>
      </c>
      <c r="D4" s="5">
        <v>286599.59999999998</v>
      </c>
    </row>
    <row r="5" spans="1:4" x14ac:dyDescent="0.25">
      <c r="A5" t="s">
        <v>4374</v>
      </c>
      <c r="C5">
        <v>1</v>
      </c>
      <c r="D5" s="5">
        <v>286599.59999999998</v>
      </c>
    </row>
    <row r="6" spans="1:4" x14ac:dyDescent="0.25">
      <c r="A6" t="s">
        <v>144</v>
      </c>
      <c r="B6" t="s">
        <v>2495</v>
      </c>
      <c r="C6">
        <v>1</v>
      </c>
      <c r="D6" s="5">
        <v>1497215.16</v>
      </c>
    </row>
    <row r="7" spans="1:4" x14ac:dyDescent="0.25">
      <c r="B7" t="s">
        <v>3458</v>
      </c>
      <c r="C7">
        <v>1</v>
      </c>
      <c r="D7" s="5">
        <v>245996.79999999999</v>
      </c>
    </row>
    <row r="8" spans="1:4" x14ac:dyDescent="0.25">
      <c r="A8" t="s">
        <v>4375</v>
      </c>
      <c r="C8">
        <v>2</v>
      </c>
      <c r="D8" s="5">
        <v>1743211.96</v>
      </c>
    </row>
    <row r="9" spans="1:4" x14ac:dyDescent="0.25">
      <c r="A9" t="s">
        <v>1171</v>
      </c>
      <c r="B9" t="s">
        <v>1168</v>
      </c>
      <c r="C9">
        <v>1</v>
      </c>
      <c r="D9" s="5">
        <v>418180</v>
      </c>
    </row>
    <row r="10" spans="1:4" x14ac:dyDescent="0.25">
      <c r="A10" t="s">
        <v>4320</v>
      </c>
      <c r="C10">
        <v>1</v>
      </c>
      <c r="D10" s="5">
        <v>418180</v>
      </c>
    </row>
    <row r="11" spans="1:4" x14ac:dyDescent="0.25">
      <c r="A11" t="s">
        <v>3605</v>
      </c>
      <c r="B11" t="s">
        <v>3602</v>
      </c>
      <c r="C11">
        <v>1</v>
      </c>
      <c r="D11" s="5">
        <v>82110</v>
      </c>
    </row>
    <row r="12" spans="1:4" x14ac:dyDescent="0.25">
      <c r="A12" t="s">
        <v>4325</v>
      </c>
      <c r="C12">
        <v>1</v>
      </c>
      <c r="D12" s="5">
        <v>82110</v>
      </c>
    </row>
    <row r="13" spans="1:4" x14ac:dyDescent="0.25">
      <c r="A13" t="s">
        <v>1166</v>
      </c>
      <c r="B13" t="s">
        <v>1163</v>
      </c>
      <c r="C13">
        <v>1</v>
      </c>
      <c r="D13" s="5">
        <v>2013361</v>
      </c>
    </row>
    <row r="14" spans="1:4" x14ac:dyDescent="0.25">
      <c r="B14" t="s">
        <v>2760</v>
      </c>
      <c r="C14">
        <v>1</v>
      </c>
      <c r="D14" s="5">
        <v>6972388.5</v>
      </c>
    </row>
    <row r="15" spans="1:4" x14ac:dyDescent="0.25">
      <c r="A15" t="s">
        <v>4327</v>
      </c>
      <c r="C15">
        <v>2</v>
      </c>
      <c r="D15" s="5">
        <v>8985749.5</v>
      </c>
    </row>
    <row r="16" spans="1:4" x14ac:dyDescent="0.25">
      <c r="A16" t="s">
        <v>2283</v>
      </c>
      <c r="B16" t="s">
        <v>2280</v>
      </c>
      <c r="C16">
        <v>1</v>
      </c>
      <c r="D16" s="5">
        <v>4069800</v>
      </c>
    </row>
    <row r="17" spans="1:4" x14ac:dyDescent="0.25">
      <c r="A17" t="s">
        <v>4376</v>
      </c>
      <c r="C17">
        <v>1</v>
      </c>
      <c r="D17" s="5">
        <v>4069800</v>
      </c>
    </row>
    <row r="18" spans="1:4" x14ac:dyDescent="0.25">
      <c r="A18" t="s">
        <v>1144</v>
      </c>
      <c r="B18" t="s">
        <v>1141</v>
      </c>
      <c r="C18">
        <v>1</v>
      </c>
      <c r="D18" s="5">
        <v>877644.04</v>
      </c>
    </row>
    <row r="19" spans="1:4" x14ac:dyDescent="0.25">
      <c r="B19" t="s">
        <v>1961</v>
      </c>
      <c r="C19">
        <v>1</v>
      </c>
      <c r="D19" s="5">
        <v>2727475.24</v>
      </c>
    </row>
    <row r="20" spans="1:4" x14ac:dyDescent="0.25">
      <c r="B20" t="s">
        <v>1964</v>
      </c>
      <c r="C20">
        <v>1</v>
      </c>
      <c r="D20" s="5">
        <v>2727475.24</v>
      </c>
    </row>
    <row r="21" spans="1:4" x14ac:dyDescent="0.25">
      <c r="B21" t="s">
        <v>1967</v>
      </c>
      <c r="C21">
        <v>1</v>
      </c>
      <c r="D21" s="5">
        <v>4091212.86</v>
      </c>
    </row>
    <row r="22" spans="1:4" x14ac:dyDescent="0.25">
      <c r="A22" t="s">
        <v>4377</v>
      </c>
      <c r="C22">
        <v>4</v>
      </c>
      <c r="D22" s="5">
        <v>10423807.380000001</v>
      </c>
    </row>
    <row r="23" spans="1:4" x14ac:dyDescent="0.25">
      <c r="A23" t="s">
        <v>2444</v>
      </c>
      <c r="B23" t="s">
        <v>2441</v>
      </c>
      <c r="C23">
        <v>1</v>
      </c>
      <c r="D23" s="5">
        <v>23819654.039999999</v>
      </c>
    </row>
    <row r="24" spans="1:4" x14ac:dyDescent="0.25">
      <c r="B24" t="s">
        <v>2446</v>
      </c>
      <c r="C24">
        <v>1</v>
      </c>
      <c r="D24" s="5">
        <v>100881259.92</v>
      </c>
    </row>
    <row r="25" spans="1:4" x14ac:dyDescent="0.25">
      <c r="B25" t="s">
        <v>2449</v>
      </c>
      <c r="C25">
        <v>1</v>
      </c>
      <c r="D25" s="5">
        <v>100881259.92</v>
      </c>
    </row>
    <row r="26" spans="1:4" x14ac:dyDescent="0.25">
      <c r="A26" t="s">
        <v>4378</v>
      </c>
      <c r="C26">
        <v>3</v>
      </c>
      <c r="D26" s="5">
        <v>225582173.88</v>
      </c>
    </row>
    <row r="27" spans="1:4" x14ac:dyDescent="0.25">
      <c r="A27" t="s">
        <v>469</v>
      </c>
      <c r="B27" t="s">
        <v>466</v>
      </c>
      <c r="C27">
        <v>1</v>
      </c>
      <c r="D27" s="5">
        <v>809200</v>
      </c>
    </row>
    <row r="28" spans="1:4" x14ac:dyDescent="0.25">
      <c r="B28" t="s">
        <v>471</v>
      </c>
      <c r="C28">
        <v>1</v>
      </c>
      <c r="D28" s="5">
        <v>5057500</v>
      </c>
    </row>
    <row r="29" spans="1:4" x14ac:dyDescent="0.25">
      <c r="B29" t="s">
        <v>474</v>
      </c>
      <c r="C29">
        <v>1</v>
      </c>
      <c r="D29" s="5">
        <v>85680</v>
      </c>
    </row>
    <row r="30" spans="1:4" x14ac:dyDescent="0.25">
      <c r="B30" t="s">
        <v>477</v>
      </c>
      <c r="C30">
        <v>1</v>
      </c>
      <c r="D30" s="5">
        <v>2796500</v>
      </c>
    </row>
    <row r="31" spans="1:4" x14ac:dyDescent="0.25">
      <c r="A31" t="s">
        <v>4379</v>
      </c>
      <c r="C31">
        <v>4</v>
      </c>
      <c r="D31" s="5">
        <v>8748880</v>
      </c>
    </row>
    <row r="32" spans="1:4" x14ac:dyDescent="0.25">
      <c r="A32" t="s">
        <v>704</v>
      </c>
      <c r="B32" t="s">
        <v>4123</v>
      </c>
      <c r="C32">
        <v>1</v>
      </c>
      <c r="D32" s="5">
        <v>218971.9</v>
      </c>
    </row>
    <row r="33" spans="1:4" x14ac:dyDescent="0.25">
      <c r="A33" t="s">
        <v>4380</v>
      </c>
      <c r="C33">
        <v>1</v>
      </c>
      <c r="D33" s="5">
        <v>218971.9</v>
      </c>
    </row>
    <row r="34" spans="1:4" x14ac:dyDescent="0.25">
      <c r="A34" t="s">
        <v>3055</v>
      </c>
      <c r="B34" t="s">
        <v>3053</v>
      </c>
      <c r="C34">
        <v>1</v>
      </c>
      <c r="D34" s="5">
        <v>4536875</v>
      </c>
    </row>
    <row r="35" spans="1:4" x14ac:dyDescent="0.25">
      <c r="B35" t="s">
        <v>3663</v>
      </c>
      <c r="C35">
        <v>1</v>
      </c>
      <c r="D35" s="5">
        <v>141610</v>
      </c>
    </row>
    <row r="36" spans="1:4" x14ac:dyDescent="0.25">
      <c r="A36" t="s">
        <v>4381</v>
      </c>
      <c r="C36">
        <v>2</v>
      </c>
      <c r="D36" s="5">
        <v>4678485</v>
      </c>
    </row>
    <row r="37" spans="1:4" x14ac:dyDescent="0.25">
      <c r="A37" t="s">
        <v>588</v>
      </c>
      <c r="B37" t="s">
        <v>2887</v>
      </c>
      <c r="C37">
        <v>1</v>
      </c>
      <c r="D37" s="5">
        <v>884029</v>
      </c>
    </row>
    <row r="38" spans="1:4" x14ac:dyDescent="0.25">
      <c r="A38" t="s">
        <v>4382</v>
      </c>
      <c r="C38">
        <v>1</v>
      </c>
      <c r="D38" s="5">
        <v>884029</v>
      </c>
    </row>
    <row r="39" spans="1:4" x14ac:dyDescent="0.25">
      <c r="A39" t="s">
        <v>1991</v>
      </c>
      <c r="B39" t="s">
        <v>1988</v>
      </c>
      <c r="C39">
        <v>1</v>
      </c>
      <c r="D39" s="5">
        <v>9418160.4600000009</v>
      </c>
    </row>
    <row r="40" spans="1:4" x14ac:dyDescent="0.25">
      <c r="A40" t="s">
        <v>4383</v>
      </c>
      <c r="C40">
        <v>1</v>
      </c>
      <c r="D40" s="5">
        <v>9418160.4600000009</v>
      </c>
    </row>
    <row r="41" spans="1:4" x14ac:dyDescent="0.25">
      <c r="A41" t="s">
        <v>2431</v>
      </c>
      <c r="B41" t="s">
        <v>4207</v>
      </c>
      <c r="C41">
        <v>1</v>
      </c>
      <c r="D41" s="5">
        <v>19759533.5</v>
      </c>
    </row>
    <row r="42" spans="1:4" x14ac:dyDescent="0.25">
      <c r="A42" t="s">
        <v>4384</v>
      </c>
      <c r="C42">
        <v>1</v>
      </c>
      <c r="D42" s="5">
        <v>19759533.5</v>
      </c>
    </row>
    <row r="43" spans="1:4" x14ac:dyDescent="0.25">
      <c r="A43" t="s">
        <v>4372</v>
      </c>
      <c r="C43">
        <v>25</v>
      </c>
      <c r="D43" s="5">
        <v>295299692.18000001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E1623-CC19-43F3-B7A4-8F044806B697}">
  <dimension ref="A1:C257"/>
  <sheetViews>
    <sheetView topLeftCell="A11" workbookViewId="0">
      <selection activeCell="C23" sqref="C23"/>
    </sheetView>
  </sheetViews>
  <sheetFormatPr baseColWidth="10" defaultColWidth="9.140625" defaultRowHeight="15" x14ac:dyDescent="0.25"/>
  <cols>
    <col min="1" max="1" width="72.140625" bestFit="1" customWidth="1"/>
    <col min="2" max="2" width="20.42578125" bestFit="1" customWidth="1"/>
    <col min="3" max="3" width="15.140625" bestFit="1" customWidth="1"/>
    <col min="4" max="4" width="17.7109375" bestFit="1" customWidth="1"/>
    <col min="5" max="283" width="6.28515625" bestFit="1" customWidth="1"/>
    <col min="284" max="284" width="13.5703125" bestFit="1" customWidth="1"/>
    <col min="285" max="285" width="13" bestFit="1" customWidth="1"/>
    <col min="286" max="287" width="14" bestFit="1" customWidth="1"/>
    <col min="288" max="288" width="13" bestFit="1" customWidth="1"/>
    <col min="289" max="291" width="11.42578125" bestFit="1" customWidth="1"/>
    <col min="292" max="292" width="13" bestFit="1" customWidth="1"/>
    <col min="293" max="293" width="11.42578125" bestFit="1" customWidth="1"/>
    <col min="294" max="294" width="13" bestFit="1" customWidth="1"/>
    <col min="295" max="296" width="11.42578125" bestFit="1" customWidth="1"/>
    <col min="297" max="297" width="10.42578125" bestFit="1" customWidth="1"/>
    <col min="298" max="300" width="11.42578125" bestFit="1" customWidth="1"/>
    <col min="301" max="301" width="13" bestFit="1" customWidth="1"/>
    <col min="302" max="302" width="11.42578125" bestFit="1" customWidth="1"/>
    <col min="303" max="303" width="10.42578125" bestFit="1" customWidth="1"/>
    <col min="304" max="307" width="11.42578125" bestFit="1" customWidth="1"/>
    <col min="308" max="308" width="13" bestFit="1" customWidth="1"/>
    <col min="309" max="309" width="11.42578125" bestFit="1" customWidth="1"/>
    <col min="310" max="310" width="13" bestFit="1" customWidth="1"/>
    <col min="311" max="311" width="10.42578125" bestFit="1" customWidth="1"/>
    <col min="312" max="312" width="11.42578125" bestFit="1" customWidth="1"/>
    <col min="313" max="313" width="13" bestFit="1" customWidth="1"/>
    <col min="314" max="315" width="11.42578125" bestFit="1" customWidth="1"/>
    <col min="316" max="316" width="10.42578125" bestFit="1" customWidth="1"/>
    <col min="317" max="318" width="11.42578125" bestFit="1" customWidth="1"/>
    <col min="319" max="319" width="13" bestFit="1" customWidth="1"/>
    <col min="320" max="320" width="11.42578125" bestFit="1" customWidth="1"/>
    <col min="321" max="325" width="13" bestFit="1" customWidth="1"/>
    <col min="326" max="326" width="11.42578125" bestFit="1" customWidth="1"/>
    <col min="327" max="329" width="13" bestFit="1" customWidth="1"/>
    <col min="330" max="330" width="11.42578125" bestFit="1" customWidth="1"/>
    <col min="331" max="331" width="10.42578125" bestFit="1" customWidth="1"/>
    <col min="332" max="332" width="13" bestFit="1" customWidth="1"/>
    <col min="333" max="334" width="11.42578125" bestFit="1" customWidth="1"/>
    <col min="335" max="335" width="13" bestFit="1" customWidth="1"/>
    <col min="336" max="336" width="15" bestFit="1" customWidth="1"/>
    <col min="337" max="337" width="11.42578125" bestFit="1" customWidth="1"/>
    <col min="338" max="338" width="14" bestFit="1" customWidth="1"/>
    <col min="339" max="340" width="13" bestFit="1" customWidth="1"/>
    <col min="341" max="341" width="14" bestFit="1" customWidth="1"/>
    <col min="342" max="343" width="11.42578125" bestFit="1" customWidth="1"/>
    <col min="344" max="344" width="13" bestFit="1" customWidth="1"/>
    <col min="345" max="345" width="11.42578125" bestFit="1" customWidth="1"/>
    <col min="346" max="346" width="13" bestFit="1" customWidth="1"/>
    <col min="347" max="347" width="14" bestFit="1" customWidth="1"/>
    <col min="348" max="351" width="13" bestFit="1" customWidth="1"/>
    <col min="352" max="352" width="11.42578125" bestFit="1" customWidth="1"/>
    <col min="353" max="353" width="13" bestFit="1" customWidth="1"/>
    <col min="354" max="354" width="14" bestFit="1" customWidth="1"/>
    <col min="355" max="357" width="11.42578125" bestFit="1" customWidth="1"/>
    <col min="358" max="359" width="14" bestFit="1" customWidth="1"/>
    <col min="360" max="360" width="13" bestFit="1" customWidth="1"/>
    <col min="361" max="364" width="11.42578125" bestFit="1" customWidth="1"/>
    <col min="365" max="365" width="13" bestFit="1" customWidth="1"/>
    <col min="366" max="366" width="11.42578125" bestFit="1" customWidth="1"/>
    <col min="367" max="367" width="13" bestFit="1" customWidth="1"/>
    <col min="368" max="368" width="11.42578125" bestFit="1" customWidth="1"/>
    <col min="369" max="369" width="13" bestFit="1" customWidth="1"/>
    <col min="370" max="371" width="11.42578125" bestFit="1" customWidth="1"/>
    <col min="372" max="373" width="13" bestFit="1" customWidth="1"/>
    <col min="374" max="374" width="14" bestFit="1" customWidth="1"/>
    <col min="375" max="375" width="11.42578125" bestFit="1" customWidth="1"/>
    <col min="376" max="376" width="13" bestFit="1" customWidth="1"/>
    <col min="377" max="378" width="11.42578125" bestFit="1" customWidth="1"/>
    <col min="379" max="380" width="13" bestFit="1" customWidth="1"/>
    <col min="381" max="383" width="11.42578125" bestFit="1" customWidth="1"/>
    <col min="384" max="384" width="13" bestFit="1" customWidth="1"/>
    <col min="385" max="385" width="11.42578125" bestFit="1" customWidth="1"/>
    <col min="386" max="390" width="13" bestFit="1" customWidth="1"/>
    <col min="391" max="394" width="11.42578125" bestFit="1" customWidth="1"/>
    <col min="395" max="396" width="13" bestFit="1" customWidth="1"/>
    <col min="397" max="400" width="11.42578125" bestFit="1" customWidth="1"/>
    <col min="401" max="401" width="13" bestFit="1" customWidth="1"/>
    <col min="402" max="404" width="11.42578125" bestFit="1" customWidth="1"/>
    <col min="405" max="405" width="13" bestFit="1" customWidth="1"/>
    <col min="406" max="406" width="11.42578125" bestFit="1" customWidth="1"/>
    <col min="407" max="407" width="13" bestFit="1" customWidth="1"/>
    <col min="408" max="409" width="11.42578125" bestFit="1" customWidth="1"/>
    <col min="410" max="411" width="13" bestFit="1" customWidth="1"/>
    <col min="412" max="413" width="11.42578125" bestFit="1" customWidth="1"/>
    <col min="414" max="414" width="10.42578125" bestFit="1" customWidth="1"/>
    <col min="415" max="418" width="11.42578125" bestFit="1" customWidth="1"/>
    <col min="419" max="420" width="13" bestFit="1" customWidth="1"/>
    <col min="421" max="421" width="14" bestFit="1" customWidth="1"/>
    <col min="422" max="422" width="10.42578125" bestFit="1" customWidth="1"/>
    <col min="423" max="423" width="13" bestFit="1" customWidth="1"/>
    <col min="424" max="424" width="14" bestFit="1" customWidth="1"/>
    <col min="425" max="425" width="11.42578125" bestFit="1" customWidth="1"/>
    <col min="426" max="427" width="13" bestFit="1" customWidth="1"/>
    <col min="428" max="428" width="11.42578125" bestFit="1" customWidth="1"/>
    <col min="429" max="429" width="10.42578125" bestFit="1" customWidth="1"/>
    <col min="430" max="430" width="14" bestFit="1" customWidth="1"/>
    <col min="431" max="433" width="13" bestFit="1" customWidth="1"/>
    <col min="434" max="434" width="11.42578125" bestFit="1" customWidth="1"/>
    <col min="435" max="435" width="14" bestFit="1" customWidth="1"/>
    <col min="436" max="436" width="13" bestFit="1" customWidth="1"/>
    <col min="437" max="438" width="11.42578125" bestFit="1" customWidth="1"/>
    <col min="439" max="439" width="13" bestFit="1" customWidth="1"/>
    <col min="440" max="442" width="11.42578125" bestFit="1" customWidth="1"/>
    <col min="443" max="443" width="10.42578125" bestFit="1" customWidth="1"/>
    <col min="444" max="444" width="11.42578125" bestFit="1" customWidth="1"/>
    <col min="445" max="445" width="13" bestFit="1" customWidth="1"/>
    <col min="446" max="446" width="11.42578125" bestFit="1" customWidth="1"/>
    <col min="447" max="448" width="13" bestFit="1" customWidth="1"/>
    <col min="449" max="449" width="11.42578125" bestFit="1" customWidth="1"/>
    <col min="450" max="450" width="13" bestFit="1" customWidth="1"/>
    <col min="451" max="453" width="11.42578125" bestFit="1" customWidth="1"/>
    <col min="454" max="456" width="13" bestFit="1" customWidth="1"/>
    <col min="457" max="457" width="11.42578125" bestFit="1" customWidth="1"/>
    <col min="458" max="459" width="13" bestFit="1" customWidth="1"/>
    <col min="460" max="460" width="11.42578125" bestFit="1" customWidth="1"/>
    <col min="461" max="465" width="13" bestFit="1" customWidth="1"/>
    <col min="466" max="466" width="11.42578125" bestFit="1" customWidth="1"/>
    <col min="467" max="470" width="13" bestFit="1" customWidth="1"/>
    <col min="471" max="474" width="11.42578125" bestFit="1" customWidth="1"/>
    <col min="475" max="475" width="10.42578125" bestFit="1" customWidth="1"/>
    <col min="476" max="477" width="11.42578125" bestFit="1" customWidth="1"/>
    <col min="478" max="478" width="10.42578125" bestFit="1" customWidth="1"/>
    <col min="479" max="479" width="11.42578125" bestFit="1" customWidth="1"/>
    <col min="480" max="480" width="13" bestFit="1" customWidth="1"/>
    <col min="481" max="481" width="11.42578125" bestFit="1" customWidth="1"/>
    <col min="482" max="482" width="13" bestFit="1" customWidth="1"/>
    <col min="483" max="483" width="11.42578125" bestFit="1" customWidth="1"/>
    <col min="484" max="484" width="13" bestFit="1" customWidth="1"/>
    <col min="485" max="485" width="11.42578125" bestFit="1" customWidth="1"/>
    <col min="486" max="486" width="13" bestFit="1" customWidth="1"/>
    <col min="487" max="487" width="11.42578125" bestFit="1" customWidth="1"/>
    <col min="488" max="490" width="13" bestFit="1" customWidth="1"/>
    <col min="491" max="491" width="10.42578125" bestFit="1" customWidth="1"/>
    <col min="492" max="492" width="13" bestFit="1" customWidth="1"/>
    <col min="493" max="493" width="11.42578125" bestFit="1" customWidth="1"/>
    <col min="494" max="494" width="14" bestFit="1" customWidth="1"/>
    <col min="495" max="495" width="11.42578125" bestFit="1" customWidth="1"/>
    <col min="496" max="496" width="13" bestFit="1" customWidth="1"/>
    <col min="497" max="497" width="11.42578125" bestFit="1" customWidth="1"/>
    <col min="498" max="499" width="13" bestFit="1" customWidth="1"/>
    <col min="500" max="500" width="14" bestFit="1" customWidth="1"/>
    <col min="501" max="501" width="11.42578125" bestFit="1" customWidth="1"/>
    <col min="502" max="502" width="14" bestFit="1" customWidth="1"/>
    <col min="503" max="504" width="13" bestFit="1" customWidth="1"/>
    <col min="505" max="506" width="11.42578125" bestFit="1" customWidth="1"/>
    <col min="507" max="509" width="13" bestFit="1" customWidth="1"/>
    <col min="510" max="511" width="11.42578125" bestFit="1" customWidth="1"/>
    <col min="512" max="512" width="13" bestFit="1" customWidth="1"/>
    <col min="513" max="513" width="11.42578125" bestFit="1" customWidth="1"/>
    <col min="514" max="514" width="13" bestFit="1" customWidth="1"/>
    <col min="515" max="515" width="14" bestFit="1" customWidth="1"/>
    <col min="516" max="517" width="11.42578125" bestFit="1" customWidth="1"/>
    <col min="518" max="518" width="14" bestFit="1" customWidth="1"/>
    <col min="519" max="519" width="13" bestFit="1" customWidth="1"/>
    <col min="520" max="520" width="14" bestFit="1" customWidth="1"/>
    <col min="521" max="521" width="11.42578125" bestFit="1" customWidth="1"/>
    <col min="522" max="522" width="13" bestFit="1" customWidth="1"/>
    <col min="523" max="523" width="10.42578125" bestFit="1" customWidth="1"/>
    <col min="524" max="524" width="11.42578125" bestFit="1" customWidth="1"/>
    <col min="525" max="525" width="13" bestFit="1" customWidth="1"/>
    <col min="526" max="526" width="11.42578125" bestFit="1" customWidth="1"/>
    <col min="527" max="527" width="13" bestFit="1" customWidth="1"/>
    <col min="528" max="531" width="11.42578125" bestFit="1" customWidth="1"/>
    <col min="532" max="532" width="13" bestFit="1" customWidth="1"/>
    <col min="533" max="533" width="11.42578125" bestFit="1" customWidth="1"/>
    <col min="534" max="534" width="13" bestFit="1" customWidth="1"/>
    <col min="535" max="536" width="11.42578125" bestFit="1" customWidth="1"/>
    <col min="537" max="537" width="13" bestFit="1" customWidth="1"/>
    <col min="538" max="538" width="11.42578125" bestFit="1" customWidth="1"/>
    <col min="539" max="539" width="13" bestFit="1" customWidth="1"/>
    <col min="540" max="540" width="11.42578125" bestFit="1" customWidth="1"/>
    <col min="541" max="542" width="13" bestFit="1" customWidth="1"/>
    <col min="543" max="543" width="11.42578125" bestFit="1" customWidth="1"/>
    <col min="544" max="545" width="13" bestFit="1" customWidth="1"/>
    <col min="546" max="546" width="15" bestFit="1" customWidth="1"/>
    <col min="547" max="548" width="10.42578125" bestFit="1" customWidth="1"/>
    <col min="549" max="549" width="11.42578125" bestFit="1" customWidth="1"/>
    <col min="550" max="554" width="13" bestFit="1" customWidth="1"/>
    <col min="555" max="555" width="14" bestFit="1" customWidth="1"/>
    <col min="556" max="557" width="13" bestFit="1" customWidth="1"/>
    <col min="558" max="558" width="14" bestFit="1" customWidth="1"/>
    <col min="559" max="559" width="13" bestFit="1" customWidth="1"/>
    <col min="560" max="560" width="11.42578125" bestFit="1" customWidth="1"/>
    <col min="561" max="561" width="13" bestFit="1" customWidth="1"/>
    <col min="562" max="562" width="11.42578125" bestFit="1" customWidth="1"/>
    <col min="563" max="563" width="13" bestFit="1" customWidth="1"/>
    <col min="564" max="565" width="11.42578125" bestFit="1" customWidth="1"/>
    <col min="566" max="566" width="24.7109375" bestFit="1" customWidth="1"/>
    <col min="567" max="567" width="18.5703125" bestFit="1" customWidth="1"/>
  </cols>
  <sheetData>
    <row r="1" spans="1:3" x14ac:dyDescent="0.25">
      <c r="A1" s="4" t="s">
        <v>3</v>
      </c>
      <c r="B1" t="s">
        <v>4314</v>
      </c>
    </row>
    <row r="3" spans="1:3" x14ac:dyDescent="0.25">
      <c r="A3" s="4" t="s">
        <v>4385</v>
      </c>
      <c r="B3" t="s">
        <v>4386</v>
      </c>
      <c r="C3" t="s">
        <v>4316</v>
      </c>
    </row>
    <row r="4" spans="1:3" x14ac:dyDescent="0.25">
      <c r="A4" s="18" t="s">
        <v>778</v>
      </c>
      <c r="B4">
        <v>1</v>
      </c>
      <c r="C4" s="5">
        <v>3837750</v>
      </c>
    </row>
    <row r="5" spans="1:3" x14ac:dyDescent="0.25">
      <c r="A5" s="19" t="s">
        <v>775</v>
      </c>
      <c r="B5">
        <v>1</v>
      </c>
      <c r="C5" s="5">
        <v>3837750</v>
      </c>
    </row>
    <row r="6" spans="1:3" x14ac:dyDescent="0.25">
      <c r="A6" s="18" t="s">
        <v>1973</v>
      </c>
      <c r="B6">
        <v>2</v>
      </c>
      <c r="C6" s="5">
        <v>938838.6</v>
      </c>
    </row>
    <row r="7" spans="1:3" x14ac:dyDescent="0.25">
      <c r="A7" s="19" t="s">
        <v>1970</v>
      </c>
      <c r="B7">
        <v>1</v>
      </c>
      <c r="C7" s="5">
        <v>391438.6</v>
      </c>
    </row>
    <row r="8" spans="1:3" x14ac:dyDescent="0.25">
      <c r="A8" s="19" t="s">
        <v>3523</v>
      </c>
      <c r="B8">
        <v>1</v>
      </c>
      <c r="C8" s="5">
        <v>547400</v>
      </c>
    </row>
    <row r="9" spans="1:3" x14ac:dyDescent="0.25">
      <c r="A9" s="18" t="s">
        <v>4233</v>
      </c>
      <c r="B9">
        <v>1</v>
      </c>
      <c r="C9" s="5">
        <v>1003067.66</v>
      </c>
    </row>
    <row r="10" spans="1:3" x14ac:dyDescent="0.25">
      <c r="A10" s="19" t="s">
        <v>4230</v>
      </c>
      <c r="B10">
        <v>1</v>
      </c>
      <c r="C10" s="5">
        <v>1003067.66</v>
      </c>
    </row>
    <row r="11" spans="1:3" x14ac:dyDescent="0.25">
      <c r="A11" s="18" t="s">
        <v>4252</v>
      </c>
      <c r="B11">
        <v>1</v>
      </c>
      <c r="C11" s="5">
        <v>1487500</v>
      </c>
    </row>
    <row r="12" spans="1:3" x14ac:dyDescent="0.25">
      <c r="A12" s="19" t="s">
        <v>4248</v>
      </c>
      <c r="B12">
        <v>1</v>
      </c>
      <c r="C12" s="5">
        <v>1487500</v>
      </c>
    </row>
    <row r="13" spans="1:3" x14ac:dyDescent="0.25">
      <c r="A13" s="18" t="s">
        <v>4243</v>
      </c>
      <c r="B13">
        <v>1</v>
      </c>
      <c r="C13" s="5">
        <v>12155850</v>
      </c>
    </row>
    <row r="14" spans="1:3" x14ac:dyDescent="0.25">
      <c r="A14" s="19" t="s">
        <v>4240</v>
      </c>
      <c r="B14">
        <v>1</v>
      </c>
      <c r="C14" s="5">
        <v>12155850</v>
      </c>
    </row>
    <row r="15" spans="1:3" x14ac:dyDescent="0.25">
      <c r="A15" s="18" t="s">
        <v>2742</v>
      </c>
      <c r="B15">
        <v>1</v>
      </c>
      <c r="C15" s="5">
        <v>1428000</v>
      </c>
    </row>
    <row r="16" spans="1:3" x14ac:dyDescent="0.25">
      <c r="A16" s="19" t="s">
        <v>2739</v>
      </c>
      <c r="B16">
        <v>1</v>
      </c>
      <c r="C16" s="5">
        <v>1428000</v>
      </c>
    </row>
    <row r="17" spans="1:3" x14ac:dyDescent="0.25">
      <c r="A17" s="18" t="s">
        <v>2752</v>
      </c>
      <c r="B17">
        <v>1</v>
      </c>
      <c r="C17" s="5">
        <v>1071000</v>
      </c>
    </row>
    <row r="18" spans="1:3" x14ac:dyDescent="0.25">
      <c r="A18" s="19" t="s">
        <v>2749</v>
      </c>
      <c r="B18">
        <v>1</v>
      </c>
      <c r="C18" s="5">
        <v>1071000</v>
      </c>
    </row>
    <row r="19" spans="1:3" x14ac:dyDescent="0.25">
      <c r="A19" s="18" t="s">
        <v>1491</v>
      </c>
      <c r="B19">
        <v>1</v>
      </c>
      <c r="C19" s="5">
        <v>352240</v>
      </c>
    </row>
    <row r="20" spans="1:3" x14ac:dyDescent="0.25">
      <c r="A20" s="19" t="s">
        <v>1488</v>
      </c>
      <c r="B20">
        <v>1</v>
      </c>
      <c r="C20" s="5">
        <v>352240</v>
      </c>
    </row>
    <row r="21" spans="1:3" x14ac:dyDescent="0.25">
      <c r="A21" s="18" t="s">
        <v>2199</v>
      </c>
      <c r="B21">
        <v>1</v>
      </c>
      <c r="C21" s="5">
        <v>35114.519999999997</v>
      </c>
    </row>
    <row r="22" spans="1:3" x14ac:dyDescent="0.25">
      <c r="A22" s="19" t="s">
        <v>2195</v>
      </c>
      <c r="B22">
        <v>1</v>
      </c>
      <c r="C22" s="5">
        <v>35114.519999999997</v>
      </c>
    </row>
    <row r="23" spans="1:3" x14ac:dyDescent="0.25">
      <c r="A23" s="18" t="s">
        <v>1653</v>
      </c>
      <c r="B23">
        <v>2</v>
      </c>
      <c r="C23" s="5">
        <v>4120399.56</v>
      </c>
    </row>
    <row r="24" spans="1:3" x14ac:dyDescent="0.25">
      <c r="A24" s="19" t="s">
        <v>1650</v>
      </c>
      <c r="B24">
        <v>1</v>
      </c>
      <c r="C24" s="5">
        <v>3353801.56</v>
      </c>
    </row>
    <row r="25" spans="1:3" x14ac:dyDescent="0.25">
      <c r="A25" s="19" t="s">
        <v>1665</v>
      </c>
      <c r="B25">
        <v>1</v>
      </c>
      <c r="C25" s="5">
        <v>766598</v>
      </c>
    </row>
    <row r="26" spans="1:3" x14ac:dyDescent="0.25">
      <c r="A26" s="18" t="s">
        <v>2798</v>
      </c>
      <c r="B26">
        <v>1</v>
      </c>
      <c r="C26" s="5">
        <v>357000</v>
      </c>
    </row>
    <row r="27" spans="1:3" x14ac:dyDescent="0.25">
      <c r="A27" s="19" t="s">
        <v>2795</v>
      </c>
      <c r="B27">
        <v>1</v>
      </c>
      <c r="C27" s="5">
        <v>357000</v>
      </c>
    </row>
    <row r="28" spans="1:3" x14ac:dyDescent="0.25">
      <c r="A28" s="18" t="s">
        <v>2178</v>
      </c>
      <c r="B28">
        <v>1</v>
      </c>
      <c r="C28" s="5">
        <v>3165400</v>
      </c>
    </row>
    <row r="29" spans="1:3" x14ac:dyDescent="0.25">
      <c r="A29" s="19" t="s">
        <v>2175</v>
      </c>
      <c r="B29">
        <v>1</v>
      </c>
      <c r="C29" s="5">
        <v>3165400</v>
      </c>
    </row>
    <row r="30" spans="1:3" x14ac:dyDescent="0.25">
      <c r="A30" s="18" t="s">
        <v>3245</v>
      </c>
      <c r="B30">
        <v>1</v>
      </c>
      <c r="C30" s="5">
        <v>3450000</v>
      </c>
    </row>
    <row r="31" spans="1:3" x14ac:dyDescent="0.25">
      <c r="A31" s="19" t="s">
        <v>3832</v>
      </c>
      <c r="B31">
        <v>1</v>
      </c>
      <c r="C31" s="5">
        <v>3450000</v>
      </c>
    </row>
    <row r="32" spans="1:3" x14ac:dyDescent="0.25">
      <c r="A32" s="18" t="s">
        <v>2304</v>
      </c>
      <c r="B32">
        <v>1</v>
      </c>
      <c r="C32" s="5">
        <v>1673140</v>
      </c>
    </row>
    <row r="33" spans="1:3" x14ac:dyDescent="0.25">
      <c r="A33" s="19" t="s">
        <v>2301</v>
      </c>
      <c r="B33">
        <v>1</v>
      </c>
      <c r="C33" s="5">
        <v>1673140</v>
      </c>
    </row>
    <row r="34" spans="1:3" x14ac:dyDescent="0.25">
      <c r="A34" s="18" t="s">
        <v>1441</v>
      </c>
      <c r="B34">
        <v>1</v>
      </c>
      <c r="C34" s="5">
        <v>933307.48</v>
      </c>
    </row>
    <row r="35" spans="1:3" x14ac:dyDescent="0.25">
      <c r="A35" s="19" t="s">
        <v>4009</v>
      </c>
      <c r="B35">
        <v>1</v>
      </c>
      <c r="C35" s="5">
        <v>933307.48</v>
      </c>
    </row>
    <row r="36" spans="1:3" x14ac:dyDescent="0.25">
      <c r="A36" s="18" t="s">
        <v>1622</v>
      </c>
      <c r="B36">
        <v>1</v>
      </c>
      <c r="C36" s="5">
        <v>404699.97</v>
      </c>
    </row>
    <row r="37" spans="1:3" x14ac:dyDescent="0.25">
      <c r="A37" s="19" t="s">
        <v>1799</v>
      </c>
      <c r="B37">
        <v>1</v>
      </c>
      <c r="C37" s="5">
        <v>404699.97</v>
      </c>
    </row>
    <row r="38" spans="1:3" x14ac:dyDescent="0.25">
      <c r="A38" s="18" t="s">
        <v>3489</v>
      </c>
      <c r="B38">
        <v>1</v>
      </c>
      <c r="C38" s="5">
        <v>101150</v>
      </c>
    </row>
    <row r="39" spans="1:3" x14ac:dyDescent="0.25">
      <c r="A39" s="19" t="s">
        <v>3486</v>
      </c>
      <c r="B39">
        <v>1</v>
      </c>
      <c r="C39" s="5">
        <v>101150</v>
      </c>
    </row>
    <row r="40" spans="1:3" x14ac:dyDescent="0.25">
      <c r="A40" s="18" t="s">
        <v>2711</v>
      </c>
      <c r="B40">
        <v>1</v>
      </c>
      <c r="C40" s="5">
        <v>1833458</v>
      </c>
    </row>
    <row r="41" spans="1:3" x14ac:dyDescent="0.25">
      <c r="A41" s="19" t="s">
        <v>2708</v>
      </c>
      <c r="B41">
        <v>1</v>
      </c>
      <c r="C41" s="5">
        <v>1833458</v>
      </c>
    </row>
    <row r="42" spans="1:3" x14ac:dyDescent="0.25">
      <c r="A42" s="18" t="s">
        <v>3417</v>
      </c>
      <c r="B42">
        <v>1</v>
      </c>
      <c r="C42" s="5">
        <v>80920</v>
      </c>
    </row>
    <row r="43" spans="1:3" x14ac:dyDescent="0.25">
      <c r="A43" s="19" t="s">
        <v>3414</v>
      </c>
      <c r="B43">
        <v>1</v>
      </c>
      <c r="C43" s="5">
        <v>80920</v>
      </c>
    </row>
    <row r="44" spans="1:3" x14ac:dyDescent="0.25">
      <c r="A44" s="18" t="s">
        <v>763</v>
      </c>
      <c r="B44">
        <v>1</v>
      </c>
      <c r="C44" s="5">
        <v>284529</v>
      </c>
    </row>
    <row r="45" spans="1:3" x14ac:dyDescent="0.25">
      <c r="A45" s="19" t="s">
        <v>1607</v>
      </c>
      <c r="B45">
        <v>1</v>
      </c>
      <c r="C45" s="5">
        <v>284529</v>
      </c>
    </row>
    <row r="46" spans="1:3" x14ac:dyDescent="0.25">
      <c r="A46" s="18" t="s">
        <v>1181</v>
      </c>
      <c r="B46">
        <v>1</v>
      </c>
      <c r="C46" s="5">
        <v>287980</v>
      </c>
    </row>
    <row r="47" spans="1:3" x14ac:dyDescent="0.25">
      <c r="A47" s="19" t="s">
        <v>4201</v>
      </c>
      <c r="B47">
        <v>1</v>
      </c>
      <c r="C47" s="5">
        <v>287980</v>
      </c>
    </row>
    <row r="48" spans="1:3" x14ac:dyDescent="0.25">
      <c r="A48" s="18" t="s">
        <v>2243</v>
      </c>
      <c r="B48">
        <v>1</v>
      </c>
      <c r="C48" s="5">
        <v>513187.5</v>
      </c>
    </row>
    <row r="49" spans="1:3" x14ac:dyDescent="0.25">
      <c r="A49" s="19" t="s">
        <v>4210</v>
      </c>
      <c r="B49">
        <v>1</v>
      </c>
      <c r="C49" s="5">
        <v>513187.5</v>
      </c>
    </row>
    <row r="50" spans="1:3" x14ac:dyDescent="0.25">
      <c r="A50" s="18" t="s">
        <v>1570</v>
      </c>
      <c r="B50">
        <v>1</v>
      </c>
      <c r="C50" s="5">
        <v>605724.28</v>
      </c>
    </row>
    <row r="51" spans="1:3" x14ac:dyDescent="0.25">
      <c r="A51" s="19" t="s">
        <v>4094</v>
      </c>
      <c r="B51">
        <v>1</v>
      </c>
      <c r="C51" s="5">
        <v>605724.28</v>
      </c>
    </row>
    <row r="52" spans="1:3" x14ac:dyDescent="0.25">
      <c r="A52" s="18" t="s">
        <v>659</v>
      </c>
      <c r="B52">
        <v>1</v>
      </c>
      <c r="C52" s="5">
        <v>163982</v>
      </c>
    </row>
    <row r="53" spans="1:3" x14ac:dyDescent="0.25">
      <c r="A53" s="19" t="s">
        <v>3829</v>
      </c>
      <c r="B53">
        <v>1</v>
      </c>
      <c r="C53" s="5">
        <v>163982</v>
      </c>
    </row>
    <row r="54" spans="1:3" x14ac:dyDescent="0.25">
      <c r="A54" s="18" t="s">
        <v>3870</v>
      </c>
      <c r="B54">
        <v>1</v>
      </c>
      <c r="C54" s="5">
        <v>1234355.99</v>
      </c>
    </row>
    <row r="55" spans="1:3" x14ac:dyDescent="0.25">
      <c r="A55" s="19" t="s">
        <v>3867</v>
      </c>
      <c r="B55">
        <v>1</v>
      </c>
      <c r="C55" s="5">
        <v>1234355.99</v>
      </c>
    </row>
    <row r="56" spans="1:3" x14ac:dyDescent="0.25">
      <c r="A56" s="18" t="s">
        <v>3803</v>
      </c>
      <c r="B56">
        <v>1</v>
      </c>
      <c r="C56" s="5">
        <v>3760400</v>
      </c>
    </row>
    <row r="57" spans="1:3" x14ac:dyDescent="0.25">
      <c r="A57" s="19" t="s">
        <v>3800</v>
      </c>
      <c r="B57">
        <v>1</v>
      </c>
      <c r="C57" s="5">
        <v>3760400</v>
      </c>
    </row>
    <row r="58" spans="1:3" x14ac:dyDescent="0.25">
      <c r="A58" s="18" t="s">
        <v>3953</v>
      </c>
      <c r="B58">
        <v>1</v>
      </c>
      <c r="C58" s="5">
        <v>142800</v>
      </c>
    </row>
    <row r="59" spans="1:3" x14ac:dyDescent="0.25">
      <c r="A59" s="19" t="s">
        <v>3950</v>
      </c>
      <c r="B59">
        <v>1</v>
      </c>
      <c r="C59" s="5">
        <v>142800</v>
      </c>
    </row>
    <row r="60" spans="1:3" x14ac:dyDescent="0.25">
      <c r="A60" s="18" t="s">
        <v>3860</v>
      </c>
      <c r="B60">
        <v>1</v>
      </c>
      <c r="C60" s="5">
        <v>2217556.48</v>
      </c>
    </row>
    <row r="61" spans="1:3" x14ac:dyDescent="0.25">
      <c r="A61" s="19" t="s">
        <v>3857</v>
      </c>
      <c r="B61">
        <v>1</v>
      </c>
      <c r="C61" s="5">
        <v>2217556.48</v>
      </c>
    </row>
    <row r="62" spans="1:3" x14ac:dyDescent="0.25">
      <c r="A62" s="18" t="s">
        <v>920</v>
      </c>
      <c r="B62">
        <v>1</v>
      </c>
      <c r="C62" s="5">
        <v>107320</v>
      </c>
    </row>
    <row r="63" spans="1:3" x14ac:dyDescent="0.25">
      <c r="A63" s="19" t="s">
        <v>917</v>
      </c>
      <c r="B63">
        <v>1</v>
      </c>
      <c r="C63" s="5">
        <v>107320</v>
      </c>
    </row>
    <row r="64" spans="1:3" x14ac:dyDescent="0.25">
      <c r="A64" s="18" t="s">
        <v>4074</v>
      </c>
      <c r="B64">
        <v>2</v>
      </c>
      <c r="C64" s="5">
        <v>2275270</v>
      </c>
    </row>
    <row r="65" spans="1:3" x14ac:dyDescent="0.25">
      <c r="A65" s="19" t="s">
        <v>4071</v>
      </c>
      <c r="B65">
        <v>1</v>
      </c>
      <c r="C65" s="5">
        <v>885241</v>
      </c>
    </row>
    <row r="66" spans="1:3" x14ac:dyDescent="0.25">
      <c r="A66" s="19" t="s">
        <v>4076</v>
      </c>
      <c r="B66">
        <v>1</v>
      </c>
      <c r="C66" s="5">
        <v>1390029</v>
      </c>
    </row>
    <row r="67" spans="1:3" x14ac:dyDescent="0.25">
      <c r="A67" s="18" t="s">
        <v>2747</v>
      </c>
      <c r="B67">
        <v>1</v>
      </c>
      <c r="C67" s="5">
        <v>1606500</v>
      </c>
    </row>
    <row r="68" spans="1:3" x14ac:dyDescent="0.25">
      <c r="A68" s="19" t="s">
        <v>2744</v>
      </c>
      <c r="B68">
        <v>1</v>
      </c>
      <c r="C68" s="5">
        <v>1606500</v>
      </c>
    </row>
    <row r="69" spans="1:3" x14ac:dyDescent="0.25">
      <c r="A69" s="18" t="s">
        <v>4265</v>
      </c>
      <c r="B69">
        <v>1</v>
      </c>
      <c r="C69" s="5">
        <v>249376.4</v>
      </c>
    </row>
    <row r="70" spans="1:3" x14ac:dyDescent="0.25">
      <c r="A70" s="19" t="s">
        <v>4262</v>
      </c>
      <c r="B70">
        <v>1</v>
      </c>
      <c r="C70" s="5">
        <v>249376.4</v>
      </c>
    </row>
    <row r="71" spans="1:3" x14ac:dyDescent="0.25">
      <c r="A71" s="18" t="s">
        <v>3068</v>
      </c>
      <c r="B71">
        <v>1</v>
      </c>
      <c r="C71" s="5">
        <v>381859.1</v>
      </c>
    </row>
    <row r="72" spans="1:3" x14ac:dyDescent="0.25">
      <c r="A72" s="19" t="s">
        <v>3065</v>
      </c>
      <c r="B72">
        <v>1</v>
      </c>
      <c r="C72" s="5">
        <v>381859.1</v>
      </c>
    </row>
    <row r="73" spans="1:3" x14ac:dyDescent="0.25">
      <c r="A73" s="18" t="s">
        <v>1978</v>
      </c>
      <c r="B73">
        <v>1</v>
      </c>
      <c r="C73" s="5">
        <v>1416100</v>
      </c>
    </row>
    <row r="74" spans="1:3" x14ac:dyDescent="0.25">
      <c r="A74" s="19" t="s">
        <v>1975</v>
      </c>
      <c r="B74">
        <v>1</v>
      </c>
      <c r="C74" s="5">
        <v>1416100</v>
      </c>
    </row>
    <row r="75" spans="1:3" x14ac:dyDescent="0.25">
      <c r="A75" s="18" t="s">
        <v>2729</v>
      </c>
      <c r="B75">
        <v>1</v>
      </c>
      <c r="C75" s="5">
        <v>6019010</v>
      </c>
    </row>
    <row r="76" spans="1:3" x14ac:dyDescent="0.25">
      <c r="A76" s="19" t="s">
        <v>2726</v>
      </c>
      <c r="B76">
        <v>1</v>
      </c>
      <c r="C76" s="5">
        <v>6019010</v>
      </c>
    </row>
    <row r="77" spans="1:3" x14ac:dyDescent="0.25">
      <c r="A77" s="18" t="s">
        <v>4106</v>
      </c>
      <c r="B77">
        <v>1</v>
      </c>
      <c r="C77" s="5">
        <v>12741156.939999999</v>
      </c>
    </row>
    <row r="78" spans="1:3" x14ac:dyDescent="0.25">
      <c r="A78" s="19" t="s">
        <v>4103</v>
      </c>
      <c r="B78">
        <v>1</v>
      </c>
      <c r="C78" s="5">
        <v>12741156.939999999</v>
      </c>
    </row>
    <row r="79" spans="1:3" x14ac:dyDescent="0.25">
      <c r="A79" s="18" t="s">
        <v>907</v>
      </c>
      <c r="B79">
        <v>5</v>
      </c>
      <c r="C79" s="5">
        <v>5868022.5600000005</v>
      </c>
    </row>
    <row r="80" spans="1:3" x14ac:dyDescent="0.25">
      <c r="A80" s="19" t="s">
        <v>904</v>
      </c>
      <c r="B80">
        <v>1</v>
      </c>
      <c r="C80" s="5">
        <v>1675520</v>
      </c>
    </row>
    <row r="81" spans="1:3" x14ac:dyDescent="0.25">
      <c r="A81" s="19" t="s">
        <v>997</v>
      </c>
      <c r="B81">
        <v>1</v>
      </c>
      <c r="C81" s="5">
        <v>851445</v>
      </c>
    </row>
    <row r="82" spans="1:3" x14ac:dyDescent="0.25">
      <c r="A82" s="19" t="s">
        <v>1596</v>
      </c>
      <c r="B82">
        <v>1</v>
      </c>
      <c r="C82" s="5">
        <v>1201900</v>
      </c>
    </row>
    <row r="83" spans="1:3" x14ac:dyDescent="0.25">
      <c r="A83" s="19" t="s">
        <v>3408</v>
      </c>
      <c r="B83">
        <v>1</v>
      </c>
      <c r="C83" s="5">
        <v>1003897.56</v>
      </c>
    </row>
    <row r="84" spans="1:3" x14ac:dyDescent="0.25">
      <c r="A84" s="19" t="s">
        <v>4028</v>
      </c>
      <c r="B84">
        <v>1</v>
      </c>
      <c r="C84" s="5">
        <v>1135260</v>
      </c>
    </row>
    <row r="85" spans="1:3" x14ac:dyDescent="0.25">
      <c r="A85" s="18" t="s">
        <v>4132</v>
      </c>
      <c r="B85">
        <v>1</v>
      </c>
      <c r="C85" s="5">
        <v>332010</v>
      </c>
    </row>
    <row r="86" spans="1:3" x14ac:dyDescent="0.25">
      <c r="A86" s="19" t="s">
        <v>4129</v>
      </c>
      <c r="B86">
        <v>1</v>
      </c>
      <c r="C86" s="5">
        <v>332010</v>
      </c>
    </row>
    <row r="87" spans="1:3" x14ac:dyDescent="0.25">
      <c r="A87" s="18" t="s">
        <v>2225</v>
      </c>
      <c r="B87">
        <v>1</v>
      </c>
      <c r="C87" s="5">
        <v>892500</v>
      </c>
    </row>
    <row r="88" spans="1:3" x14ac:dyDescent="0.25">
      <c r="A88" s="19" t="s">
        <v>2222</v>
      </c>
      <c r="B88">
        <v>1</v>
      </c>
      <c r="C88" s="5">
        <v>892500</v>
      </c>
    </row>
    <row r="89" spans="1:3" x14ac:dyDescent="0.25">
      <c r="A89" s="18" t="s">
        <v>1737</v>
      </c>
      <c r="B89">
        <v>1</v>
      </c>
      <c r="C89" s="5">
        <v>13447000</v>
      </c>
    </row>
    <row r="90" spans="1:3" x14ac:dyDescent="0.25">
      <c r="A90" s="19" t="s">
        <v>1734</v>
      </c>
      <c r="B90">
        <v>1</v>
      </c>
      <c r="C90" s="5">
        <v>13447000</v>
      </c>
    </row>
    <row r="91" spans="1:3" x14ac:dyDescent="0.25">
      <c r="A91" s="18" t="s">
        <v>1915</v>
      </c>
      <c r="B91">
        <v>1</v>
      </c>
      <c r="C91" s="5">
        <v>3534347.6</v>
      </c>
    </row>
    <row r="92" spans="1:3" x14ac:dyDescent="0.25">
      <c r="A92" s="19" t="s">
        <v>1913</v>
      </c>
      <c r="B92">
        <v>1</v>
      </c>
      <c r="C92" s="5">
        <v>3534347.6</v>
      </c>
    </row>
    <row r="93" spans="1:3" x14ac:dyDescent="0.25">
      <c r="A93" s="18" t="s">
        <v>3677</v>
      </c>
      <c r="B93">
        <v>2</v>
      </c>
      <c r="C93" s="5">
        <v>1434370</v>
      </c>
    </row>
    <row r="94" spans="1:3" x14ac:dyDescent="0.25">
      <c r="A94" s="19" t="s">
        <v>3674</v>
      </c>
      <c r="B94">
        <v>1</v>
      </c>
      <c r="C94" s="5">
        <v>601370</v>
      </c>
    </row>
    <row r="95" spans="1:3" x14ac:dyDescent="0.25">
      <c r="A95" s="19" t="s">
        <v>3797</v>
      </c>
      <c r="B95">
        <v>1</v>
      </c>
      <c r="C95" s="5">
        <v>833000</v>
      </c>
    </row>
    <row r="96" spans="1:3" x14ac:dyDescent="0.25">
      <c r="A96" s="18" t="s">
        <v>206</v>
      </c>
      <c r="B96">
        <v>5</v>
      </c>
      <c r="C96" s="5">
        <v>24880925.789999999</v>
      </c>
    </row>
    <row r="97" spans="1:3" x14ac:dyDescent="0.25">
      <c r="A97" s="19" t="s">
        <v>203</v>
      </c>
      <c r="B97">
        <v>1</v>
      </c>
      <c r="C97" s="5">
        <v>5300400.42</v>
      </c>
    </row>
    <row r="98" spans="1:3" x14ac:dyDescent="0.25">
      <c r="A98" s="19" t="s">
        <v>972</v>
      </c>
      <c r="B98">
        <v>1</v>
      </c>
      <c r="C98" s="5">
        <v>5389212.5</v>
      </c>
    </row>
    <row r="99" spans="1:3" x14ac:dyDescent="0.25">
      <c r="A99" s="19" t="s">
        <v>3467</v>
      </c>
      <c r="B99">
        <v>1</v>
      </c>
      <c r="C99" s="5">
        <v>952000</v>
      </c>
    </row>
    <row r="100" spans="1:3" x14ac:dyDescent="0.25">
      <c r="A100" s="19" t="s">
        <v>3644</v>
      </c>
      <c r="B100">
        <v>1</v>
      </c>
      <c r="C100" s="5">
        <v>4489275</v>
      </c>
    </row>
    <row r="101" spans="1:3" x14ac:dyDescent="0.25">
      <c r="A101" s="19" t="s">
        <v>3647</v>
      </c>
      <c r="B101">
        <v>1</v>
      </c>
      <c r="C101" s="5">
        <v>8750037.8699999992</v>
      </c>
    </row>
    <row r="102" spans="1:3" x14ac:dyDescent="0.25">
      <c r="A102" s="18" t="s">
        <v>427</v>
      </c>
      <c r="B102">
        <v>1</v>
      </c>
      <c r="C102" s="5">
        <v>7045080</v>
      </c>
    </row>
    <row r="103" spans="1:3" x14ac:dyDescent="0.25">
      <c r="A103" s="19" t="s">
        <v>424</v>
      </c>
      <c r="B103">
        <v>1</v>
      </c>
      <c r="C103" s="5">
        <v>7045080</v>
      </c>
    </row>
    <row r="104" spans="1:3" x14ac:dyDescent="0.25">
      <c r="A104" s="18" t="s">
        <v>989</v>
      </c>
      <c r="B104">
        <v>5</v>
      </c>
      <c r="C104" s="5">
        <v>3868209.7</v>
      </c>
    </row>
    <row r="105" spans="1:3" x14ac:dyDescent="0.25">
      <c r="A105" s="19" t="s">
        <v>1539</v>
      </c>
      <c r="B105">
        <v>1</v>
      </c>
      <c r="C105" s="5">
        <v>1643985</v>
      </c>
    </row>
    <row r="106" spans="1:3" x14ac:dyDescent="0.25">
      <c r="A106" s="19" t="s">
        <v>1577</v>
      </c>
      <c r="B106">
        <v>1</v>
      </c>
      <c r="C106" s="5">
        <v>794325</v>
      </c>
    </row>
    <row r="107" spans="1:3" x14ac:dyDescent="0.25">
      <c r="A107" s="19" t="s">
        <v>1580</v>
      </c>
      <c r="B107">
        <v>1</v>
      </c>
      <c r="C107" s="5">
        <v>518738.4</v>
      </c>
    </row>
    <row r="108" spans="1:3" x14ac:dyDescent="0.25">
      <c r="A108" s="19" t="s">
        <v>1726</v>
      </c>
      <c r="B108">
        <v>1</v>
      </c>
      <c r="C108" s="5">
        <v>545781.6</v>
      </c>
    </row>
    <row r="109" spans="1:3" x14ac:dyDescent="0.25">
      <c r="A109" s="19" t="s">
        <v>1959</v>
      </c>
      <c r="B109">
        <v>1</v>
      </c>
      <c r="C109" s="5">
        <v>365379.7</v>
      </c>
    </row>
    <row r="110" spans="1:3" x14ac:dyDescent="0.25">
      <c r="A110" s="18" t="s">
        <v>2664</v>
      </c>
      <c r="B110">
        <v>1</v>
      </c>
      <c r="C110" s="5">
        <v>1743875</v>
      </c>
    </row>
    <row r="111" spans="1:3" x14ac:dyDescent="0.25">
      <c r="A111" s="19" t="s">
        <v>4213</v>
      </c>
      <c r="B111">
        <v>1</v>
      </c>
      <c r="C111" s="5">
        <v>1743875</v>
      </c>
    </row>
    <row r="112" spans="1:3" x14ac:dyDescent="0.25">
      <c r="A112" s="18" t="s">
        <v>3139</v>
      </c>
      <c r="B112">
        <v>2</v>
      </c>
      <c r="C112" s="5">
        <v>2913720.5</v>
      </c>
    </row>
    <row r="113" spans="1:3" x14ac:dyDescent="0.25">
      <c r="A113" s="19" t="s">
        <v>3136</v>
      </c>
      <c r="B113">
        <v>1</v>
      </c>
      <c r="C113" s="5">
        <v>2512036</v>
      </c>
    </row>
    <row r="114" spans="1:3" x14ac:dyDescent="0.25">
      <c r="A114" s="19" t="s">
        <v>3491</v>
      </c>
      <c r="B114">
        <v>1</v>
      </c>
      <c r="C114" s="5">
        <v>401684.5</v>
      </c>
    </row>
    <row r="115" spans="1:3" x14ac:dyDescent="0.25">
      <c r="A115" s="18" t="s">
        <v>40</v>
      </c>
      <c r="B115">
        <v>1</v>
      </c>
      <c r="C115" s="5">
        <v>2271479.14</v>
      </c>
    </row>
    <row r="116" spans="1:3" x14ac:dyDescent="0.25">
      <c r="A116" s="19" t="s">
        <v>33</v>
      </c>
      <c r="B116">
        <v>1</v>
      </c>
      <c r="C116" s="5">
        <v>2271479.14</v>
      </c>
    </row>
    <row r="117" spans="1:3" x14ac:dyDescent="0.25">
      <c r="A117" s="18" t="s">
        <v>123</v>
      </c>
      <c r="B117">
        <v>1</v>
      </c>
      <c r="C117" s="5">
        <v>2337439.65</v>
      </c>
    </row>
    <row r="118" spans="1:3" x14ac:dyDescent="0.25">
      <c r="A118" s="19" t="s">
        <v>120</v>
      </c>
      <c r="B118">
        <v>1</v>
      </c>
      <c r="C118" s="5">
        <v>2337439.65</v>
      </c>
    </row>
    <row r="119" spans="1:3" x14ac:dyDescent="0.25">
      <c r="A119" s="18" t="s">
        <v>245</v>
      </c>
      <c r="B119">
        <v>4</v>
      </c>
      <c r="C119" s="5">
        <v>668851.4</v>
      </c>
    </row>
    <row r="120" spans="1:3" x14ac:dyDescent="0.25">
      <c r="A120" s="19" t="s">
        <v>242</v>
      </c>
      <c r="B120">
        <v>1</v>
      </c>
      <c r="C120" s="5">
        <v>197337.7</v>
      </c>
    </row>
    <row r="121" spans="1:3" x14ac:dyDescent="0.25">
      <c r="A121" s="19" t="s">
        <v>250</v>
      </c>
      <c r="B121">
        <v>1</v>
      </c>
      <c r="C121" s="5">
        <v>141978.9</v>
      </c>
    </row>
    <row r="122" spans="1:3" x14ac:dyDescent="0.25">
      <c r="A122" s="19" t="s">
        <v>253</v>
      </c>
      <c r="B122">
        <v>1</v>
      </c>
      <c r="C122" s="5">
        <v>141978.9</v>
      </c>
    </row>
    <row r="123" spans="1:3" x14ac:dyDescent="0.25">
      <c r="A123" s="19" t="s">
        <v>256</v>
      </c>
      <c r="B123">
        <v>1</v>
      </c>
      <c r="C123" s="5">
        <v>187555.9</v>
      </c>
    </row>
    <row r="124" spans="1:3" x14ac:dyDescent="0.25">
      <c r="A124" s="18" t="s">
        <v>333</v>
      </c>
      <c r="B124">
        <v>1</v>
      </c>
      <c r="C124" s="5">
        <v>622995.93999999994</v>
      </c>
    </row>
    <row r="125" spans="1:3" x14ac:dyDescent="0.25">
      <c r="A125" s="19" t="s">
        <v>330</v>
      </c>
      <c r="B125">
        <v>1</v>
      </c>
      <c r="C125" s="5">
        <v>622995.93999999994</v>
      </c>
    </row>
    <row r="126" spans="1:3" x14ac:dyDescent="0.25">
      <c r="A126" s="18" t="s">
        <v>511</v>
      </c>
      <c r="B126">
        <v>4</v>
      </c>
      <c r="C126" s="5">
        <v>14342382.5</v>
      </c>
    </row>
    <row r="127" spans="1:3" x14ac:dyDescent="0.25">
      <c r="A127" s="19" t="s">
        <v>508</v>
      </c>
      <c r="B127">
        <v>1</v>
      </c>
      <c r="C127" s="5">
        <v>1462515.5</v>
      </c>
    </row>
    <row r="128" spans="1:3" x14ac:dyDescent="0.25">
      <c r="A128" s="19" t="s">
        <v>513</v>
      </c>
      <c r="B128">
        <v>1</v>
      </c>
      <c r="C128" s="5">
        <v>7508900</v>
      </c>
    </row>
    <row r="129" spans="1:3" x14ac:dyDescent="0.25">
      <c r="A129" s="19" t="s">
        <v>515</v>
      </c>
      <c r="B129">
        <v>1</v>
      </c>
      <c r="C129" s="5">
        <v>1981728</v>
      </c>
    </row>
    <row r="130" spans="1:3" x14ac:dyDescent="0.25">
      <c r="A130" s="19" t="s">
        <v>518</v>
      </c>
      <c r="B130">
        <v>1</v>
      </c>
      <c r="C130" s="5">
        <v>3389239</v>
      </c>
    </row>
    <row r="131" spans="1:3" x14ac:dyDescent="0.25">
      <c r="A131" s="18" t="s">
        <v>546</v>
      </c>
      <c r="B131">
        <v>2</v>
      </c>
      <c r="C131" s="5">
        <v>48530853.700000003</v>
      </c>
    </row>
    <row r="132" spans="1:3" x14ac:dyDescent="0.25">
      <c r="A132" s="19" t="s">
        <v>543</v>
      </c>
      <c r="B132">
        <v>1</v>
      </c>
      <c r="C132" s="5">
        <v>5213985</v>
      </c>
    </row>
    <row r="133" spans="1:3" x14ac:dyDescent="0.25">
      <c r="A133" s="19" t="s">
        <v>3885</v>
      </c>
      <c r="B133">
        <v>1</v>
      </c>
      <c r="C133" s="5">
        <v>43316868.700000003</v>
      </c>
    </row>
    <row r="134" spans="1:3" x14ac:dyDescent="0.25">
      <c r="A134" s="18" t="s">
        <v>699</v>
      </c>
      <c r="B134">
        <v>2</v>
      </c>
      <c r="C134" s="5">
        <v>5495063</v>
      </c>
    </row>
    <row r="135" spans="1:3" x14ac:dyDescent="0.25">
      <c r="A135" s="19" t="s">
        <v>696</v>
      </c>
      <c r="B135">
        <v>1</v>
      </c>
      <c r="C135" s="5">
        <v>785043</v>
      </c>
    </row>
    <row r="136" spans="1:3" x14ac:dyDescent="0.25">
      <c r="A136" s="19" t="s">
        <v>3116</v>
      </c>
      <c r="B136">
        <v>1</v>
      </c>
      <c r="C136" s="5">
        <v>4710020</v>
      </c>
    </row>
    <row r="137" spans="1:3" x14ac:dyDescent="0.25">
      <c r="A137" s="18" t="s">
        <v>741</v>
      </c>
      <c r="B137">
        <v>2</v>
      </c>
      <c r="C137" s="5">
        <v>2036350</v>
      </c>
    </row>
    <row r="138" spans="1:3" x14ac:dyDescent="0.25">
      <c r="A138" s="19">
        <v>105197</v>
      </c>
      <c r="B138">
        <v>1</v>
      </c>
      <c r="C138" s="5">
        <v>1721000</v>
      </c>
    </row>
    <row r="139" spans="1:3" x14ac:dyDescent="0.25">
      <c r="A139" s="19" t="s">
        <v>4034</v>
      </c>
      <c r="B139">
        <v>1</v>
      </c>
      <c r="C139" s="5">
        <v>315350</v>
      </c>
    </row>
    <row r="140" spans="1:3" x14ac:dyDescent="0.25">
      <c r="A140" s="18" t="s">
        <v>796</v>
      </c>
      <c r="B140">
        <v>1</v>
      </c>
      <c r="C140" s="5">
        <v>1147452.74</v>
      </c>
    </row>
    <row r="141" spans="1:3" x14ac:dyDescent="0.25">
      <c r="A141" s="19" t="s">
        <v>793</v>
      </c>
      <c r="B141">
        <v>1</v>
      </c>
      <c r="C141" s="5">
        <v>1147452.74</v>
      </c>
    </row>
    <row r="142" spans="1:3" x14ac:dyDescent="0.25">
      <c r="A142" s="18" t="s">
        <v>815</v>
      </c>
      <c r="B142">
        <v>2</v>
      </c>
      <c r="C142" s="5">
        <v>1203915.3</v>
      </c>
    </row>
    <row r="143" spans="1:3" x14ac:dyDescent="0.25">
      <c r="A143" s="19" t="s">
        <v>818</v>
      </c>
      <c r="B143">
        <v>1</v>
      </c>
      <c r="C143" s="5">
        <v>1024760.8</v>
      </c>
    </row>
    <row r="144" spans="1:3" x14ac:dyDescent="0.25">
      <c r="A144" s="19" t="s">
        <v>1011</v>
      </c>
      <c r="B144">
        <v>1</v>
      </c>
      <c r="C144" s="5">
        <v>179154.5</v>
      </c>
    </row>
    <row r="145" spans="1:3" x14ac:dyDescent="0.25">
      <c r="A145" s="18" t="s">
        <v>878</v>
      </c>
      <c r="B145">
        <v>2</v>
      </c>
      <c r="C145" s="5">
        <v>737697.06</v>
      </c>
    </row>
    <row r="146" spans="1:3" x14ac:dyDescent="0.25">
      <c r="A146" s="19" t="s">
        <v>875</v>
      </c>
      <c r="B146">
        <v>1</v>
      </c>
      <c r="C146" s="5">
        <v>344350</v>
      </c>
    </row>
    <row r="147" spans="1:3" x14ac:dyDescent="0.25">
      <c r="A147" s="19" t="s">
        <v>2601</v>
      </c>
      <c r="B147">
        <v>1</v>
      </c>
      <c r="C147" s="5">
        <v>393347.06</v>
      </c>
    </row>
    <row r="148" spans="1:3" x14ac:dyDescent="0.25">
      <c r="A148" s="18" t="s">
        <v>1102</v>
      </c>
      <c r="B148">
        <v>1</v>
      </c>
      <c r="C148" s="5">
        <v>110908</v>
      </c>
    </row>
    <row r="149" spans="1:3" x14ac:dyDescent="0.25">
      <c r="A149" s="19" t="s">
        <v>1099</v>
      </c>
      <c r="B149">
        <v>1</v>
      </c>
      <c r="C149" s="5">
        <v>110908</v>
      </c>
    </row>
    <row r="150" spans="1:3" x14ac:dyDescent="0.25">
      <c r="A150" s="18" t="s">
        <v>1205</v>
      </c>
      <c r="B150">
        <v>4</v>
      </c>
      <c r="C150" s="5">
        <v>3078782.47</v>
      </c>
    </row>
    <row r="151" spans="1:3" x14ac:dyDescent="0.25">
      <c r="A151" s="19" t="s">
        <v>1202</v>
      </c>
      <c r="B151">
        <v>1</v>
      </c>
      <c r="C151" s="5">
        <v>115906</v>
      </c>
    </row>
    <row r="152" spans="1:3" x14ac:dyDescent="0.25">
      <c r="A152" s="19" t="s">
        <v>1610</v>
      </c>
      <c r="B152">
        <v>1</v>
      </c>
      <c r="C152" s="5">
        <v>501061.59</v>
      </c>
    </row>
    <row r="153" spans="1:3" x14ac:dyDescent="0.25">
      <c r="A153" s="19" t="s">
        <v>2571</v>
      </c>
      <c r="B153">
        <v>1</v>
      </c>
      <c r="C153" s="5">
        <v>1448349</v>
      </c>
    </row>
    <row r="154" spans="1:3" x14ac:dyDescent="0.25">
      <c r="A154" s="19" t="s">
        <v>3849</v>
      </c>
      <c r="B154">
        <v>1</v>
      </c>
      <c r="C154" s="5">
        <v>1013465.88</v>
      </c>
    </row>
    <row r="155" spans="1:3" x14ac:dyDescent="0.25">
      <c r="A155" s="18" t="s">
        <v>1238</v>
      </c>
      <c r="B155">
        <v>1</v>
      </c>
      <c r="C155" s="5">
        <v>1623755</v>
      </c>
    </row>
    <row r="156" spans="1:3" x14ac:dyDescent="0.25">
      <c r="A156" s="19" t="s">
        <v>1235</v>
      </c>
      <c r="B156">
        <v>1</v>
      </c>
      <c r="C156" s="5">
        <v>1623755</v>
      </c>
    </row>
    <row r="157" spans="1:3" x14ac:dyDescent="0.25">
      <c r="A157" s="18" t="s">
        <v>1301</v>
      </c>
      <c r="B157">
        <v>1</v>
      </c>
      <c r="C157" s="5">
        <v>1690321.22</v>
      </c>
    </row>
    <row r="158" spans="1:3" x14ac:dyDescent="0.25">
      <c r="A158" s="19" t="s">
        <v>1298</v>
      </c>
      <c r="B158">
        <v>1</v>
      </c>
      <c r="C158" s="5">
        <v>1690321.22</v>
      </c>
    </row>
    <row r="159" spans="1:3" x14ac:dyDescent="0.25">
      <c r="A159" s="18" t="s">
        <v>1465</v>
      </c>
      <c r="B159">
        <v>1</v>
      </c>
      <c r="C159" s="5">
        <v>237762</v>
      </c>
    </row>
    <row r="160" spans="1:3" x14ac:dyDescent="0.25">
      <c r="A160" s="19" t="s">
        <v>1462</v>
      </c>
      <c r="B160">
        <v>1</v>
      </c>
      <c r="C160" s="5">
        <v>237762</v>
      </c>
    </row>
    <row r="161" spans="1:3" x14ac:dyDescent="0.25">
      <c r="A161" s="18" t="s">
        <v>1617</v>
      </c>
      <c r="B161">
        <v>1</v>
      </c>
      <c r="C161" s="5">
        <v>4343559.5</v>
      </c>
    </row>
    <row r="162" spans="1:3" x14ac:dyDescent="0.25">
      <c r="A162" s="19" t="s">
        <v>1613</v>
      </c>
      <c r="B162">
        <v>1</v>
      </c>
      <c r="C162" s="5">
        <v>4343559.5</v>
      </c>
    </row>
    <row r="163" spans="1:3" x14ac:dyDescent="0.25">
      <c r="A163" s="18" t="s">
        <v>1789</v>
      </c>
      <c r="B163">
        <v>1</v>
      </c>
      <c r="C163" s="5">
        <v>3120890.73</v>
      </c>
    </row>
    <row r="164" spans="1:3" x14ac:dyDescent="0.25">
      <c r="A164" s="19">
        <v>105021</v>
      </c>
      <c r="B164">
        <v>1</v>
      </c>
      <c r="C164" s="5">
        <v>3120890.73</v>
      </c>
    </row>
    <row r="165" spans="1:3" x14ac:dyDescent="0.25">
      <c r="A165" s="18" t="s">
        <v>1857</v>
      </c>
      <c r="B165">
        <v>1</v>
      </c>
      <c r="C165" s="5">
        <v>13276258.800000001</v>
      </c>
    </row>
    <row r="166" spans="1:3" x14ac:dyDescent="0.25">
      <c r="A166" s="19" t="s">
        <v>1854</v>
      </c>
      <c r="B166">
        <v>1</v>
      </c>
      <c r="C166" s="5">
        <v>13276258.800000001</v>
      </c>
    </row>
    <row r="167" spans="1:3" x14ac:dyDescent="0.25">
      <c r="A167" s="18" t="s">
        <v>1925</v>
      </c>
      <c r="B167">
        <v>1</v>
      </c>
      <c r="C167" s="5">
        <v>328440</v>
      </c>
    </row>
    <row r="168" spans="1:3" x14ac:dyDescent="0.25">
      <c r="A168" s="19" t="s">
        <v>4259</v>
      </c>
      <c r="B168">
        <v>1</v>
      </c>
      <c r="C168" s="5">
        <v>328440</v>
      </c>
    </row>
    <row r="169" spans="1:3" x14ac:dyDescent="0.25">
      <c r="A169" s="18" t="s">
        <v>1930</v>
      </c>
      <c r="B169">
        <v>1</v>
      </c>
      <c r="C169" s="5">
        <v>87661.35</v>
      </c>
    </row>
    <row r="170" spans="1:3" x14ac:dyDescent="0.25">
      <c r="A170" s="19" t="s">
        <v>3585</v>
      </c>
      <c r="B170">
        <v>1</v>
      </c>
      <c r="C170" s="5">
        <v>87661.35</v>
      </c>
    </row>
    <row r="171" spans="1:3" x14ac:dyDescent="0.25">
      <c r="A171" s="18" t="s">
        <v>2080</v>
      </c>
      <c r="B171">
        <v>1</v>
      </c>
      <c r="C171" s="5">
        <v>392938</v>
      </c>
    </row>
    <row r="172" spans="1:3" x14ac:dyDescent="0.25">
      <c r="A172" s="19" t="s">
        <v>2077</v>
      </c>
      <c r="B172">
        <v>1</v>
      </c>
      <c r="C172" s="5">
        <v>392938</v>
      </c>
    </row>
    <row r="173" spans="1:3" x14ac:dyDescent="0.25">
      <c r="A173" s="18" t="s">
        <v>2101</v>
      </c>
      <c r="B173">
        <v>1</v>
      </c>
      <c r="C173" s="5">
        <v>322490</v>
      </c>
    </row>
    <row r="174" spans="1:3" x14ac:dyDescent="0.25">
      <c r="A174" s="19" t="s">
        <v>2098</v>
      </c>
      <c r="B174">
        <v>1</v>
      </c>
      <c r="C174" s="5">
        <v>322490</v>
      </c>
    </row>
    <row r="175" spans="1:3" x14ac:dyDescent="0.25">
      <c r="A175" s="18" t="s">
        <v>2111</v>
      </c>
      <c r="B175">
        <v>1</v>
      </c>
      <c r="C175" s="5">
        <v>4998000</v>
      </c>
    </row>
    <row r="176" spans="1:3" x14ac:dyDescent="0.25">
      <c r="A176" s="19" t="s">
        <v>2108</v>
      </c>
      <c r="B176">
        <v>1</v>
      </c>
      <c r="C176" s="5">
        <v>4998000</v>
      </c>
    </row>
    <row r="177" spans="1:3" x14ac:dyDescent="0.25">
      <c r="A177" s="18" t="s">
        <v>2116</v>
      </c>
      <c r="B177">
        <v>2</v>
      </c>
      <c r="C177" s="5">
        <v>2007902.47</v>
      </c>
    </row>
    <row r="178" spans="1:3" x14ac:dyDescent="0.25">
      <c r="A178" s="19" t="s">
        <v>2113</v>
      </c>
      <c r="B178">
        <v>1</v>
      </c>
      <c r="C178" s="5">
        <v>997461.57</v>
      </c>
    </row>
    <row r="179" spans="1:3" x14ac:dyDescent="0.25">
      <c r="A179" s="19" t="s">
        <v>2118</v>
      </c>
      <c r="B179">
        <v>1</v>
      </c>
      <c r="C179" s="5">
        <v>1010440.9</v>
      </c>
    </row>
    <row r="180" spans="1:3" x14ac:dyDescent="0.25">
      <c r="A180" s="18" t="s">
        <v>2134</v>
      </c>
      <c r="B180">
        <v>1</v>
      </c>
      <c r="C180" s="5">
        <v>238000</v>
      </c>
    </row>
    <row r="181" spans="1:3" x14ac:dyDescent="0.25">
      <c r="A181" s="19" t="s">
        <v>2131</v>
      </c>
      <c r="B181">
        <v>1</v>
      </c>
      <c r="C181" s="5">
        <v>238000</v>
      </c>
    </row>
    <row r="182" spans="1:3" x14ac:dyDescent="0.25">
      <c r="A182" s="18" t="s">
        <v>2238</v>
      </c>
      <c r="B182">
        <v>1</v>
      </c>
      <c r="C182" s="5">
        <v>3213000</v>
      </c>
    </row>
    <row r="183" spans="1:3" x14ac:dyDescent="0.25">
      <c r="A183" s="19" t="s">
        <v>2235</v>
      </c>
      <c r="B183">
        <v>1</v>
      </c>
      <c r="C183" s="5">
        <v>3213000</v>
      </c>
    </row>
    <row r="184" spans="1:3" x14ac:dyDescent="0.25">
      <c r="A184" s="18" t="s">
        <v>2405</v>
      </c>
      <c r="B184">
        <v>1</v>
      </c>
      <c r="C184" s="5">
        <v>386750</v>
      </c>
    </row>
    <row r="185" spans="1:3" x14ac:dyDescent="0.25">
      <c r="A185" s="19" t="s">
        <v>2402</v>
      </c>
      <c r="B185">
        <v>1</v>
      </c>
      <c r="C185" s="5">
        <v>386750</v>
      </c>
    </row>
    <row r="186" spans="1:3" x14ac:dyDescent="0.25">
      <c r="A186" s="18" t="s">
        <v>2418</v>
      </c>
      <c r="B186">
        <v>1</v>
      </c>
      <c r="C186" s="5">
        <v>5479667.6699999999</v>
      </c>
    </row>
    <row r="187" spans="1:3" x14ac:dyDescent="0.25">
      <c r="A187" s="19" t="s">
        <v>3337</v>
      </c>
      <c r="B187">
        <v>1</v>
      </c>
      <c r="C187" s="5">
        <v>5479667.6699999999</v>
      </c>
    </row>
    <row r="188" spans="1:3" x14ac:dyDescent="0.25">
      <c r="A188" s="18" t="s">
        <v>2550</v>
      </c>
      <c r="B188">
        <v>1</v>
      </c>
      <c r="C188" s="5">
        <v>321300</v>
      </c>
    </row>
    <row r="189" spans="1:3" x14ac:dyDescent="0.25">
      <c r="A189" s="19" t="s">
        <v>2547</v>
      </c>
      <c r="B189">
        <v>1</v>
      </c>
      <c r="C189" s="5">
        <v>321300</v>
      </c>
    </row>
    <row r="190" spans="1:3" x14ac:dyDescent="0.25">
      <c r="A190" s="18" t="s">
        <v>2627</v>
      </c>
      <c r="B190">
        <v>2</v>
      </c>
      <c r="C190" s="5">
        <v>2743429.81</v>
      </c>
    </row>
    <row r="191" spans="1:3" x14ac:dyDescent="0.25">
      <c r="A191" s="19" t="s">
        <v>2624</v>
      </c>
      <c r="B191">
        <v>1</v>
      </c>
      <c r="C191" s="5">
        <v>665962.07999999996</v>
      </c>
    </row>
    <row r="192" spans="1:3" x14ac:dyDescent="0.25">
      <c r="A192" s="19" t="s">
        <v>3435</v>
      </c>
      <c r="B192">
        <v>1</v>
      </c>
      <c r="C192" s="5">
        <v>2077467.73</v>
      </c>
    </row>
    <row r="193" spans="1:3" x14ac:dyDescent="0.25">
      <c r="A193" s="18" t="s">
        <v>2848</v>
      </c>
      <c r="B193">
        <v>4</v>
      </c>
      <c r="C193" s="5">
        <v>6872250</v>
      </c>
    </row>
    <row r="194" spans="1:3" x14ac:dyDescent="0.25">
      <c r="A194" s="19" t="s">
        <v>2845</v>
      </c>
      <c r="B194">
        <v>1</v>
      </c>
      <c r="C194" s="5">
        <v>1814750</v>
      </c>
    </row>
    <row r="195" spans="1:3" x14ac:dyDescent="0.25">
      <c r="A195" s="19" t="s">
        <v>2850</v>
      </c>
      <c r="B195">
        <v>1</v>
      </c>
      <c r="C195" s="5">
        <v>1041250</v>
      </c>
    </row>
    <row r="196" spans="1:3" x14ac:dyDescent="0.25">
      <c r="A196" s="19" t="s">
        <v>2853</v>
      </c>
      <c r="B196">
        <v>1</v>
      </c>
      <c r="C196" s="5">
        <v>1071000</v>
      </c>
    </row>
    <row r="197" spans="1:3" x14ac:dyDescent="0.25">
      <c r="A197" s="19" t="s">
        <v>2921</v>
      </c>
      <c r="B197">
        <v>1</v>
      </c>
      <c r="C197" s="5">
        <v>2945250</v>
      </c>
    </row>
    <row r="198" spans="1:3" x14ac:dyDescent="0.25">
      <c r="A198" s="18" t="s">
        <v>2859</v>
      </c>
      <c r="B198">
        <v>1</v>
      </c>
      <c r="C198" s="5">
        <v>170170</v>
      </c>
    </row>
    <row r="199" spans="1:3" x14ac:dyDescent="0.25">
      <c r="A199" s="19" t="s">
        <v>2856</v>
      </c>
      <c r="B199">
        <v>1</v>
      </c>
      <c r="C199" s="5">
        <v>170170</v>
      </c>
    </row>
    <row r="200" spans="1:3" x14ac:dyDescent="0.25">
      <c r="A200" s="18" t="s">
        <v>2864</v>
      </c>
      <c r="B200">
        <v>1</v>
      </c>
      <c r="C200" s="5">
        <v>216037.5</v>
      </c>
    </row>
    <row r="201" spans="1:3" x14ac:dyDescent="0.25">
      <c r="A201" s="19" t="s">
        <v>2861</v>
      </c>
      <c r="B201">
        <v>1</v>
      </c>
      <c r="C201" s="5">
        <v>216037.5</v>
      </c>
    </row>
    <row r="202" spans="1:3" x14ac:dyDescent="0.25">
      <c r="A202" s="18" t="s">
        <v>2869</v>
      </c>
      <c r="B202">
        <v>1</v>
      </c>
      <c r="C202" s="5">
        <v>800652.23</v>
      </c>
    </row>
    <row r="203" spans="1:3" x14ac:dyDescent="0.25">
      <c r="A203" s="19" t="s">
        <v>2866</v>
      </c>
      <c r="B203">
        <v>1</v>
      </c>
      <c r="C203" s="5">
        <v>800652.23</v>
      </c>
    </row>
    <row r="204" spans="1:3" x14ac:dyDescent="0.25">
      <c r="A204" s="18" t="s">
        <v>2913</v>
      </c>
      <c r="B204">
        <v>1</v>
      </c>
      <c r="C204" s="5">
        <v>666400</v>
      </c>
    </row>
    <row r="205" spans="1:3" x14ac:dyDescent="0.25">
      <c r="A205" s="19" t="s">
        <v>2910</v>
      </c>
      <c r="B205">
        <v>1</v>
      </c>
      <c r="C205" s="5">
        <v>666400</v>
      </c>
    </row>
    <row r="206" spans="1:3" x14ac:dyDescent="0.25">
      <c r="A206" s="18" t="s">
        <v>3002</v>
      </c>
      <c r="B206">
        <v>1</v>
      </c>
      <c r="C206" s="5">
        <v>1597998.64</v>
      </c>
    </row>
    <row r="207" spans="1:3" x14ac:dyDescent="0.25">
      <c r="A207" s="19" t="s">
        <v>2999</v>
      </c>
      <c r="B207">
        <v>1</v>
      </c>
      <c r="C207" s="5">
        <v>1597998.64</v>
      </c>
    </row>
    <row r="208" spans="1:3" x14ac:dyDescent="0.25">
      <c r="A208" s="18" t="s">
        <v>3020</v>
      </c>
      <c r="B208">
        <v>1</v>
      </c>
      <c r="C208" s="5">
        <v>1219620</v>
      </c>
    </row>
    <row r="209" spans="1:3" x14ac:dyDescent="0.25">
      <c r="A209" s="19" t="s">
        <v>3017</v>
      </c>
      <c r="B209">
        <v>1</v>
      </c>
      <c r="C209" s="5">
        <v>1219620</v>
      </c>
    </row>
    <row r="210" spans="1:3" x14ac:dyDescent="0.25">
      <c r="A210" s="18" t="s">
        <v>3158</v>
      </c>
      <c r="B210">
        <v>1</v>
      </c>
      <c r="C210" s="5">
        <v>2521338.19</v>
      </c>
    </row>
    <row r="211" spans="1:3" x14ac:dyDescent="0.25">
      <c r="A211" s="19" t="s">
        <v>3155</v>
      </c>
      <c r="B211">
        <v>1</v>
      </c>
      <c r="C211" s="5">
        <v>2521338.19</v>
      </c>
    </row>
    <row r="212" spans="1:3" x14ac:dyDescent="0.25">
      <c r="A212" s="18" t="s">
        <v>3202</v>
      </c>
      <c r="B212">
        <v>1</v>
      </c>
      <c r="C212" s="5">
        <v>1960730.38</v>
      </c>
    </row>
    <row r="213" spans="1:3" x14ac:dyDescent="0.25">
      <c r="A213" s="19" t="s">
        <v>3198</v>
      </c>
      <c r="B213">
        <v>1</v>
      </c>
      <c r="C213" s="5">
        <v>1960730.38</v>
      </c>
    </row>
    <row r="214" spans="1:3" x14ac:dyDescent="0.25">
      <c r="A214" s="18" t="s">
        <v>3325</v>
      </c>
      <c r="B214">
        <v>3</v>
      </c>
      <c r="C214" s="5">
        <v>39889875.43</v>
      </c>
    </row>
    <row r="215" spans="1:3" x14ac:dyDescent="0.25">
      <c r="A215" s="19" t="s">
        <v>3322</v>
      </c>
      <c r="B215">
        <v>1</v>
      </c>
      <c r="C215" s="5">
        <v>11119012.02</v>
      </c>
    </row>
    <row r="216" spans="1:3" x14ac:dyDescent="0.25">
      <c r="A216" s="19" t="s">
        <v>3960</v>
      </c>
      <c r="B216">
        <v>1</v>
      </c>
      <c r="C216" s="5">
        <v>9668868.3800000008</v>
      </c>
    </row>
    <row r="217" spans="1:3" x14ac:dyDescent="0.25">
      <c r="A217" s="19" t="s">
        <v>3982</v>
      </c>
      <c r="B217">
        <v>1</v>
      </c>
      <c r="C217" s="5">
        <v>19101995.030000001</v>
      </c>
    </row>
    <row r="218" spans="1:3" x14ac:dyDescent="0.25">
      <c r="A218" s="18" t="s">
        <v>3479</v>
      </c>
      <c r="B218">
        <v>1</v>
      </c>
      <c r="C218" s="5">
        <v>3058796.58</v>
      </c>
    </row>
    <row r="219" spans="1:3" x14ac:dyDescent="0.25">
      <c r="A219" s="19" t="s">
        <v>3588</v>
      </c>
      <c r="B219">
        <v>1</v>
      </c>
      <c r="C219" s="5">
        <v>3058796.58</v>
      </c>
    </row>
    <row r="220" spans="1:3" x14ac:dyDescent="0.25">
      <c r="A220" s="18" t="s">
        <v>3506</v>
      </c>
      <c r="B220">
        <v>1</v>
      </c>
      <c r="C220" s="5">
        <v>616700.69999999995</v>
      </c>
    </row>
    <row r="221" spans="1:3" x14ac:dyDescent="0.25">
      <c r="A221" s="19" t="s">
        <v>3503</v>
      </c>
      <c r="B221">
        <v>1</v>
      </c>
      <c r="C221" s="5">
        <v>616700.69999999995</v>
      </c>
    </row>
    <row r="222" spans="1:3" x14ac:dyDescent="0.25">
      <c r="A222" s="18" t="s">
        <v>3618</v>
      </c>
      <c r="B222">
        <v>1</v>
      </c>
      <c r="C222" s="5">
        <v>1137140.2</v>
      </c>
    </row>
    <row r="223" spans="1:3" x14ac:dyDescent="0.25">
      <c r="A223" s="19" t="s">
        <v>3615</v>
      </c>
      <c r="B223">
        <v>1</v>
      </c>
      <c r="C223" s="5">
        <v>1137140.2</v>
      </c>
    </row>
    <row r="224" spans="1:3" x14ac:dyDescent="0.25">
      <c r="A224" s="18" t="s">
        <v>3636</v>
      </c>
      <c r="B224">
        <v>1</v>
      </c>
      <c r="C224" s="5">
        <v>5808951.4699999997</v>
      </c>
    </row>
    <row r="225" spans="1:3" x14ac:dyDescent="0.25">
      <c r="A225" s="19" t="s">
        <v>3633</v>
      </c>
      <c r="B225">
        <v>1</v>
      </c>
      <c r="C225" s="5">
        <v>5808951.4699999997</v>
      </c>
    </row>
    <row r="226" spans="1:3" x14ac:dyDescent="0.25">
      <c r="A226" s="18" t="s">
        <v>3661</v>
      </c>
      <c r="B226">
        <v>2</v>
      </c>
      <c r="C226" s="5">
        <v>8591883.3000000007</v>
      </c>
    </row>
    <row r="227" spans="1:3" x14ac:dyDescent="0.25">
      <c r="A227" s="19" t="s">
        <v>3658</v>
      </c>
      <c r="B227">
        <v>1</v>
      </c>
      <c r="C227" s="5">
        <v>2950093.3</v>
      </c>
    </row>
    <row r="228" spans="1:3" x14ac:dyDescent="0.25">
      <c r="A228" s="19" t="s">
        <v>3666</v>
      </c>
      <c r="B228">
        <v>1</v>
      </c>
      <c r="C228" s="5">
        <v>5641790</v>
      </c>
    </row>
    <row r="229" spans="1:3" x14ac:dyDescent="0.25">
      <c r="A229" s="18" t="s">
        <v>3672</v>
      </c>
      <c r="B229">
        <v>1</v>
      </c>
      <c r="C229" s="5">
        <v>110670</v>
      </c>
    </row>
    <row r="230" spans="1:3" x14ac:dyDescent="0.25">
      <c r="A230" s="19" t="s">
        <v>3669</v>
      </c>
      <c r="B230">
        <v>1</v>
      </c>
      <c r="C230" s="5">
        <v>110670</v>
      </c>
    </row>
    <row r="231" spans="1:3" x14ac:dyDescent="0.25">
      <c r="A231" s="18" t="s">
        <v>3689</v>
      </c>
      <c r="B231">
        <v>2</v>
      </c>
      <c r="C231" s="5">
        <v>4958696.4800000004</v>
      </c>
    </row>
    <row r="232" spans="1:3" x14ac:dyDescent="0.25">
      <c r="A232" s="19" t="s">
        <v>3686</v>
      </c>
      <c r="B232">
        <v>1</v>
      </c>
      <c r="C232" s="5">
        <v>4094171</v>
      </c>
    </row>
    <row r="233" spans="1:3" x14ac:dyDescent="0.25">
      <c r="A233" s="19" t="s">
        <v>4031</v>
      </c>
      <c r="B233">
        <v>1</v>
      </c>
      <c r="C233" s="5">
        <v>864525.48</v>
      </c>
    </row>
    <row r="234" spans="1:3" x14ac:dyDescent="0.25">
      <c r="A234" s="18" t="s">
        <v>3808</v>
      </c>
      <c r="B234">
        <v>3</v>
      </c>
      <c r="C234" s="5">
        <v>2102273.04</v>
      </c>
    </row>
    <row r="235" spans="1:3" x14ac:dyDescent="0.25">
      <c r="A235" s="19" t="s">
        <v>3805</v>
      </c>
      <c r="B235">
        <v>1</v>
      </c>
      <c r="C235" s="5">
        <v>529640.43999999994</v>
      </c>
    </row>
    <row r="236" spans="1:3" x14ac:dyDescent="0.25">
      <c r="A236" s="19" t="s">
        <v>3810</v>
      </c>
      <c r="B236">
        <v>1</v>
      </c>
      <c r="C236" s="5">
        <v>1037132.6</v>
      </c>
    </row>
    <row r="237" spans="1:3" x14ac:dyDescent="0.25">
      <c r="A237" s="19" t="s">
        <v>3813</v>
      </c>
      <c r="B237">
        <v>1</v>
      </c>
      <c r="C237" s="5">
        <v>535500</v>
      </c>
    </row>
    <row r="238" spans="1:3" x14ac:dyDescent="0.25">
      <c r="A238" s="18" t="s">
        <v>3837</v>
      </c>
      <c r="B238">
        <v>1</v>
      </c>
      <c r="C238" s="5">
        <v>452200</v>
      </c>
    </row>
    <row r="239" spans="1:3" x14ac:dyDescent="0.25">
      <c r="A239" s="19" t="s">
        <v>3834</v>
      </c>
      <c r="B239">
        <v>1</v>
      </c>
      <c r="C239" s="5">
        <v>452200</v>
      </c>
    </row>
    <row r="240" spans="1:3" x14ac:dyDescent="0.25">
      <c r="A240" s="18" t="s">
        <v>3842</v>
      </c>
      <c r="B240">
        <v>1</v>
      </c>
      <c r="C240" s="5">
        <v>1228387.0900000001</v>
      </c>
    </row>
    <row r="241" spans="1:3" x14ac:dyDescent="0.25">
      <c r="A241" s="19" t="s">
        <v>3839</v>
      </c>
      <c r="B241">
        <v>1</v>
      </c>
      <c r="C241" s="5">
        <v>1228387.0900000001</v>
      </c>
    </row>
    <row r="242" spans="1:3" x14ac:dyDescent="0.25">
      <c r="A242" s="18" t="s">
        <v>3943</v>
      </c>
      <c r="B242">
        <v>1</v>
      </c>
      <c r="C242" s="5">
        <v>1532125</v>
      </c>
    </row>
    <row r="243" spans="1:3" x14ac:dyDescent="0.25">
      <c r="A243" s="19" t="s">
        <v>3940</v>
      </c>
      <c r="B243">
        <v>1</v>
      </c>
      <c r="C243" s="5">
        <v>1532125</v>
      </c>
    </row>
    <row r="244" spans="1:3" x14ac:dyDescent="0.25">
      <c r="A244" s="18" t="s">
        <v>4026</v>
      </c>
      <c r="B244">
        <v>1</v>
      </c>
      <c r="C244" s="5">
        <v>2524223.1</v>
      </c>
    </row>
    <row r="245" spans="1:3" x14ac:dyDescent="0.25">
      <c r="A245" s="19" t="s">
        <v>4023</v>
      </c>
      <c r="B245">
        <v>1</v>
      </c>
      <c r="C245" s="5">
        <v>2524223.1</v>
      </c>
    </row>
    <row r="246" spans="1:3" x14ac:dyDescent="0.25">
      <c r="A246" s="18" t="s">
        <v>4048</v>
      </c>
      <c r="B246">
        <v>1</v>
      </c>
      <c r="C246" s="5">
        <v>7480857</v>
      </c>
    </row>
    <row r="247" spans="1:3" x14ac:dyDescent="0.25">
      <c r="A247" s="19" t="s">
        <v>4045</v>
      </c>
      <c r="B247">
        <v>1</v>
      </c>
      <c r="C247" s="5">
        <v>7480857</v>
      </c>
    </row>
    <row r="248" spans="1:3" x14ac:dyDescent="0.25">
      <c r="A248" s="18" t="s">
        <v>4146</v>
      </c>
      <c r="B248">
        <v>1</v>
      </c>
      <c r="C248" s="5">
        <v>990675</v>
      </c>
    </row>
    <row r="249" spans="1:3" x14ac:dyDescent="0.25">
      <c r="A249" s="19" t="s">
        <v>4143</v>
      </c>
      <c r="B249">
        <v>1</v>
      </c>
      <c r="C249" s="5">
        <v>990675</v>
      </c>
    </row>
    <row r="250" spans="1:3" x14ac:dyDescent="0.25">
      <c r="A250" s="18" t="s">
        <v>4151</v>
      </c>
      <c r="B250">
        <v>2</v>
      </c>
      <c r="C250" s="5">
        <v>684726</v>
      </c>
    </row>
    <row r="251" spans="1:3" x14ac:dyDescent="0.25">
      <c r="A251" s="19" t="s">
        <v>4148</v>
      </c>
      <c r="B251">
        <v>1</v>
      </c>
      <c r="C251" s="5">
        <v>564774</v>
      </c>
    </row>
    <row r="252" spans="1:3" x14ac:dyDescent="0.25">
      <c r="A252" s="19" t="s">
        <v>4245</v>
      </c>
      <c r="B252">
        <v>1</v>
      </c>
      <c r="C252" s="5">
        <v>119952</v>
      </c>
    </row>
    <row r="253" spans="1:3" x14ac:dyDescent="0.25">
      <c r="A253" s="18" t="s">
        <v>4181</v>
      </c>
      <c r="B253">
        <v>1</v>
      </c>
      <c r="C253" s="5">
        <v>3350000</v>
      </c>
    </row>
    <row r="254" spans="1:3" x14ac:dyDescent="0.25">
      <c r="A254" s="19" t="s">
        <v>4178</v>
      </c>
      <c r="B254">
        <v>1</v>
      </c>
      <c r="C254" s="5">
        <v>3350000</v>
      </c>
    </row>
    <row r="255" spans="1:3" x14ac:dyDescent="0.25">
      <c r="A255" s="18" t="s">
        <v>4228</v>
      </c>
      <c r="B255">
        <v>1</v>
      </c>
      <c r="C255" s="5">
        <v>21093940</v>
      </c>
    </row>
    <row r="256" spans="1:3" x14ac:dyDescent="0.25">
      <c r="A256" s="19" t="s">
        <v>4225</v>
      </c>
      <c r="B256">
        <v>1</v>
      </c>
      <c r="C256" s="5">
        <v>21093940</v>
      </c>
    </row>
    <row r="257" spans="1:3" x14ac:dyDescent="0.25">
      <c r="A257" s="18" t="s">
        <v>4372</v>
      </c>
      <c r="B257">
        <v>148</v>
      </c>
      <c r="C257" s="5">
        <v>387429619.40999997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3FC98-7913-4412-9D4A-B5D26BF78823}">
  <dimension ref="A1:D275"/>
  <sheetViews>
    <sheetView workbookViewId="0">
      <selection activeCell="A7" sqref="A7"/>
    </sheetView>
  </sheetViews>
  <sheetFormatPr baseColWidth="10" defaultColWidth="9.140625" defaultRowHeight="15" x14ac:dyDescent="0.25"/>
  <cols>
    <col min="1" max="1" width="73.140625" bestFit="1" customWidth="1"/>
    <col min="2" max="2" width="7.7109375" bestFit="1" customWidth="1"/>
    <col min="3" max="3" width="17.85546875" bestFit="1" customWidth="1"/>
    <col min="4" max="4" width="15.140625" bestFit="1" customWidth="1"/>
    <col min="5" max="241" width="6.28515625" bestFit="1" customWidth="1"/>
    <col min="242" max="242" width="13.5703125" bestFit="1" customWidth="1"/>
    <col min="243" max="243" width="11.42578125" bestFit="1" customWidth="1"/>
    <col min="244" max="244" width="13" bestFit="1" customWidth="1"/>
    <col min="245" max="248" width="11.42578125" bestFit="1" customWidth="1"/>
    <col min="249" max="249" width="10.42578125" bestFit="1" customWidth="1"/>
    <col min="250" max="252" width="11.42578125" bestFit="1" customWidth="1"/>
    <col min="253" max="254" width="13" bestFit="1" customWidth="1"/>
    <col min="255" max="256" width="11.42578125" bestFit="1" customWidth="1"/>
    <col min="257" max="257" width="13" bestFit="1" customWidth="1"/>
    <col min="258" max="258" width="11.42578125" bestFit="1" customWidth="1"/>
    <col min="259" max="260" width="13" bestFit="1" customWidth="1"/>
    <col min="261" max="262" width="11.42578125" bestFit="1" customWidth="1"/>
    <col min="263" max="263" width="13" bestFit="1" customWidth="1"/>
    <col min="264" max="264" width="11.42578125" bestFit="1" customWidth="1"/>
    <col min="265" max="266" width="13" bestFit="1" customWidth="1"/>
    <col min="267" max="267" width="14" bestFit="1" customWidth="1"/>
    <col min="268" max="269" width="13" bestFit="1" customWidth="1"/>
    <col min="270" max="270" width="10.42578125" bestFit="1" customWidth="1"/>
    <col min="271" max="271" width="11.42578125" bestFit="1" customWidth="1"/>
    <col min="272" max="273" width="13" bestFit="1" customWidth="1"/>
    <col min="274" max="274" width="14" bestFit="1" customWidth="1"/>
    <col min="275" max="275" width="11.42578125" bestFit="1" customWidth="1"/>
    <col min="276" max="277" width="13" bestFit="1" customWidth="1"/>
    <col min="278" max="279" width="10.42578125" bestFit="1" customWidth="1"/>
    <col min="280" max="280" width="11.42578125" bestFit="1" customWidth="1"/>
    <col min="281" max="281" width="13" bestFit="1" customWidth="1"/>
    <col min="282" max="282" width="11.42578125" bestFit="1" customWidth="1"/>
    <col min="283" max="283" width="13" bestFit="1" customWidth="1"/>
    <col min="284" max="284" width="10.42578125" bestFit="1" customWidth="1"/>
    <col min="285" max="286" width="11.42578125" bestFit="1" customWidth="1"/>
    <col min="287" max="287" width="10.42578125" bestFit="1" customWidth="1"/>
    <col min="288" max="289" width="11.42578125" bestFit="1" customWidth="1"/>
    <col min="290" max="290" width="10.42578125" bestFit="1" customWidth="1"/>
    <col min="291" max="295" width="11.42578125" bestFit="1" customWidth="1"/>
    <col min="296" max="296" width="13" bestFit="1" customWidth="1"/>
    <col min="297" max="297" width="14" bestFit="1" customWidth="1"/>
    <col min="298" max="299" width="10.42578125" bestFit="1" customWidth="1"/>
    <col min="300" max="306" width="11.42578125" bestFit="1" customWidth="1"/>
    <col min="307" max="307" width="10.42578125" bestFit="1" customWidth="1"/>
    <col min="308" max="308" width="13" bestFit="1" customWidth="1"/>
    <col min="309" max="309" width="11.42578125" bestFit="1" customWidth="1"/>
    <col min="310" max="313" width="13" bestFit="1" customWidth="1"/>
    <col min="314" max="314" width="11.42578125" bestFit="1" customWidth="1"/>
    <col min="315" max="317" width="13" bestFit="1" customWidth="1"/>
    <col min="318" max="319" width="11.42578125" bestFit="1" customWidth="1"/>
    <col min="320" max="320" width="13" bestFit="1" customWidth="1"/>
    <col min="321" max="321" width="14" bestFit="1" customWidth="1"/>
    <col min="322" max="322" width="13" bestFit="1" customWidth="1"/>
    <col min="323" max="323" width="10.42578125" bestFit="1" customWidth="1"/>
    <col min="324" max="324" width="13" bestFit="1" customWidth="1"/>
    <col min="325" max="328" width="11.42578125" bestFit="1" customWidth="1"/>
    <col min="329" max="329" width="10.42578125" bestFit="1" customWidth="1"/>
    <col min="330" max="330" width="13" bestFit="1" customWidth="1"/>
    <col min="331" max="331" width="14" bestFit="1" customWidth="1"/>
    <col min="332" max="332" width="11.42578125" bestFit="1" customWidth="1"/>
    <col min="333" max="333" width="13" bestFit="1" customWidth="1"/>
    <col min="334" max="334" width="11.42578125" bestFit="1" customWidth="1"/>
    <col min="335" max="335" width="15" bestFit="1" customWidth="1"/>
    <col min="336" max="336" width="14" bestFit="1" customWidth="1"/>
    <col min="337" max="343" width="11.42578125" bestFit="1" customWidth="1"/>
    <col min="344" max="345" width="13" bestFit="1" customWidth="1"/>
    <col min="346" max="346" width="10.42578125" bestFit="1" customWidth="1"/>
    <col min="347" max="350" width="13" bestFit="1" customWidth="1"/>
    <col min="351" max="352" width="11.42578125" bestFit="1" customWidth="1"/>
    <col min="353" max="355" width="13" bestFit="1" customWidth="1"/>
    <col min="356" max="357" width="11.42578125" bestFit="1" customWidth="1"/>
    <col min="358" max="358" width="10.42578125" bestFit="1" customWidth="1"/>
    <col min="359" max="361" width="11.42578125" bestFit="1" customWidth="1"/>
    <col min="362" max="362" width="10.42578125" bestFit="1" customWidth="1"/>
    <col min="363" max="363" width="13" bestFit="1" customWidth="1"/>
    <col min="364" max="367" width="11.42578125" bestFit="1" customWidth="1"/>
    <col min="368" max="371" width="13" bestFit="1" customWidth="1"/>
    <col min="372" max="372" width="11.42578125" bestFit="1" customWidth="1"/>
    <col min="373" max="373" width="10.42578125" bestFit="1" customWidth="1"/>
    <col min="374" max="374" width="11.42578125" bestFit="1" customWidth="1"/>
    <col min="375" max="375" width="13" bestFit="1" customWidth="1"/>
    <col min="376" max="378" width="11.42578125" bestFit="1" customWidth="1"/>
    <col min="379" max="382" width="13" bestFit="1" customWidth="1"/>
    <col min="383" max="383" width="14" bestFit="1" customWidth="1"/>
    <col min="384" max="386" width="13" bestFit="1" customWidth="1"/>
    <col min="387" max="388" width="14" bestFit="1" customWidth="1"/>
    <col min="389" max="389" width="13" bestFit="1" customWidth="1"/>
    <col min="390" max="392" width="11.42578125" bestFit="1" customWidth="1"/>
    <col min="393" max="393" width="14" bestFit="1" customWidth="1"/>
    <col min="394" max="396" width="11.42578125" bestFit="1" customWidth="1"/>
    <col min="397" max="399" width="13" bestFit="1" customWidth="1"/>
    <col min="400" max="400" width="10.42578125" bestFit="1" customWidth="1"/>
    <col min="401" max="404" width="11.42578125" bestFit="1" customWidth="1"/>
    <col min="405" max="406" width="13" bestFit="1" customWidth="1"/>
    <col min="407" max="407" width="10.42578125" bestFit="1" customWidth="1"/>
    <col min="408" max="410" width="11.42578125" bestFit="1" customWidth="1"/>
    <col min="411" max="413" width="14" bestFit="1" customWidth="1"/>
    <col min="414" max="414" width="13" bestFit="1" customWidth="1"/>
    <col min="415" max="415" width="14" bestFit="1" customWidth="1"/>
    <col min="416" max="418" width="13" bestFit="1" customWidth="1"/>
    <col min="419" max="420" width="11.42578125" bestFit="1" customWidth="1"/>
    <col min="421" max="421" width="14" bestFit="1" customWidth="1"/>
    <col min="422" max="422" width="13" bestFit="1" customWidth="1"/>
    <col min="423" max="424" width="11.42578125" bestFit="1" customWidth="1"/>
    <col min="425" max="427" width="13" bestFit="1" customWidth="1"/>
    <col min="428" max="428" width="11.42578125" bestFit="1" customWidth="1"/>
    <col min="429" max="429" width="13" bestFit="1" customWidth="1"/>
    <col min="430" max="430" width="14" bestFit="1" customWidth="1"/>
    <col min="431" max="432" width="13" bestFit="1" customWidth="1"/>
    <col min="433" max="433" width="10.42578125" bestFit="1" customWidth="1"/>
    <col min="434" max="434" width="11.42578125" bestFit="1" customWidth="1"/>
    <col min="435" max="435" width="13" bestFit="1" customWidth="1"/>
    <col min="436" max="437" width="11.42578125" bestFit="1" customWidth="1"/>
    <col min="438" max="438" width="10.42578125" bestFit="1" customWidth="1"/>
    <col min="439" max="439" width="11.42578125" bestFit="1" customWidth="1"/>
    <col min="440" max="440" width="10.42578125" bestFit="1" customWidth="1"/>
    <col min="441" max="445" width="13" bestFit="1" customWidth="1"/>
    <col min="446" max="449" width="10.42578125" bestFit="1" customWidth="1"/>
    <col min="450" max="450" width="13" bestFit="1" customWidth="1"/>
    <col min="451" max="455" width="11.42578125" bestFit="1" customWidth="1"/>
    <col min="456" max="456" width="13" bestFit="1" customWidth="1"/>
    <col min="457" max="458" width="11.42578125" bestFit="1" customWidth="1"/>
    <col min="459" max="459" width="13" bestFit="1" customWidth="1"/>
    <col min="460" max="464" width="11.42578125" bestFit="1" customWidth="1"/>
    <col min="465" max="465" width="13" bestFit="1" customWidth="1"/>
    <col min="466" max="466" width="11.42578125" bestFit="1" customWidth="1"/>
    <col min="467" max="467" width="13" bestFit="1" customWidth="1"/>
    <col min="468" max="468" width="11.42578125" bestFit="1" customWidth="1"/>
    <col min="469" max="469" width="13" bestFit="1" customWidth="1"/>
    <col min="470" max="472" width="11.42578125" bestFit="1" customWidth="1"/>
    <col min="473" max="473" width="15" bestFit="1" customWidth="1"/>
    <col min="474" max="476" width="13" bestFit="1" customWidth="1"/>
    <col min="477" max="477" width="11.42578125" bestFit="1" customWidth="1"/>
    <col min="478" max="478" width="10.42578125" bestFit="1" customWidth="1"/>
    <col min="479" max="479" width="13" bestFit="1" customWidth="1"/>
    <col min="480" max="480" width="11.42578125" bestFit="1" customWidth="1"/>
    <col min="481" max="481" width="13" bestFit="1" customWidth="1"/>
    <col min="482" max="482" width="22.85546875" bestFit="1" customWidth="1"/>
    <col min="483" max="483" width="18.5703125" bestFit="1" customWidth="1"/>
  </cols>
  <sheetData>
    <row r="1" spans="1:4" x14ac:dyDescent="0.25">
      <c r="A1" s="4" t="s">
        <v>27</v>
      </c>
      <c r="B1" t="s">
        <v>43</v>
      </c>
    </row>
    <row r="3" spans="1:4" x14ac:dyDescent="0.25">
      <c r="A3" s="4" t="s">
        <v>19</v>
      </c>
      <c r="B3" s="4" t="s">
        <v>11</v>
      </c>
      <c r="C3" t="s">
        <v>4387</v>
      </c>
      <c r="D3" t="s">
        <v>4316</v>
      </c>
    </row>
    <row r="4" spans="1:4" x14ac:dyDescent="0.25">
      <c r="A4" t="s">
        <v>1411</v>
      </c>
      <c r="B4" t="s">
        <v>1416</v>
      </c>
      <c r="C4">
        <v>1</v>
      </c>
      <c r="D4" s="5">
        <v>2353820</v>
      </c>
    </row>
    <row r="5" spans="1:4" x14ac:dyDescent="0.25">
      <c r="A5" t="s">
        <v>4388</v>
      </c>
      <c r="C5">
        <v>1</v>
      </c>
      <c r="D5" s="5">
        <v>2353820</v>
      </c>
    </row>
    <row r="6" spans="1:4" x14ac:dyDescent="0.25">
      <c r="A6" t="s">
        <v>2721</v>
      </c>
      <c r="B6" t="s">
        <v>2718</v>
      </c>
      <c r="C6">
        <v>1</v>
      </c>
      <c r="D6" s="5">
        <v>1999200</v>
      </c>
    </row>
    <row r="7" spans="1:4" x14ac:dyDescent="0.25">
      <c r="A7" t="s">
        <v>4389</v>
      </c>
      <c r="C7">
        <v>1</v>
      </c>
      <c r="D7" s="5">
        <v>1999200</v>
      </c>
    </row>
    <row r="8" spans="1:4" x14ac:dyDescent="0.25">
      <c r="A8" t="s">
        <v>1689</v>
      </c>
      <c r="B8" t="s">
        <v>1686</v>
      </c>
      <c r="C8">
        <v>1</v>
      </c>
      <c r="D8" s="5">
        <v>293820</v>
      </c>
    </row>
    <row r="9" spans="1:4" x14ac:dyDescent="0.25">
      <c r="A9" t="s">
        <v>4390</v>
      </c>
      <c r="C9">
        <v>1</v>
      </c>
      <c r="D9" s="5">
        <v>293820</v>
      </c>
    </row>
    <row r="10" spans="1:4" x14ac:dyDescent="0.25">
      <c r="A10" t="s">
        <v>2742</v>
      </c>
      <c r="B10" t="s">
        <v>3062</v>
      </c>
      <c r="C10">
        <v>1</v>
      </c>
      <c r="D10" s="5">
        <v>19800</v>
      </c>
    </row>
    <row r="11" spans="1:4" x14ac:dyDescent="0.25">
      <c r="A11" t="s">
        <v>4391</v>
      </c>
      <c r="C11">
        <v>1</v>
      </c>
      <c r="D11" s="5">
        <v>19800</v>
      </c>
    </row>
    <row r="12" spans="1:4" x14ac:dyDescent="0.25">
      <c r="A12" t="s">
        <v>172</v>
      </c>
      <c r="B12" t="s">
        <v>3340</v>
      </c>
      <c r="C12">
        <v>1</v>
      </c>
      <c r="D12" s="5">
        <v>857588.97</v>
      </c>
    </row>
    <row r="13" spans="1:4" x14ac:dyDescent="0.25">
      <c r="B13" t="s">
        <v>3419</v>
      </c>
      <c r="C13">
        <v>1</v>
      </c>
      <c r="D13" s="5">
        <v>3732696.8</v>
      </c>
    </row>
    <row r="14" spans="1:4" x14ac:dyDescent="0.25">
      <c r="A14" t="s">
        <v>4392</v>
      </c>
      <c r="C14">
        <v>2</v>
      </c>
      <c r="D14" s="5">
        <v>4590285.7699999996</v>
      </c>
    </row>
    <row r="15" spans="1:4" x14ac:dyDescent="0.25">
      <c r="A15" t="s">
        <v>1663</v>
      </c>
      <c r="B15" t="s">
        <v>1660</v>
      </c>
      <c r="C15">
        <v>1</v>
      </c>
      <c r="D15" s="5">
        <v>6907892.8799999999</v>
      </c>
    </row>
    <row r="16" spans="1:4" x14ac:dyDescent="0.25">
      <c r="B16" t="s">
        <v>2834</v>
      </c>
      <c r="C16">
        <v>1</v>
      </c>
      <c r="D16" s="5">
        <v>4012680</v>
      </c>
    </row>
    <row r="17" spans="1:4" x14ac:dyDescent="0.25">
      <c r="B17" t="s">
        <v>2837</v>
      </c>
      <c r="C17">
        <v>1</v>
      </c>
      <c r="D17" s="5">
        <v>2319072</v>
      </c>
    </row>
    <row r="18" spans="1:4" x14ac:dyDescent="0.25">
      <c r="B18" t="s">
        <v>3736</v>
      </c>
      <c r="C18">
        <v>1</v>
      </c>
      <c r="D18" s="5">
        <v>6425762</v>
      </c>
    </row>
    <row r="19" spans="1:4" x14ac:dyDescent="0.25">
      <c r="B19" t="s">
        <v>3739</v>
      </c>
      <c r="C19">
        <v>1</v>
      </c>
      <c r="D19" s="5">
        <v>4679400</v>
      </c>
    </row>
    <row r="20" spans="1:4" x14ac:dyDescent="0.25">
      <c r="A20" t="s">
        <v>4393</v>
      </c>
      <c r="C20">
        <v>5</v>
      </c>
      <c r="D20" s="5">
        <v>24344806.879999999</v>
      </c>
    </row>
    <row r="21" spans="1:4" x14ac:dyDescent="0.25">
      <c r="A21" t="s">
        <v>374</v>
      </c>
      <c r="B21" t="s">
        <v>371</v>
      </c>
      <c r="C21">
        <v>1</v>
      </c>
      <c r="D21" s="5">
        <v>22729000</v>
      </c>
    </row>
    <row r="22" spans="1:4" x14ac:dyDescent="0.25">
      <c r="B22" t="s">
        <v>376</v>
      </c>
      <c r="C22">
        <v>1</v>
      </c>
      <c r="D22" s="5">
        <v>19611200</v>
      </c>
    </row>
    <row r="23" spans="1:4" x14ac:dyDescent="0.25">
      <c r="A23" t="s">
        <v>4394</v>
      </c>
      <c r="C23">
        <v>2</v>
      </c>
      <c r="D23" s="5">
        <v>42340200</v>
      </c>
    </row>
    <row r="24" spans="1:4" x14ac:dyDescent="0.25">
      <c r="A24" t="s">
        <v>1842</v>
      </c>
      <c r="B24" t="s">
        <v>1839</v>
      </c>
      <c r="C24">
        <v>1</v>
      </c>
      <c r="D24" s="5">
        <v>2015793.78</v>
      </c>
    </row>
    <row r="25" spans="1:4" x14ac:dyDescent="0.25">
      <c r="A25" t="s">
        <v>4395</v>
      </c>
      <c r="C25">
        <v>1</v>
      </c>
      <c r="D25" s="5">
        <v>2015793.78</v>
      </c>
    </row>
    <row r="26" spans="1:4" x14ac:dyDescent="0.25">
      <c r="A26" t="s">
        <v>1369</v>
      </c>
      <c r="B26" t="s">
        <v>3526</v>
      </c>
      <c r="C26">
        <v>1</v>
      </c>
      <c r="D26" s="5">
        <v>788970</v>
      </c>
    </row>
    <row r="27" spans="1:4" x14ac:dyDescent="0.25">
      <c r="B27" t="s">
        <v>3529</v>
      </c>
      <c r="C27">
        <v>1</v>
      </c>
      <c r="D27" s="5">
        <v>222649</v>
      </c>
    </row>
    <row r="28" spans="1:4" x14ac:dyDescent="0.25">
      <c r="B28" t="s">
        <v>3968</v>
      </c>
      <c r="C28">
        <v>1</v>
      </c>
      <c r="D28" s="5">
        <v>195914.46</v>
      </c>
    </row>
    <row r="29" spans="1:4" x14ac:dyDescent="0.25">
      <c r="B29" t="s">
        <v>3995</v>
      </c>
      <c r="C29">
        <v>1</v>
      </c>
      <c r="D29" s="5">
        <v>51765</v>
      </c>
    </row>
    <row r="30" spans="1:4" x14ac:dyDescent="0.25">
      <c r="A30" t="s">
        <v>4396</v>
      </c>
      <c r="C30">
        <v>4</v>
      </c>
      <c r="D30" s="5">
        <v>1259298.46</v>
      </c>
    </row>
    <row r="31" spans="1:4" x14ac:dyDescent="0.25">
      <c r="A31" t="s">
        <v>211</v>
      </c>
      <c r="B31" t="s">
        <v>1828</v>
      </c>
      <c r="C31">
        <v>1</v>
      </c>
      <c r="D31" s="5">
        <v>23458076.109999999</v>
      </c>
    </row>
    <row r="32" spans="1:4" x14ac:dyDescent="0.25">
      <c r="A32" t="s">
        <v>4397</v>
      </c>
      <c r="C32">
        <v>1</v>
      </c>
      <c r="D32" s="5">
        <v>23458076.109999999</v>
      </c>
    </row>
    <row r="33" spans="1:4" x14ac:dyDescent="0.25">
      <c r="A33" t="s">
        <v>1516</v>
      </c>
      <c r="B33" t="s">
        <v>1513</v>
      </c>
      <c r="C33">
        <v>1</v>
      </c>
      <c r="D33" s="5">
        <v>3314999.66</v>
      </c>
    </row>
    <row r="34" spans="1:4" x14ac:dyDescent="0.25">
      <c r="A34" t="s">
        <v>4398</v>
      </c>
      <c r="C34">
        <v>1</v>
      </c>
      <c r="D34" s="5">
        <v>3314999.66</v>
      </c>
    </row>
    <row r="35" spans="1:4" x14ac:dyDescent="0.25">
      <c r="A35" t="s">
        <v>144</v>
      </c>
      <c r="B35" t="s">
        <v>141</v>
      </c>
      <c r="C35">
        <v>1</v>
      </c>
      <c r="D35" s="5">
        <v>6375620.1600000001</v>
      </c>
    </row>
    <row r="36" spans="1:4" x14ac:dyDescent="0.25">
      <c r="B36" t="s">
        <v>146</v>
      </c>
      <c r="C36">
        <v>1</v>
      </c>
      <c r="D36" s="5">
        <v>3187810.08</v>
      </c>
    </row>
    <row r="37" spans="1:4" x14ac:dyDescent="0.25">
      <c r="B37" t="s">
        <v>624</v>
      </c>
      <c r="C37">
        <v>1</v>
      </c>
      <c r="D37" s="5">
        <v>163045.47</v>
      </c>
    </row>
    <row r="38" spans="1:4" x14ac:dyDescent="0.25">
      <c r="B38" t="s">
        <v>828</v>
      </c>
      <c r="C38">
        <v>1</v>
      </c>
      <c r="D38" s="5">
        <v>3187810.08</v>
      </c>
    </row>
    <row r="39" spans="1:4" x14ac:dyDescent="0.25">
      <c r="B39" t="s">
        <v>847</v>
      </c>
      <c r="C39">
        <v>1</v>
      </c>
      <c r="D39" s="5">
        <v>2337439.65</v>
      </c>
    </row>
    <row r="40" spans="1:4" x14ac:dyDescent="0.25">
      <c r="B40" t="s">
        <v>850</v>
      </c>
      <c r="C40">
        <v>1</v>
      </c>
      <c r="D40" s="5">
        <v>2337439.65</v>
      </c>
    </row>
    <row r="41" spans="1:4" x14ac:dyDescent="0.25">
      <c r="B41" t="s">
        <v>853</v>
      </c>
      <c r="C41">
        <v>1</v>
      </c>
      <c r="D41" s="5">
        <v>7012318.9500000002</v>
      </c>
    </row>
    <row r="42" spans="1:4" x14ac:dyDescent="0.25">
      <c r="B42" t="s">
        <v>1697</v>
      </c>
      <c r="C42">
        <v>1</v>
      </c>
      <c r="D42" s="5">
        <v>2337439.65</v>
      </c>
    </row>
    <row r="43" spans="1:4" x14ac:dyDescent="0.25">
      <c r="B43" t="s">
        <v>1700</v>
      </c>
      <c r="C43">
        <v>1</v>
      </c>
      <c r="D43" s="5">
        <v>3187810.08</v>
      </c>
    </row>
    <row r="44" spans="1:4" x14ac:dyDescent="0.25">
      <c r="B44" t="s">
        <v>3455</v>
      </c>
      <c r="C44">
        <v>1</v>
      </c>
      <c r="D44" s="5">
        <v>491993.59999999998</v>
      </c>
    </row>
    <row r="45" spans="1:4" x14ac:dyDescent="0.25">
      <c r="A45" t="s">
        <v>4375</v>
      </c>
      <c r="C45">
        <v>10</v>
      </c>
      <c r="D45" s="5">
        <v>30618727.369999997</v>
      </c>
    </row>
    <row r="46" spans="1:4" x14ac:dyDescent="0.25">
      <c r="A46" t="s">
        <v>80</v>
      </c>
      <c r="B46" t="s">
        <v>82</v>
      </c>
      <c r="C46">
        <v>1</v>
      </c>
      <c r="D46" s="5">
        <v>17453189.739999998</v>
      </c>
    </row>
    <row r="47" spans="1:4" x14ac:dyDescent="0.25">
      <c r="B47" t="s">
        <v>86</v>
      </c>
      <c r="C47">
        <v>1</v>
      </c>
      <c r="D47" s="5">
        <v>1535483.18</v>
      </c>
    </row>
    <row r="48" spans="1:4" x14ac:dyDescent="0.25">
      <c r="B48" t="s">
        <v>89</v>
      </c>
      <c r="C48">
        <v>1</v>
      </c>
      <c r="D48" s="5">
        <v>20067073.530000001</v>
      </c>
    </row>
    <row r="49" spans="2:4" x14ac:dyDescent="0.25">
      <c r="B49" t="s">
        <v>92</v>
      </c>
      <c r="C49">
        <v>1</v>
      </c>
      <c r="D49" s="5">
        <v>6141932.7199999997</v>
      </c>
    </row>
    <row r="50" spans="2:4" x14ac:dyDescent="0.25">
      <c r="B50" t="s">
        <v>95</v>
      </c>
      <c r="C50">
        <v>1</v>
      </c>
      <c r="D50" s="5">
        <v>645233.47</v>
      </c>
    </row>
    <row r="51" spans="2:4" x14ac:dyDescent="0.25">
      <c r="B51" t="s">
        <v>98</v>
      </c>
      <c r="C51">
        <v>1</v>
      </c>
      <c r="D51" s="5">
        <v>2337439.65</v>
      </c>
    </row>
    <row r="52" spans="2:4" x14ac:dyDescent="0.25">
      <c r="B52" t="s">
        <v>101</v>
      </c>
      <c r="C52">
        <v>1</v>
      </c>
      <c r="D52" s="5">
        <v>2337439.65</v>
      </c>
    </row>
    <row r="53" spans="2:4" x14ac:dyDescent="0.25">
      <c r="B53" t="s">
        <v>627</v>
      </c>
      <c r="C53">
        <v>1</v>
      </c>
      <c r="D53" s="5">
        <v>248531.5</v>
      </c>
    </row>
    <row r="54" spans="2:4" x14ac:dyDescent="0.25">
      <c r="B54" t="s">
        <v>831</v>
      </c>
      <c r="C54">
        <v>1</v>
      </c>
      <c r="D54" s="5">
        <v>16362077.550000001</v>
      </c>
    </row>
    <row r="55" spans="2:4" x14ac:dyDescent="0.25">
      <c r="B55" t="s">
        <v>834</v>
      </c>
      <c r="C55">
        <v>1</v>
      </c>
      <c r="D55" s="5">
        <v>5525249.7300000004</v>
      </c>
    </row>
    <row r="56" spans="2:4" x14ac:dyDescent="0.25">
      <c r="B56" t="s">
        <v>1270</v>
      </c>
      <c r="C56">
        <v>1</v>
      </c>
      <c r="D56" s="5">
        <v>1405687.5</v>
      </c>
    </row>
    <row r="57" spans="2:4" x14ac:dyDescent="0.25">
      <c r="B57" t="s">
        <v>1273</v>
      </c>
      <c r="C57">
        <v>1</v>
      </c>
      <c r="D57" s="5">
        <v>57120</v>
      </c>
    </row>
    <row r="58" spans="2:4" x14ac:dyDescent="0.25">
      <c r="B58" t="s">
        <v>1276</v>
      </c>
      <c r="C58">
        <v>1</v>
      </c>
      <c r="D58" s="5">
        <v>737015.79</v>
      </c>
    </row>
    <row r="59" spans="2:4" x14ac:dyDescent="0.25">
      <c r="B59" t="s">
        <v>1279</v>
      </c>
      <c r="C59">
        <v>1</v>
      </c>
      <c r="D59" s="5">
        <v>1338500.1000000001</v>
      </c>
    </row>
    <row r="60" spans="2:4" x14ac:dyDescent="0.25">
      <c r="B60" t="s">
        <v>1691</v>
      </c>
      <c r="C60">
        <v>1</v>
      </c>
      <c r="D60" s="5">
        <v>2337439.65</v>
      </c>
    </row>
    <row r="61" spans="2:4" x14ac:dyDescent="0.25">
      <c r="B61" t="s">
        <v>2639</v>
      </c>
      <c r="C61">
        <v>1</v>
      </c>
      <c r="D61" s="5">
        <v>740444.18</v>
      </c>
    </row>
    <row r="62" spans="2:4" x14ac:dyDescent="0.25">
      <c r="B62" t="s">
        <v>2647</v>
      </c>
      <c r="C62">
        <v>1</v>
      </c>
      <c r="D62" s="5">
        <v>370222.09</v>
      </c>
    </row>
    <row r="63" spans="2:4" x14ac:dyDescent="0.25">
      <c r="B63" t="s">
        <v>3918</v>
      </c>
      <c r="C63">
        <v>1</v>
      </c>
      <c r="D63" s="5">
        <v>2337439.65</v>
      </c>
    </row>
    <row r="64" spans="2:4" x14ac:dyDescent="0.25">
      <c r="B64" t="s">
        <v>3921</v>
      </c>
      <c r="C64">
        <v>1</v>
      </c>
      <c r="D64" s="5">
        <v>2337439.65</v>
      </c>
    </row>
    <row r="65" spans="1:4" x14ac:dyDescent="0.25">
      <c r="A65" t="s">
        <v>4322</v>
      </c>
      <c r="C65">
        <v>19</v>
      </c>
      <c r="D65" s="5">
        <v>84314959.330000028</v>
      </c>
    </row>
    <row r="66" spans="1:4" x14ac:dyDescent="0.25">
      <c r="A66" t="s">
        <v>727</v>
      </c>
      <c r="B66" t="s">
        <v>724</v>
      </c>
      <c r="C66">
        <v>1</v>
      </c>
      <c r="D66" s="5">
        <v>906899</v>
      </c>
    </row>
    <row r="67" spans="1:4" x14ac:dyDescent="0.25">
      <c r="A67" t="s">
        <v>4399</v>
      </c>
      <c r="C67">
        <v>1</v>
      </c>
      <c r="D67" s="5">
        <v>906899</v>
      </c>
    </row>
    <row r="68" spans="1:4" x14ac:dyDescent="0.25">
      <c r="A68" t="s">
        <v>1589</v>
      </c>
      <c r="B68" t="s">
        <v>1586</v>
      </c>
      <c r="C68">
        <v>1</v>
      </c>
      <c r="D68" s="5">
        <v>899640</v>
      </c>
    </row>
    <row r="69" spans="1:4" x14ac:dyDescent="0.25">
      <c r="A69" t="s">
        <v>4400</v>
      </c>
      <c r="C69">
        <v>1</v>
      </c>
      <c r="D69" s="5">
        <v>899640</v>
      </c>
    </row>
    <row r="70" spans="1:4" x14ac:dyDescent="0.25">
      <c r="A70" t="s">
        <v>2784</v>
      </c>
      <c r="B70" t="s">
        <v>2781</v>
      </c>
      <c r="C70">
        <v>1</v>
      </c>
      <c r="D70" s="5">
        <v>7723100</v>
      </c>
    </row>
    <row r="71" spans="1:4" x14ac:dyDescent="0.25">
      <c r="B71" t="s">
        <v>3764</v>
      </c>
      <c r="C71">
        <v>1</v>
      </c>
      <c r="D71" s="5">
        <v>571200</v>
      </c>
    </row>
    <row r="72" spans="1:4" x14ac:dyDescent="0.25">
      <c r="A72" t="s">
        <v>4401</v>
      </c>
      <c r="C72">
        <v>2</v>
      </c>
      <c r="D72" s="5">
        <v>8294300</v>
      </c>
    </row>
    <row r="73" spans="1:4" x14ac:dyDescent="0.25">
      <c r="A73" t="s">
        <v>2903</v>
      </c>
      <c r="B73" t="s">
        <v>2900</v>
      </c>
      <c r="C73">
        <v>1</v>
      </c>
      <c r="D73" s="5">
        <v>458150</v>
      </c>
    </row>
    <row r="74" spans="1:4" x14ac:dyDescent="0.25">
      <c r="A74" t="s">
        <v>4402</v>
      </c>
      <c r="C74">
        <v>1</v>
      </c>
      <c r="D74" s="5">
        <v>458150</v>
      </c>
    </row>
    <row r="75" spans="1:4" x14ac:dyDescent="0.25">
      <c r="A75" t="s">
        <v>113</v>
      </c>
      <c r="B75" t="s">
        <v>1258</v>
      </c>
      <c r="C75">
        <v>1</v>
      </c>
      <c r="D75" s="5">
        <v>737015.79</v>
      </c>
    </row>
    <row r="76" spans="1:4" x14ac:dyDescent="0.25">
      <c r="B76" t="s">
        <v>1261</v>
      </c>
      <c r="C76">
        <v>1</v>
      </c>
      <c r="D76" s="5">
        <v>101879.47</v>
      </c>
    </row>
    <row r="77" spans="1:4" x14ac:dyDescent="0.25">
      <c r="B77" t="s">
        <v>1264</v>
      </c>
      <c r="C77">
        <v>1</v>
      </c>
      <c r="D77" s="5">
        <v>44616.67</v>
      </c>
    </row>
    <row r="78" spans="1:4" x14ac:dyDescent="0.25">
      <c r="B78" t="s">
        <v>1267</v>
      </c>
      <c r="C78">
        <v>1</v>
      </c>
      <c r="D78" s="5">
        <v>10188755.01</v>
      </c>
    </row>
    <row r="79" spans="1:4" x14ac:dyDescent="0.25">
      <c r="B79" t="s">
        <v>1694</v>
      </c>
      <c r="C79">
        <v>1</v>
      </c>
      <c r="D79" s="5">
        <v>2337439.65</v>
      </c>
    </row>
    <row r="80" spans="1:4" x14ac:dyDescent="0.25">
      <c r="B80" t="s">
        <v>1703</v>
      </c>
      <c r="C80">
        <v>1</v>
      </c>
      <c r="D80" s="5">
        <v>2337439.65</v>
      </c>
    </row>
    <row r="81" spans="1:4" x14ac:dyDescent="0.25">
      <c r="B81" t="s">
        <v>3461</v>
      </c>
      <c r="C81">
        <v>1</v>
      </c>
      <c r="D81" s="5">
        <v>245996.79999999999</v>
      </c>
    </row>
    <row r="82" spans="1:4" x14ac:dyDescent="0.25">
      <c r="B82" t="s">
        <v>3464</v>
      </c>
      <c r="C82">
        <v>1</v>
      </c>
      <c r="D82" s="5">
        <v>245996.79999999999</v>
      </c>
    </row>
    <row r="83" spans="1:4" x14ac:dyDescent="0.25">
      <c r="A83" t="s">
        <v>4403</v>
      </c>
      <c r="C83">
        <v>8</v>
      </c>
      <c r="D83" s="5">
        <v>16239139.840000002</v>
      </c>
    </row>
    <row r="84" spans="1:4" x14ac:dyDescent="0.25">
      <c r="A84" t="s">
        <v>3245</v>
      </c>
      <c r="B84" t="s">
        <v>3242</v>
      </c>
      <c r="C84">
        <v>1</v>
      </c>
      <c r="D84" s="5">
        <v>49087.5</v>
      </c>
    </row>
    <row r="85" spans="1:4" x14ac:dyDescent="0.25">
      <c r="A85" t="s">
        <v>4404</v>
      </c>
      <c r="C85">
        <v>1</v>
      </c>
      <c r="D85" s="5">
        <v>49087.5</v>
      </c>
    </row>
    <row r="86" spans="1:4" x14ac:dyDescent="0.25">
      <c r="A86" t="s">
        <v>3605</v>
      </c>
      <c r="B86" t="s">
        <v>3607</v>
      </c>
      <c r="C86">
        <v>1</v>
      </c>
      <c r="D86" s="5">
        <v>1695214.5</v>
      </c>
    </row>
    <row r="87" spans="1:4" x14ac:dyDescent="0.25">
      <c r="A87" t="s">
        <v>4325</v>
      </c>
      <c r="C87">
        <v>1</v>
      </c>
      <c r="D87" s="5">
        <v>1695214.5</v>
      </c>
    </row>
    <row r="88" spans="1:4" x14ac:dyDescent="0.25">
      <c r="A88" t="s">
        <v>611</v>
      </c>
      <c r="B88" t="s">
        <v>2321</v>
      </c>
      <c r="C88">
        <v>1</v>
      </c>
      <c r="D88" s="5">
        <v>119000</v>
      </c>
    </row>
    <row r="89" spans="1:4" x14ac:dyDescent="0.25">
      <c r="B89" t="s">
        <v>2930</v>
      </c>
      <c r="C89">
        <v>1</v>
      </c>
      <c r="D89" s="5">
        <v>1303137.5</v>
      </c>
    </row>
    <row r="90" spans="1:4" x14ac:dyDescent="0.25">
      <c r="A90" t="s">
        <v>4405</v>
      </c>
      <c r="C90">
        <v>2</v>
      </c>
      <c r="D90" s="5">
        <v>1422137.5</v>
      </c>
    </row>
    <row r="91" spans="1:4" x14ac:dyDescent="0.25">
      <c r="A91" t="s">
        <v>1359</v>
      </c>
      <c r="B91" t="s">
        <v>1356</v>
      </c>
      <c r="C91">
        <v>1</v>
      </c>
      <c r="D91" s="5">
        <v>633389.4</v>
      </c>
    </row>
    <row r="92" spans="1:4" x14ac:dyDescent="0.25">
      <c r="A92" t="s">
        <v>4406</v>
      </c>
      <c r="C92">
        <v>1</v>
      </c>
      <c r="D92" s="5">
        <v>633389.4</v>
      </c>
    </row>
    <row r="93" spans="1:4" x14ac:dyDescent="0.25">
      <c r="A93" t="s">
        <v>63</v>
      </c>
      <c r="B93" t="s">
        <v>60</v>
      </c>
      <c r="C93">
        <v>1</v>
      </c>
      <c r="D93" s="5">
        <v>19962970</v>
      </c>
    </row>
    <row r="94" spans="1:4" x14ac:dyDescent="0.25">
      <c r="B94" t="s">
        <v>605</v>
      </c>
      <c r="C94">
        <v>1</v>
      </c>
      <c r="D94" s="5">
        <v>3841320</v>
      </c>
    </row>
    <row r="95" spans="1:4" x14ac:dyDescent="0.25">
      <c r="B95" t="s">
        <v>2492</v>
      </c>
      <c r="C95">
        <v>1</v>
      </c>
      <c r="D95" s="5">
        <v>21122500</v>
      </c>
    </row>
    <row r="96" spans="1:4" x14ac:dyDescent="0.25">
      <c r="A96" t="s">
        <v>4328</v>
      </c>
      <c r="C96">
        <v>3</v>
      </c>
      <c r="D96" s="5">
        <v>44926790</v>
      </c>
    </row>
    <row r="97" spans="1:4" x14ac:dyDescent="0.25">
      <c r="A97" t="s">
        <v>1379</v>
      </c>
      <c r="B97" t="s">
        <v>1376</v>
      </c>
      <c r="C97">
        <v>1</v>
      </c>
      <c r="D97" s="5">
        <v>214200</v>
      </c>
    </row>
    <row r="98" spans="1:4" x14ac:dyDescent="0.25">
      <c r="A98" t="s">
        <v>4407</v>
      </c>
      <c r="C98">
        <v>1</v>
      </c>
      <c r="D98" s="5">
        <v>214200</v>
      </c>
    </row>
    <row r="99" spans="1:4" x14ac:dyDescent="0.25">
      <c r="A99" t="s">
        <v>1306</v>
      </c>
      <c r="B99" t="s">
        <v>2692</v>
      </c>
      <c r="C99">
        <v>1</v>
      </c>
      <c r="D99" s="5">
        <v>89297600</v>
      </c>
    </row>
    <row r="100" spans="1:4" x14ac:dyDescent="0.25">
      <c r="A100" t="s">
        <v>4408</v>
      </c>
      <c r="C100">
        <v>1</v>
      </c>
      <c r="D100" s="5">
        <v>89297600</v>
      </c>
    </row>
    <row r="101" spans="1:4" x14ac:dyDescent="0.25">
      <c r="A101" t="s">
        <v>594</v>
      </c>
      <c r="B101" t="s">
        <v>591</v>
      </c>
      <c r="C101">
        <v>1</v>
      </c>
      <c r="D101" s="5">
        <v>2253069</v>
      </c>
    </row>
    <row r="102" spans="1:4" x14ac:dyDescent="0.25">
      <c r="B102" t="s">
        <v>596</v>
      </c>
      <c r="C102">
        <v>1</v>
      </c>
      <c r="D102" s="5">
        <v>1836037</v>
      </c>
    </row>
    <row r="103" spans="1:4" x14ac:dyDescent="0.25">
      <c r="B103" t="s">
        <v>599</v>
      </c>
      <c r="C103">
        <v>1</v>
      </c>
      <c r="D103" s="5">
        <v>650539.4</v>
      </c>
    </row>
    <row r="104" spans="1:4" x14ac:dyDescent="0.25">
      <c r="A104" t="s">
        <v>4409</v>
      </c>
      <c r="C104">
        <v>3</v>
      </c>
      <c r="D104" s="5">
        <v>4739645.4000000004</v>
      </c>
    </row>
    <row r="105" spans="1:4" x14ac:dyDescent="0.25">
      <c r="A105" t="s">
        <v>2027</v>
      </c>
      <c r="B105" t="s">
        <v>2723</v>
      </c>
      <c r="C105">
        <v>1</v>
      </c>
      <c r="D105" s="5">
        <v>6720000</v>
      </c>
    </row>
    <row r="106" spans="1:4" x14ac:dyDescent="0.25">
      <c r="A106" t="s">
        <v>4331</v>
      </c>
      <c r="C106">
        <v>1</v>
      </c>
      <c r="D106" s="5">
        <v>6720000</v>
      </c>
    </row>
    <row r="107" spans="1:4" x14ac:dyDescent="0.25">
      <c r="A107" t="s">
        <v>2577</v>
      </c>
      <c r="B107" t="s">
        <v>2574</v>
      </c>
      <c r="C107">
        <v>1</v>
      </c>
      <c r="D107" s="5">
        <v>6901886.9500000002</v>
      </c>
    </row>
    <row r="108" spans="1:4" x14ac:dyDescent="0.25">
      <c r="A108" t="s">
        <v>4410</v>
      </c>
      <c r="C108">
        <v>1</v>
      </c>
      <c r="D108" s="5">
        <v>6901886.9500000002</v>
      </c>
    </row>
    <row r="109" spans="1:4" x14ac:dyDescent="0.25">
      <c r="A109" t="s">
        <v>3773</v>
      </c>
      <c r="B109" t="s">
        <v>3770</v>
      </c>
      <c r="C109">
        <v>1</v>
      </c>
      <c r="D109" s="5">
        <v>328239.15999999997</v>
      </c>
    </row>
    <row r="110" spans="1:4" x14ac:dyDescent="0.25">
      <c r="A110" t="s">
        <v>4411</v>
      </c>
      <c r="C110">
        <v>1</v>
      </c>
      <c r="D110" s="5">
        <v>328239.15999999997</v>
      </c>
    </row>
    <row r="111" spans="1:4" x14ac:dyDescent="0.25">
      <c r="A111" t="s">
        <v>1342</v>
      </c>
      <c r="B111" t="s">
        <v>1339</v>
      </c>
      <c r="C111">
        <v>1</v>
      </c>
      <c r="D111" s="5">
        <v>3884940.64</v>
      </c>
    </row>
    <row r="112" spans="1:4" x14ac:dyDescent="0.25">
      <c r="B112" t="s">
        <v>1344</v>
      </c>
      <c r="C112">
        <v>1</v>
      </c>
      <c r="D112" s="5">
        <v>934546.27</v>
      </c>
    </row>
    <row r="113" spans="1:4" x14ac:dyDescent="0.25">
      <c r="B113" t="s">
        <v>1347</v>
      </c>
      <c r="C113">
        <v>1</v>
      </c>
      <c r="D113" s="5">
        <v>295120</v>
      </c>
    </row>
    <row r="114" spans="1:4" x14ac:dyDescent="0.25">
      <c r="B114" t="s">
        <v>1350</v>
      </c>
      <c r="C114">
        <v>1</v>
      </c>
      <c r="D114" s="5">
        <v>133598.92000000001</v>
      </c>
    </row>
    <row r="115" spans="1:4" x14ac:dyDescent="0.25">
      <c r="B115" t="s">
        <v>1446</v>
      </c>
      <c r="C115">
        <v>1</v>
      </c>
      <c r="D115" s="5">
        <v>2439098.9700000002</v>
      </c>
    </row>
    <row r="116" spans="1:4" x14ac:dyDescent="0.25">
      <c r="B116" t="s">
        <v>2565</v>
      </c>
      <c r="C116">
        <v>1</v>
      </c>
      <c r="D116" s="5">
        <v>4064598.51</v>
      </c>
    </row>
    <row r="117" spans="1:4" x14ac:dyDescent="0.25">
      <c r="A117" t="s">
        <v>4335</v>
      </c>
      <c r="C117">
        <v>6</v>
      </c>
      <c r="D117" s="5">
        <v>11751903.310000001</v>
      </c>
    </row>
    <row r="118" spans="1:4" x14ac:dyDescent="0.25">
      <c r="A118" t="s">
        <v>915</v>
      </c>
      <c r="B118" t="s">
        <v>912</v>
      </c>
      <c r="C118">
        <v>1</v>
      </c>
      <c r="D118" s="5">
        <v>622679.4</v>
      </c>
    </row>
    <row r="119" spans="1:4" x14ac:dyDescent="0.25">
      <c r="A119" t="s">
        <v>4412</v>
      </c>
      <c r="C119">
        <v>1</v>
      </c>
      <c r="D119" s="5">
        <v>622679.4</v>
      </c>
    </row>
    <row r="120" spans="1:4" x14ac:dyDescent="0.25">
      <c r="A120" t="s">
        <v>1125</v>
      </c>
      <c r="B120" t="s">
        <v>1122</v>
      </c>
      <c r="C120">
        <v>1</v>
      </c>
      <c r="D120" s="5">
        <v>9431299.7799999993</v>
      </c>
    </row>
    <row r="121" spans="1:4" x14ac:dyDescent="0.25">
      <c r="B121" t="s">
        <v>1127</v>
      </c>
      <c r="C121">
        <v>1</v>
      </c>
      <c r="D121" s="5">
        <v>9431299.7799999993</v>
      </c>
    </row>
    <row r="122" spans="1:4" x14ac:dyDescent="0.25">
      <c r="B122" t="s">
        <v>1130</v>
      </c>
      <c r="C122">
        <v>1</v>
      </c>
      <c r="D122" s="5">
        <v>9431299.7799999993</v>
      </c>
    </row>
    <row r="123" spans="1:4" x14ac:dyDescent="0.25">
      <c r="B123" t="s">
        <v>1133</v>
      </c>
      <c r="C123">
        <v>1</v>
      </c>
      <c r="D123" s="5">
        <v>9431299.7799999993</v>
      </c>
    </row>
    <row r="124" spans="1:4" x14ac:dyDescent="0.25">
      <c r="A124" t="s">
        <v>4413</v>
      </c>
      <c r="C124">
        <v>4</v>
      </c>
      <c r="D124" s="5">
        <v>37725199.119999997</v>
      </c>
    </row>
    <row r="125" spans="1:4" x14ac:dyDescent="0.25">
      <c r="A125" t="s">
        <v>1511</v>
      </c>
      <c r="B125" t="s">
        <v>3346</v>
      </c>
      <c r="C125">
        <v>1</v>
      </c>
      <c r="D125" s="5">
        <v>7231500</v>
      </c>
    </row>
    <row r="126" spans="1:4" x14ac:dyDescent="0.25">
      <c r="A126" t="s">
        <v>4414</v>
      </c>
      <c r="C126">
        <v>1</v>
      </c>
      <c r="D126" s="5">
        <v>7231500</v>
      </c>
    </row>
    <row r="127" spans="1:4" x14ac:dyDescent="0.25">
      <c r="A127" t="s">
        <v>184</v>
      </c>
      <c r="B127" t="s">
        <v>189</v>
      </c>
      <c r="C127">
        <v>1</v>
      </c>
      <c r="D127" s="5">
        <v>1832600</v>
      </c>
    </row>
    <row r="128" spans="1:4" x14ac:dyDescent="0.25">
      <c r="B128" t="s">
        <v>2579</v>
      </c>
      <c r="C128">
        <v>1</v>
      </c>
      <c r="D128" s="5">
        <v>423699.5</v>
      </c>
    </row>
    <row r="129" spans="1:4" x14ac:dyDescent="0.25">
      <c r="B129">
        <v>104655</v>
      </c>
      <c r="C129">
        <v>1</v>
      </c>
      <c r="D129" s="5">
        <v>1499400</v>
      </c>
    </row>
    <row r="130" spans="1:4" x14ac:dyDescent="0.25">
      <c r="A130" t="s">
        <v>4415</v>
      </c>
      <c r="C130">
        <v>3</v>
      </c>
      <c r="D130" s="5">
        <v>3755699.5</v>
      </c>
    </row>
    <row r="131" spans="1:4" x14ac:dyDescent="0.25">
      <c r="A131" t="s">
        <v>489</v>
      </c>
      <c r="B131" t="s">
        <v>486</v>
      </c>
      <c r="C131">
        <v>1</v>
      </c>
      <c r="D131" s="5">
        <v>705670</v>
      </c>
    </row>
    <row r="132" spans="1:4" x14ac:dyDescent="0.25">
      <c r="B132" t="s">
        <v>491</v>
      </c>
      <c r="C132">
        <v>1</v>
      </c>
      <c r="D132" s="5">
        <v>458150</v>
      </c>
    </row>
    <row r="133" spans="1:4" x14ac:dyDescent="0.25">
      <c r="B133" t="s">
        <v>494</v>
      </c>
      <c r="C133">
        <v>1</v>
      </c>
      <c r="D133" s="5">
        <v>1180000</v>
      </c>
    </row>
    <row r="134" spans="1:4" x14ac:dyDescent="0.25">
      <c r="B134" t="s">
        <v>943</v>
      </c>
      <c r="C134">
        <v>1</v>
      </c>
      <c r="D134" s="5">
        <v>368900</v>
      </c>
    </row>
    <row r="135" spans="1:4" x14ac:dyDescent="0.25">
      <c r="B135" t="s">
        <v>946</v>
      </c>
      <c r="C135">
        <v>1</v>
      </c>
      <c r="D135" s="5">
        <v>119000</v>
      </c>
    </row>
    <row r="136" spans="1:4" x14ac:dyDescent="0.25">
      <c r="B136" t="s">
        <v>949</v>
      </c>
      <c r="C136">
        <v>1</v>
      </c>
      <c r="D136" s="5">
        <v>119000</v>
      </c>
    </row>
    <row r="137" spans="1:4" x14ac:dyDescent="0.25">
      <c r="B137" t="s">
        <v>952</v>
      </c>
      <c r="C137">
        <v>1</v>
      </c>
      <c r="D137" s="5">
        <v>238000</v>
      </c>
    </row>
    <row r="138" spans="1:4" x14ac:dyDescent="0.25">
      <c r="A138" t="s">
        <v>4416</v>
      </c>
      <c r="C138">
        <v>7</v>
      </c>
      <c r="D138" s="5">
        <v>3188720</v>
      </c>
    </row>
    <row r="139" spans="1:4" x14ac:dyDescent="0.25">
      <c r="A139" t="s">
        <v>551</v>
      </c>
      <c r="B139" t="s">
        <v>1836</v>
      </c>
      <c r="C139">
        <v>1</v>
      </c>
      <c r="D139" s="5">
        <v>107433.2</v>
      </c>
    </row>
    <row r="140" spans="1:4" x14ac:dyDescent="0.25">
      <c r="B140" t="s">
        <v>2253</v>
      </c>
      <c r="C140">
        <v>1</v>
      </c>
      <c r="D140" s="5">
        <v>38080</v>
      </c>
    </row>
    <row r="141" spans="1:4" x14ac:dyDescent="0.25">
      <c r="B141" t="s">
        <v>2256</v>
      </c>
      <c r="C141">
        <v>1</v>
      </c>
      <c r="D141" s="5">
        <v>46648</v>
      </c>
    </row>
    <row r="142" spans="1:4" x14ac:dyDescent="0.25">
      <c r="B142" t="s">
        <v>2259</v>
      </c>
      <c r="C142">
        <v>1</v>
      </c>
      <c r="D142" s="5">
        <v>196112</v>
      </c>
    </row>
    <row r="143" spans="1:4" x14ac:dyDescent="0.25">
      <c r="B143" t="s">
        <v>2262</v>
      </c>
      <c r="C143">
        <v>1</v>
      </c>
      <c r="D143" s="5">
        <v>206346</v>
      </c>
    </row>
    <row r="144" spans="1:4" x14ac:dyDescent="0.25">
      <c r="B144" t="s">
        <v>2519</v>
      </c>
      <c r="C144">
        <v>1</v>
      </c>
      <c r="D144" s="5">
        <v>84133</v>
      </c>
    </row>
    <row r="145" spans="1:4" x14ac:dyDescent="0.25">
      <c r="B145" t="s">
        <v>2650</v>
      </c>
      <c r="C145">
        <v>1</v>
      </c>
      <c r="D145" s="5">
        <v>400577.8</v>
      </c>
    </row>
    <row r="146" spans="1:4" x14ac:dyDescent="0.25">
      <c r="A146" t="s">
        <v>4340</v>
      </c>
      <c r="C146">
        <v>7</v>
      </c>
      <c r="D146" s="5">
        <v>1079330</v>
      </c>
    </row>
    <row r="147" spans="1:4" x14ac:dyDescent="0.25">
      <c r="A147" t="s">
        <v>2248</v>
      </c>
      <c r="B147" t="s">
        <v>2245</v>
      </c>
      <c r="C147">
        <v>1</v>
      </c>
      <c r="D147" s="5">
        <v>4879000</v>
      </c>
    </row>
    <row r="148" spans="1:4" x14ac:dyDescent="0.25">
      <c r="B148" t="s">
        <v>2250</v>
      </c>
      <c r="C148">
        <v>1</v>
      </c>
      <c r="D148" s="5">
        <v>535500</v>
      </c>
    </row>
    <row r="149" spans="1:4" x14ac:dyDescent="0.25">
      <c r="A149" t="s">
        <v>4417</v>
      </c>
      <c r="C149">
        <v>2</v>
      </c>
      <c r="D149" s="5">
        <v>5414500</v>
      </c>
    </row>
    <row r="150" spans="1:4" x14ac:dyDescent="0.25">
      <c r="A150" t="s">
        <v>1808</v>
      </c>
      <c r="B150" t="s">
        <v>1805</v>
      </c>
      <c r="C150">
        <v>1</v>
      </c>
      <c r="D150" s="5">
        <v>9672000</v>
      </c>
    </row>
    <row r="151" spans="1:4" x14ac:dyDescent="0.25">
      <c r="A151" t="s">
        <v>4418</v>
      </c>
      <c r="C151">
        <v>1</v>
      </c>
      <c r="D151" s="5">
        <v>9672000</v>
      </c>
    </row>
    <row r="152" spans="1:4" x14ac:dyDescent="0.25">
      <c r="A152" t="s">
        <v>3102</v>
      </c>
      <c r="B152" t="s">
        <v>3099</v>
      </c>
      <c r="C152">
        <v>1</v>
      </c>
      <c r="D152" s="5">
        <v>4612454.4000000004</v>
      </c>
    </row>
    <row r="153" spans="1:4" x14ac:dyDescent="0.25">
      <c r="B153" t="s">
        <v>3113</v>
      </c>
      <c r="C153">
        <v>1</v>
      </c>
      <c r="D153" s="5">
        <v>970906</v>
      </c>
    </row>
    <row r="154" spans="1:4" x14ac:dyDescent="0.25">
      <c r="B154" t="s">
        <v>3282</v>
      </c>
      <c r="C154">
        <v>1</v>
      </c>
      <c r="D154" s="5">
        <v>982583</v>
      </c>
    </row>
    <row r="155" spans="1:4" x14ac:dyDescent="0.25">
      <c r="B155" t="s">
        <v>3291</v>
      </c>
      <c r="C155">
        <v>1</v>
      </c>
      <c r="D155" s="5">
        <v>6078207.5499999998</v>
      </c>
    </row>
    <row r="156" spans="1:4" x14ac:dyDescent="0.25">
      <c r="B156" t="s">
        <v>3294</v>
      </c>
      <c r="C156">
        <v>1</v>
      </c>
      <c r="D156" s="5">
        <v>20012385.989999998</v>
      </c>
    </row>
    <row r="157" spans="1:4" x14ac:dyDescent="0.25">
      <c r="A157" t="s">
        <v>4419</v>
      </c>
      <c r="C157">
        <v>5</v>
      </c>
      <c r="D157" s="5">
        <v>32656536.939999998</v>
      </c>
    </row>
    <row r="158" spans="1:4" x14ac:dyDescent="0.25">
      <c r="A158" t="s">
        <v>1935</v>
      </c>
      <c r="B158" t="s">
        <v>1932</v>
      </c>
      <c r="C158">
        <v>1</v>
      </c>
      <c r="D158" s="5">
        <v>717094</v>
      </c>
    </row>
    <row r="159" spans="1:4" x14ac:dyDescent="0.25">
      <c r="A159" t="s">
        <v>4420</v>
      </c>
      <c r="C159">
        <v>1</v>
      </c>
      <c r="D159" s="5">
        <v>717094</v>
      </c>
    </row>
    <row r="160" spans="1:4" x14ac:dyDescent="0.25">
      <c r="A160" t="s">
        <v>3731</v>
      </c>
      <c r="B160" t="s">
        <v>3727</v>
      </c>
      <c r="C160">
        <v>1</v>
      </c>
      <c r="D160" s="5">
        <v>935970.93</v>
      </c>
    </row>
    <row r="161" spans="1:4" x14ac:dyDescent="0.25">
      <c r="A161" t="s">
        <v>4421</v>
      </c>
      <c r="C161">
        <v>1</v>
      </c>
      <c r="D161" s="5">
        <v>935970.93</v>
      </c>
    </row>
    <row r="162" spans="1:4" x14ac:dyDescent="0.25">
      <c r="A162" t="s">
        <v>1004</v>
      </c>
      <c r="B162" t="s">
        <v>1000</v>
      </c>
      <c r="C162">
        <v>1</v>
      </c>
      <c r="D162" s="5">
        <v>486430</v>
      </c>
    </row>
    <row r="163" spans="1:4" x14ac:dyDescent="0.25">
      <c r="A163" t="s">
        <v>4422</v>
      </c>
      <c r="C163">
        <v>1</v>
      </c>
      <c r="D163" s="5">
        <v>486430</v>
      </c>
    </row>
    <row r="164" spans="1:4" x14ac:dyDescent="0.25">
      <c r="A164" t="s">
        <v>363</v>
      </c>
      <c r="B164" t="s">
        <v>360</v>
      </c>
      <c r="C164">
        <v>1</v>
      </c>
      <c r="D164" s="5">
        <v>11708674.18</v>
      </c>
    </row>
    <row r="165" spans="1:4" x14ac:dyDescent="0.25">
      <c r="A165" t="s">
        <v>4423</v>
      </c>
      <c r="C165">
        <v>1</v>
      </c>
      <c r="D165" s="5">
        <v>11708674.18</v>
      </c>
    </row>
    <row r="166" spans="1:4" x14ac:dyDescent="0.25">
      <c r="A166" t="s">
        <v>506</v>
      </c>
      <c r="B166" t="s">
        <v>503</v>
      </c>
      <c r="C166">
        <v>1</v>
      </c>
      <c r="D166" s="5">
        <v>409360</v>
      </c>
    </row>
    <row r="167" spans="1:4" x14ac:dyDescent="0.25">
      <c r="B167" t="s">
        <v>2607</v>
      </c>
      <c r="C167">
        <v>1</v>
      </c>
      <c r="D167" s="5">
        <v>4440060</v>
      </c>
    </row>
    <row r="168" spans="1:4" x14ac:dyDescent="0.25">
      <c r="A168" t="s">
        <v>4424</v>
      </c>
      <c r="C168">
        <v>2</v>
      </c>
      <c r="D168" s="5">
        <v>4849420</v>
      </c>
    </row>
    <row r="169" spans="1:4" x14ac:dyDescent="0.25">
      <c r="A169" t="s">
        <v>580</v>
      </c>
      <c r="B169" t="s">
        <v>577</v>
      </c>
      <c r="C169">
        <v>1</v>
      </c>
      <c r="D169" s="5">
        <v>493850</v>
      </c>
    </row>
    <row r="170" spans="1:4" x14ac:dyDescent="0.25">
      <c r="B170" t="s">
        <v>582</v>
      </c>
      <c r="C170">
        <v>1</v>
      </c>
      <c r="D170" s="5">
        <v>283220</v>
      </c>
    </row>
    <row r="171" spans="1:4" x14ac:dyDescent="0.25">
      <c r="A171" t="s">
        <v>4425</v>
      </c>
      <c r="C171">
        <v>2</v>
      </c>
      <c r="D171" s="5">
        <v>777070</v>
      </c>
    </row>
    <row r="172" spans="1:4" x14ac:dyDescent="0.25">
      <c r="A172" t="s">
        <v>107</v>
      </c>
      <c r="B172" t="s">
        <v>104</v>
      </c>
      <c r="C172">
        <v>1</v>
      </c>
      <c r="D172" s="5">
        <v>2337439.65</v>
      </c>
    </row>
    <row r="173" spans="1:4" x14ac:dyDescent="0.25">
      <c r="B173" t="s">
        <v>1287</v>
      </c>
      <c r="C173">
        <v>1</v>
      </c>
      <c r="D173" s="5">
        <v>49706.3</v>
      </c>
    </row>
    <row r="174" spans="1:4" x14ac:dyDescent="0.25">
      <c r="A174" t="s">
        <v>4426</v>
      </c>
      <c r="C174">
        <v>2</v>
      </c>
      <c r="D174" s="5">
        <v>2387145.9499999997</v>
      </c>
    </row>
    <row r="175" spans="1:4" x14ac:dyDescent="0.25">
      <c r="A175" t="s">
        <v>118</v>
      </c>
      <c r="B175" t="s">
        <v>115</v>
      </c>
      <c r="C175">
        <v>1</v>
      </c>
      <c r="D175" s="5">
        <v>224000.84</v>
      </c>
    </row>
    <row r="176" spans="1:4" x14ac:dyDescent="0.25">
      <c r="A176" t="s">
        <v>4427</v>
      </c>
      <c r="C176">
        <v>1</v>
      </c>
      <c r="D176" s="5">
        <v>224000.84</v>
      </c>
    </row>
    <row r="177" spans="1:4" x14ac:dyDescent="0.25">
      <c r="A177" t="s">
        <v>139</v>
      </c>
      <c r="B177" t="s">
        <v>3924</v>
      </c>
      <c r="C177">
        <v>1</v>
      </c>
      <c r="D177" s="5">
        <v>4674879.3</v>
      </c>
    </row>
    <row r="178" spans="1:4" x14ac:dyDescent="0.25">
      <c r="A178" t="s">
        <v>4428</v>
      </c>
      <c r="C178">
        <v>1</v>
      </c>
      <c r="D178" s="5">
        <v>4674879.3</v>
      </c>
    </row>
    <row r="179" spans="1:4" x14ac:dyDescent="0.25">
      <c r="A179" t="s">
        <v>152</v>
      </c>
      <c r="B179" t="s">
        <v>149</v>
      </c>
      <c r="C179">
        <v>1</v>
      </c>
      <c r="D179" s="5">
        <v>2142000</v>
      </c>
    </row>
    <row r="180" spans="1:4" x14ac:dyDescent="0.25">
      <c r="B180" t="s">
        <v>154</v>
      </c>
      <c r="C180">
        <v>1</v>
      </c>
      <c r="D180" s="5">
        <v>602592.19999999995</v>
      </c>
    </row>
    <row r="181" spans="1:4" x14ac:dyDescent="0.25">
      <c r="A181" t="s">
        <v>4429</v>
      </c>
      <c r="C181">
        <v>2</v>
      </c>
      <c r="D181" s="5">
        <v>2744592.2</v>
      </c>
    </row>
    <row r="182" spans="1:4" x14ac:dyDescent="0.25">
      <c r="A182" t="s">
        <v>231</v>
      </c>
      <c r="B182" t="s">
        <v>228</v>
      </c>
      <c r="C182">
        <v>1</v>
      </c>
      <c r="D182" s="5">
        <v>8925000</v>
      </c>
    </row>
    <row r="183" spans="1:4" x14ac:dyDescent="0.25">
      <c r="A183" t="s">
        <v>4430</v>
      </c>
      <c r="C183">
        <v>1</v>
      </c>
      <c r="D183" s="5">
        <v>8925000</v>
      </c>
    </row>
    <row r="184" spans="1:4" x14ac:dyDescent="0.25">
      <c r="A184" t="s">
        <v>236</v>
      </c>
      <c r="B184" t="s">
        <v>3508</v>
      </c>
      <c r="C184">
        <v>1</v>
      </c>
      <c r="D184" s="5">
        <v>376983.6</v>
      </c>
    </row>
    <row r="185" spans="1:4" x14ac:dyDescent="0.25">
      <c r="B185" t="s">
        <v>3511</v>
      </c>
      <c r="C185">
        <v>1</v>
      </c>
      <c r="D185" s="5">
        <v>357276.08</v>
      </c>
    </row>
    <row r="186" spans="1:4" x14ac:dyDescent="0.25">
      <c r="B186" t="s">
        <v>3514</v>
      </c>
      <c r="C186">
        <v>1</v>
      </c>
      <c r="D186" s="5">
        <v>246817.9</v>
      </c>
    </row>
    <row r="187" spans="1:4" x14ac:dyDescent="0.25">
      <c r="B187" t="s">
        <v>3517</v>
      </c>
      <c r="C187">
        <v>1</v>
      </c>
      <c r="D187" s="5">
        <v>554295</v>
      </c>
    </row>
    <row r="188" spans="1:4" x14ac:dyDescent="0.25">
      <c r="B188" t="s">
        <v>3520</v>
      </c>
      <c r="C188">
        <v>1</v>
      </c>
      <c r="D188" s="5">
        <v>382144.7</v>
      </c>
    </row>
    <row r="189" spans="1:4" x14ac:dyDescent="0.25">
      <c r="A189" t="s">
        <v>4431</v>
      </c>
      <c r="C189">
        <v>5</v>
      </c>
      <c r="D189" s="5">
        <v>1917517.28</v>
      </c>
    </row>
    <row r="190" spans="1:4" x14ac:dyDescent="0.25">
      <c r="A190" t="s">
        <v>268</v>
      </c>
      <c r="B190" t="s">
        <v>265</v>
      </c>
      <c r="C190">
        <v>1</v>
      </c>
      <c r="D190" s="5">
        <v>3622122</v>
      </c>
    </row>
    <row r="191" spans="1:4" x14ac:dyDescent="0.25">
      <c r="B191" t="s">
        <v>279</v>
      </c>
      <c r="C191">
        <v>1</v>
      </c>
      <c r="D191" s="5">
        <v>2069410</v>
      </c>
    </row>
    <row r="192" spans="1:4" x14ac:dyDescent="0.25">
      <c r="B192" t="s">
        <v>352</v>
      </c>
      <c r="C192">
        <v>1</v>
      </c>
      <c r="D192" s="5">
        <v>2240532</v>
      </c>
    </row>
    <row r="193" spans="1:4" x14ac:dyDescent="0.25">
      <c r="B193" t="s">
        <v>1454</v>
      </c>
      <c r="C193">
        <v>1</v>
      </c>
      <c r="D193" s="5">
        <v>793730</v>
      </c>
    </row>
    <row r="194" spans="1:4" x14ac:dyDescent="0.25">
      <c r="A194" t="s">
        <v>4432</v>
      </c>
      <c r="C194">
        <v>4</v>
      </c>
      <c r="D194" s="5">
        <v>8725794</v>
      </c>
    </row>
    <row r="195" spans="1:4" x14ac:dyDescent="0.25">
      <c r="A195" t="s">
        <v>311</v>
      </c>
      <c r="B195" t="s">
        <v>308</v>
      </c>
      <c r="C195">
        <v>1</v>
      </c>
      <c r="D195" s="5">
        <v>30568720</v>
      </c>
    </row>
    <row r="196" spans="1:4" x14ac:dyDescent="0.25">
      <c r="B196" t="s">
        <v>1859</v>
      </c>
      <c r="C196">
        <v>1</v>
      </c>
      <c r="D196" s="5">
        <v>55098190</v>
      </c>
    </row>
    <row r="197" spans="1:4" x14ac:dyDescent="0.25">
      <c r="A197" t="s">
        <v>4433</v>
      </c>
      <c r="C197">
        <v>2</v>
      </c>
      <c r="D197" s="5">
        <v>85666910</v>
      </c>
    </row>
    <row r="198" spans="1:4" x14ac:dyDescent="0.25">
      <c r="A198" t="s">
        <v>560</v>
      </c>
      <c r="B198" t="s">
        <v>557</v>
      </c>
      <c r="C198">
        <v>1</v>
      </c>
      <c r="D198" s="5">
        <v>739449.34</v>
      </c>
    </row>
    <row r="199" spans="1:4" x14ac:dyDescent="0.25">
      <c r="A199" t="s">
        <v>4434</v>
      </c>
      <c r="C199">
        <v>1</v>
      </c>
      <c r="D199" s="5">
        <v>739449.34</v>
      </c>
    </row>
    <row r="200" spans="1:4" x14ac:dyDescent="0.25">
      <c r="A200" t="s">
        <v>859</v>
      </c>
      <c r="B200" t="s">
        <v>1706</v>
      </c>
      <c r="C200">
        <v>1</v>
      </c>
      <c r="D200" s="5">
        <v>2337439.65</v>
      </c>
    </row>
    <row r="201" spans="1:4" x14ac:dyDescent="0.25">
      <c r="B201" t="s">
        <v>1709</v>
      </c>
      <c r="C201">
        <v>1</v>
      </c>
      <c r="D201" s="5">
        <v>2337439.65</v>
      </c>
    </row>
    <row r="202" spans="1:4" x14ac:dyDescent="0.25">
      <c r="B202">
        <v>105004</v>
      </c>
      <c r="C202">
        <v>1</v>
      </c>
      <c r="D202" s="5">
        <v>4674879.3</v>
      </c>
    </row>
    <row r="203" spans="1:4" x14ac:dyDescent="0.25">
      <c r="A203" t="s">
        <v>4435</v>
      </c>
      <c r="C203">
        <v>3</v>
      </c>
      <c r="D203" s="5">
        <v>9349758.5999999996</v>
      </c>
    </row>
    <row r="204" spans="1:4" x14ac:dyDescent="0.25">
      <c r="A204" t="s">
        <v>878</v>
      </c>
      <c r="B204" t="s">
        <v>3794</v>
      </c>
      <c r="C204">
        <v>1</v>
      </c>
      <c r="D204" s="5">
        <v>84252</v>
      </c>
    </row>
    <row r="205" spans="1:4" x14ac:dyDescent="0.25">
      <c r="A205" t="s">
        <v>4436</v>
      </c>
      <c r="C205">
        <v>1</v>
      </c>
      <c r="D205" s="5">
        <v>84252</v>
      </c>
    </row>
    <row r="206" spans="1:4" x14ac:dyDescent="0.25">
      <c r="A206" t="s">
        <v>941</v>
      </c>
      <c r="B206" t="s">
        <v>938</v>
      </c>
      <c r="C206">
        <v>1</v>
      </c>
      <c r="D206" s="5">
        <v>124950</v>
      </c>
    </row>
    <row r="207" spans="1:4" x14ac:dyDescent="0.25">
      <c r="B207" t="s">
        <v>1642</v>
      </c>
      <c r="C207">
        <v>1</v>
      </c>
      <c r="D207" s="5">
        <v>78540</v>
      </c>
    </row>
    <row r="208" spans="1:4" x14ac:dyDescent="0.25">
      <c r="B208" t="s">
        <v>2986</v>
      </c>
      <c r="C208">
        <v>1</v>
      </c>
      <c r="D208" s="5">
        <v>77945</v>
      </c>
    </row>
    <row r="209" spans="1:4" x14ac:dyDescent="0.25">
      <c r="A209" t="s">
        <v>4437</v>
      </c>
      <c r="C209">
        <v>3</v>
      </c>
      <c r="D209" s="5">
        <v>281435</v>
      </c>
    </row>
    <row r="210" spans="1:4" x14ac:dyDescent="0.25">
      <c r="A210" t="s">
        <v>1029</v>
      </c>
      <c r="B210" t="s">
        <v>1026</v>
      </c>
      <c r="C210">
        <v>1</v>
      </c>
      <c r="D210" s="5">
        <v>487500</v>
      </c>
    </row>
    <row r="211" spans="1:4" x14ac:dyDescent="0.25">
      <c r="A211" t="s">
        <v>4438</v>
      </c>
      <c r="C211">
        <v>1</v>
      </c>
      <c r="D211" s="5">
        <v>487500</v>
      </c>
    </row>
    <row r="212" spans="1:4" x14ac:dyDescent="0.25">
      <c r="A212" t="s">
        <v>1117</v>
      </c>
      <c r="B212" t="s">
        <v>1114</v>
      </c>
      <c r="C212">
        <v>1</v>
      </c>
      <c r="D212" s="5">
        <v>474881.4</v>
      </c>
    </row>
    <row r="213" spans="1:4" x14ac:dyDescent="0.25">
      <c r="B213" t="s">
        <v>1119</v>
      </c>
      <c r="C213">
        <v>1</v>
      </c>
      <c r="D213" s="5">
        <v>67592</v>
      </c>
    </row>
    <row r="214" spans="1:4" x14ac:dyDescent="0.25">
      <c r="B214" t="s">
        <v>2092</v>
      </c>
      <c r="C214">
        <v>1</v>
      </c>
      <c r="D214" s="5">
        <v>527980.39</v>
      </c>
    </row>
    <row r="215" spans="1:4" x14ac:dyDescent="0.25">
      <c r="B215" t="s">
        <v>2268</v>
      </c>
      <c r="C215">
        <v>1</v>
      </c>
      <c r="D215" s="5">
        <v>1179825.5</v>
      </c>
    </row>
    <row r="216" spans="1:4" x14ac:dyDescent="0.25">
      <c r="B216" t="s">
        <v>3904</v>
      </c>
      <c r="C216">
        <v>1</v>
      </c>
      <c r="D216" s="5">
        <v>305835.59999999998</v>
      </c>
    </row>
    <row r="217" spans="1:4" x14ac:dyDescent="0.25">
      <c r="A217" t="s">
        <v>4439</v>
      </c>
      <c r="C217">
        <v>5</v>
      </c>
      <c r="D217" s="5">
        <v>2556114.89</v>
      </c>
    </row>
    <row r="218" spans="1:4" x14ac:dyDescent="0.25">
      <c r="A218" t="s">
        <v>1139</v>
      </c>
      <c r="B218" t="s">
        <v>1136</v>
      </c>
      <c r="C218">
        <v>1</v>
      </c>
      <c r="D218" s="5">
        <v>1079330</v>
      </c>
    </row>
    <row r="219" spans="1:4" x14ac:dyDescent="0.25">
      <c r="A219" t="s">
        <v>4440</v>
      </c>
      <c r="C219">
        <v>1</v>
      </c>
      <c r="D219" s="5">
        <v>1079330</v>
      </c>
    </row>
    <row r="220" spans="1:4" x14ac:dyDescent="0.25">
      <c r="A220" t="s">
        <v>1251</v>
      </c>
      <c r="B220" t="s">
        <v>1248</v>
      </c>
      <c r="C220">
        <v>1</v>
      </c>
      <c r="D220" s="5">
        <v>5311745.88</v>
      </c>
    </row>
    <row r="221" spans="1:4" x14ac:dyDescent="0.25">
      <c r="A221" t="s">
        <v>4352</v>
      </c>
      <c r="C221">
        <v>1</v>
      </c>
      <c r="D221" s="5">
        <v>5311745.88</v>
      </c>
    </row>
    <row r="222" spans="1:4" x14ac:dyDescent="0.25">
      <c r="A222" t="s">
        <v>1285</v>
      </c>
      <c r="B222" t="s">
        <v>1282</v>
      </c>
      <c r="C222">
        <v>1</v>
      </c>
      <c r="D222" s="5">
        <v>7099804.1799999997</v>
      </c>
    </row>
    <row r="223" spans="1:4" x14ac:dyDescent="0.25">
      <c r="A223" t="s">
        <v>4441</v>
      </c>
      <c r="C223">
        <v>1</v>
      </c>
      <c r="D223" s="5">
        <v>7099804.1799999997</v>
      </c>
    </row>
    <row r="224" spans="1:4" x14ac:dyDescent="0.25">
      <c r="A224" t="s">
        <v>1337</v>
      </c>
      <c r="B224" t="s">
        <v>1334</v>
      </c>
      <c r="C224">
        <v>1</v>
      </c>
      <c r="D224" s="5">
        <v>4475887.5</v>
      </c>
    </row>
    <row r="225" spans="1:4" x14ac:dyDescent="0.25">
      <c r="A225" t="s">
        <v>4442</v>
      </c>
      <c r="C225">
        <v>1</v>
      </c>
      <c r="D225" s="5">
        <v>4475887.5</v>
      </c>
    </row>
    <row r="226" spans="1:4" x14ac:dyDescent="0.25">
      <c r="A226" t="s">
        <v>1364</v>
      </c>
      <c r="B226" t="s">
        <v>1361</v>
      </c>
      <c r="C226">
        <v>1</v>
      </c>
      <c r="D226" s="5">
        <v>343433.54</v>
      </c>
    </row>
    <row r="227" spans="1:4" x14ac:dyDescent="0.25">
      <c r="A227" t="s">
        <v>4443</v>
      </c>
      <c r="C227">
        <v>1</v>
      </c>
      <c r="D227" s="5">
        <v>343433.54</v>
      </c>
    </row>
    <row r="228" spans="1:4" x14ac:dyDescent="0.25">
      <c r="A228" t="s">
        <v>1384</v>
      </c>
      <c r="B228" t="s">
        <v>1381</v>
      </c>
      <c r="C228">
        <v>1</v>
      </c>
      <c r="D228" s="5">
        <v>761600</v>
      </c>
    </row>
    <row r="229" spans="1:4" x14ac:dyDescent="0.25">
      <c r="A229" t="s">
        <v>4444</v>
      </c>
      <c r="C229">
        <v>1</v>
      </c>
      <c r="D229" s="5">
        <v>761600</v>
      </c>
    </row>
    <row r="230" spans="1:4" x14ac:dyDescent="0.25">
      <c r="A230" t="s">
        <v>1430</v>
      </c>
      <c r="B230" t="s">
        <v>1427</v>
      </c>
      <c r="C230">
        <v>1</v>
      </c>
      <c r="D230" s="5">
        <v>499800</v>
      </c>
    </row>
    <row r="231" spans="1:4" x14ac:dyDescent="0.25">
      <c r="B231" t="s">
        <v>1868</v>
      </c>
      <c r="C231">
        <v>1</v>
      </c>
      <c r="D231" s="5">
        <v>1285200</v>
      </c>
    </row>
    <row r="232" spans="1:4" x14ac:dyDescent="0.25">
      <c r="A232" t="s">
        <v>4445</v>
      </c>
      <c r="C232">
        <v>2</v>
      </c>
      <c r="D232" s="5">
        <v>1785000</v>
      </c>
    </row>
    <row r="233" spans="1:4" x14ac:dyDescent="0.25">
      <c r="A233" t="s">
        <v>1640</v>
      </c>
      <c r="B233" t="s">
        <v>3538</v>
      </c>
      <c r="C233">
        <v>1</v>
      </c>
      <c r="D233" s="5">
        <v>3210000</v>
      </c>
    </row>
    <row r="234" spans="1:4" x14ac:dyDescent="0.25">
      <c r="B234" t="s">
        <v>3554</v>
      </c>
      <c r="C234">
        <v>1</v>
      </c>
      <c r="D234" s="5">
        <v>535000</v>
      </c>
    </row>
    <row r="235" spans="1:4" x14ac:dyDescent="0.25">
      <c r="A235" t="s">
        <v>4446</v>
      </c>
      <c r="C235">
        <v>2</v>
      </c>
      <c r="D235" s="5">
        <v>3745000</v>
      </c>
    </row>
    <row r="236" spans="1:4" x14ac:dyDescent="0.25">
      <c r="A236" t="s">
        <v>1671</v>
      </c>
      <c r="B236" t="s">
        <v>1668</v>
      </c>
      <c r="C236">
        <v>1</v>
      </c>
      <c r="D236" s="5">
        <v>8751022</v>
      </c>
    </row>
    <row r="237" spans="1:4" x14ac:dyDescent="0.25">
      <c r="A237" t="s">
        <v>4447</v>
      </c>
      <c r="C237">
        <v>1</v>
      </c>
      <c r="D237" s="5">
        <v>8751022</v>
      </c>
    </row>
    <row r="238" spans="1:4" x14ac:dyDescent="0.25">
      <c r="A238" t="s">
        <v>1732</v>
      </c>
      <c r="B238" t="s">
        <v>1985</v>
      </c>
      <c r="C238">
        <v>1</v>
      </c>
      <c r="D238" s="5">
        <v>3722389.02</v>
      </c>
    </row>
    <row r="239" spans="1:4" x14ac:dyDescent="0.25">
      <c r="A239" t="s">
        <v>4448</v>
      </c>
      <c r="C239">
        <v>1</v>
      </c>
      <c r="D239" s="5">
        <v>3722389.02</v>
      </c>
    </row>
    <row r="240" spans="1:4" x14ac:dyDescent="0.25">
      <c r="A240" t="s">
        <v>1785</v>
      </c>
      <c r="B240" t="s">
        <v>1782</v>
      </c>
      <c r="C240">
        <v>1</v>
      </c>
      <c r="D240" s="5">
        <v>2337439.65</v>
      </c>
    </row>
    <row r="241" spans="1:4" x14ac:dyDescent="0.25">
      <c r="A241" t="s">
        <v>4449</v>
      </c>
      <c r="C241">
        <v>1</v>
      </c>
      <c r="D241" s="5">
        <v>2337439.65</v>
      </c>
    </row>
    <row r="242" spans="1:4" x14ac:dyDescent="0.25">
      <c r="A242" t="s">
        <v>1857</v>
      </c>
      <c r="B242" t="s">
        <v>2136</v>
      </c>
      <c r="C242">
        <v>1</v>
      </c>
      <c r="D242" s="5">
        <v>6234172</v>
      </c>
    </row>
    <row r="243" spans="1:4" x14ac:dyDescent="0.25">
      <c r="B243" t="s">
        <v>4037</v>
      </c>
      <c r="C243">
        <v>1</v>
      </c>
      <c r="D243" s="5">
        <v>13955685.23</v>
      </c>
    </row>
    <row r="244" spans="1:4" x14ac:dyDescent="0.25">
      <c r="A244" t="s">
        <v>4450</v>
      </c>
      <c r="C244">
        <v>2</v>
      </c>
      <c r="D244" s="5">
        <v>20189857.23</v>
      </c>
    </row>
    <row r="245" spans="1:4" x14ac:dyDescent="0.25">
      <c r="A245" t="s">
        <v>2361</v>
      </c>
      <c r="B245" t="s">
        <v>2358</v>
      </c>
      <c r="C245">
        <v>1</v>
      </c>
      <c r="D245" s="5">
        <v>700270</v>
      </c>
    </row>
    <row r="246" spans="1:4" x14ac:dyDescent="0.25">
      <c r="B246" t="s">
        <v>3288</v>
      </c>
      <c r="C246">
        <v>1</v>
      </c>
      <c r="D246" s="5">
        <v>178500</v>
      </c>
    </row>
    <row r="247" spans="1:4" x14ac:dyDescent="0.25">
      <c r="A247" t="s">
        <v>4451</v>
      </c>
      <c r="C247">
        <v>2</v>
      </c>
      <c r="D247" s="5">
        <v>878770</v>
      </c>
    </row>
    <row r="248" spans="1:4" x14ac:dyDescent="0.25">
      <c r="A248" t="s">
        <v>2426</v>
      </c>
      <c r="B248" t="s">
        <v>3780</v>
      </c>
      <c r="C248">
        <v>1</v>
      </c>
      <c r="D248" s="5">
        <v>4693776.2</v>
      </c>
    </row>
    <row r="249" spans="1:4" x14ac:dyDescent="0.25">
      <c r="A249" t="s">
        <v>4452</v>
      </c>
      <c r="C249">
        <v>1</v>
      </c>
      <c r="D249" s="5">
        <v>4693776.2</v>
      </c>
    </row>
    <row r="250" spans="1:4" x14ac:dyDescent="0.25">
      <c r="A250" t="s">
        <v>2533</v>
      </c>
      <c r="B250" t="s">
        <v>2530</v>
      </c>
      <c r="C250">
        <v>1</v>
      </c>
      <c r="D250" s="5">
        <v>4920650</v>
      </c>
    </row>
    <row r="251" spans="1:4" x14ac:dyDescent="0.25">
      <c r="A251" t="s">
        <v>4453</v>
      </c>
      <c r="C251">
        <v>1</v>
      </c>
      <c r="D251" s="5">
        <v>4920650</v>
      </c>
    </row>
    <row r="252" spans="1:4" x14ac:dyDescent="0.25">
      <c r="A252" t="s">
        <v>2645</v>
      </c>
      <c r="B252" t="s">
        <v>2642</v>
      </c>
      <c r="C252">
        <v>1</v>
      </c>
      <c r="D252" s="5">
        <v>370222.09</v>
      </c>
    </row>
    <row r="253" spans="1:4" x14ac:dyDescent="0.25">
      <c r="A253" t="s">
        <v>4454</v>
      </c>
      <c r="C253">
        <v>1</v>
      </c>
      <c r="D253" s="5">
        <v>370222.09</v>
      </c>
    </row>
    <row r="254" spans="1:4" x14ac:dyDescent="0.25">
      <c r="A254" t="s">
        <v>2814</v>
      </c>
      <c r="B254" t="s">
        <v>2811</v>
      </c>
      <c r="C254">
        <v>1</v>
      </c>
      <c r="D254" s="5">
        <v>8092000</v>
      </c>
    </row>
    <row r="255" spans="1:4" x14ac:dyDescent="0.25">
      <c r="A255" t="s">
        <v>4455</v>
      </c>
      <c r="C255">
        <v>1</v>
      </c>
      <c r="D255" s="5">
        <v>8092000</v>
      </c>
    </row>
    <row r="256" spans="1:4" x14ac:dyDescent="0.25">
      <c r="A256" t="s">
        <v>2997</v>
      </c>
      <c r="B256" t="s">
        <v>2994</v>
      </c>
      <c r="C256">
        <v>1</v>
      </c>
      <c r="D256" s="5">
        <v>671486.4</v>
      </c>
    </row>
    <row r="257" spans="1:4" x14ac:dyDescent="0.25">
      <c r="A257" t="s">
        <v>4456</v>
      </c>
      <c r="C257">
        <v>1</v>
      </c>
      <c r="D257" s="5">
        <v>671486.4</v>
      </c>
    </row>
    <row r="258" spans="1:4" x14ac:dyDescent="0.25">
      <c r="A258" t="s">
        <v>3168</v>
      </c>
      <c r="B258" t="s">
        <v>3165</v>
      </c>
      <c r="C258">
        <v>1</v>
      </c>
      <c r="D258" s="5">
        <v>542269.81000000006</v>
      </c>
    </row>
    <row r="259" spans="1:4" x14ac:dyDescent="0.25">
      <c r="A259" t="s">
        <v>4457</v>
      </c>
      <c r="C259">
        <v>1</v>
      </c>
      <c r="D259" s="5">
        <v>542269.81000000006</v>
      </c>
    </row>
    <row r="260" spans="1:4" x14ac:dyDescent="0.25">
      <c r="A260" t="s">
        <v>3335</v>
      </c>
      <c r="B260" t="s">
        <v>3332</v>
      </c>
      <c r="C260">
        <v>1</v>
      </c>
      <c r="D260" s="5">
        <v>7064968.9199999999</v>
      </c>
    </row>
    <row r="261" spans="1:4" x14ac:dyDescent="0.25">
      <c r="A261" t="s">
        <v>4458</v>
      </c>
      <c r="C261">
        <v>1</v>
      </c>
      <c r="D261" s="5">
        <v>7064968.9199999999</v>
      </c>
    </row>
    <row r="262" spans="1:4" x14ac:dyDescent="0.25">
      <c r="A262" t="s">
        <v>3441</v>
      </c>
      <c r="B262" t="s">
        <v>3438</v>
      </c>
      <c r="C262">
        <v>1</v>
      </c>
      <c r="D262" s="5">
        <v>51509150</v>
      </c>
    </row>
    <row r="263" spans="1:4" x14ac:dyDescent="0.25">
      <c r="A263" t="s">
        <v>4459</v>
      </c>
      <c r="C263">
        <v>1</v>
      </c>
      <c r="D263" s="5">
        <v>51509150</v>
      </c>
    </row>
    <row r="264" spans="1:4" x14ac:dyDescent="0.25">
      <c r="A264" t="s">
        <v>3479</v>
      </c>
      <c r="B264" t="s">
        <v>3684</v>
      </c>
      <c r="C264">
        <v>1</v>
      </c>
      <c r="D264" s="5">
        <v>527884</v>
      </c>
    </row>
    <row r="265" spans="1:4" x14ac:dyDescent="0.25">
      <c r="B265" t="s">
        <v>3788</v>
      </c>
      <c r="C265">
        <v>1</v>
      </c>
      <c r="D265" s="5">
        <v>172193</v>
      </c>
    </row>
    <row r="266" spans="1:4" x14ac:dyDescent="0.25">
      <c r="B266" t="s">
        <v>3791</v>
      </c>
      <c r="C266">
        <v>1</v>
      </c>
      <c r="D266" s="5">
        <v>586908</v>
      </c>
    </row>
    <row r="267" spans="1:4" x14ac:dyDescent="0.25">
      <c r="B267" t="s">
        <v>3888</v>
      </c>
      <c r="C267">
        <v>1</v>
      </c>
      <c r="D267" s="5">
        <v>273700</v>
      </c>
    </row>
    <row r="268" spans="1:4" x14ac:dyDescent="0.25">
      <c r="A268" t="s">
        <v>4460</v>
      </c>
      <c r="C268">
        <v>4</v>
      </c>
      <c r="D268" s="5">
        <v>1560685</v>
      </c>
    </row>
    <row r="269" spans="1:4" x14ac:dyDescent="0.25">
      <c r="A269" t="s">
        <v>4053</v>
      </c>
      <c r="B269" t="s">
        <v>4050</v>
      </c>
      <c r="C269">
        <v>1</v>
      </c>
      <c r="D269" s="5">
        <v>1285200</v>
      </c>
    </row>
    <row r="270" spans="1:4" x14ac:dyDescent="0.25">
      <c r="A270" t="s">
        <v>4461</v>
      </c>
      <c r="C270">
        <v>1</v>
      </c>
      <c r="D270" s="5">
        <v>1285200</v>
      </c>
    </row>
    <row r="271" spans="1:4" x14ac:dyDescent="0.25">
      <c r="A271" t="s">
        <v>4112</v>
      </c>
      <c r="B271" t="s">
        <v>4108</v>
      </c>
      <c r="C271">
        <v>1</v>
      </c>
      <c r="D271" s="5">
        <v>1497020</v>
      </c>
    </row>
    <row r="272" spans="1:4" x14ac:dyDescent="0.25">
      <c r="A272" t="s">
        <v>4462</v>
      </c>
      <c r="C272">
        <v>1</v>
      </c>
      <c r="D272" s="5">
        <v>1497020</v>
      </c>
    </row>
    <row r="273" spans="1:4" x14ac:dyDescent="0.25">
      <c r="A273" t="s">
        <v>4168</v>
      </c>
      <c r="B273" t="s">
        <v>4165</v>
      </c>
      <c r="C273">
        <v>1</v>
      </c>
      <c r="D273" s="5">
        <v>1781430</v>
      </c>
    </row>
    <row r="274" spans="1:4" x14ac:dyDescent="0.25">
      <c r="A274" t="s">
        <v>4463</v>
      </c>
      <c r="C274">
        <v>1</v>
      </c>
      <c r="D274" s="5">
        <v>1781430</v>
      </c>
    </row>
    <row r="275" spans="1:4" x14ac:dyDescent="0.25">
      <c r="A275" t="s">
        <v>4372</v>
      </c>
      <c r="C275">
        <v>187</v>
      </c>
      <c r="D275" s="5">
        <v>810457320.8099997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49FE-1170-4F32-96C6-8DCE013E2BD5}">
  <dimension ref="A1:C1583"/>
  <sheetViews>
    <sheetView workbookViewId="0"/>
  </sheetViews>
  <sheetFormatPr baseColWidth="10" defaultColWidth="9.140625" defaultRowHeight="15" x14ac:dyDescent="0.25"/>
  <cols>
    <col min="1" max="1" width="90.140625" bestFit="1" customWidth="1"/>
    <col min="2" max="2" width="21.42578125" bestFit="1" customWidth="1"/>
    <col min="3" max="3" width="16.85546875" bestFit="1" customWidth="1"/>
    <col min="4" max="5" width="17.7109375" bestFit="1" customWidth="1"/>
  </cols>
  <sheetData>
    <row r="1" spans="1:3" x14ac:dyDescent="0.25">
      <c r="A1" s="4" t="s">
        <v>28</v>
      </c>
      <c r="B1" t="s">
        <v>4464</v>
      </c>
    </row>
    <row r="3" spans="1:3" x14ac:dyDescent="0.25">
      <c r="A3" s="4" t="s">
        <v>4385</v>
      </c>
      <c r="B3" t="s">
        <v>4465</v>
      </c>
      <c r="C3" t="s">
        <v>4316</v>
      </c>
    </row>
    <row r="4" spans="1:3" x14ac:dyDescent="0.25">
      <c r="A4" s="18" t="s">
        <v>778</v>
      </c>
      <c r="C4" s="5">
        <v>3837750</v>
      </c>
    </row>
    <row r="5" spans="1:3" x14ac:dyDescent="0.25">
      <c r="A5" s="19" t="s">
        <v>775</v>
      </c>
      <c r="C5" s="5">
        <v>3837750</v>
      </c>
    </row>
    <row r="6" spans="1:3" x14ac:dyDescent="0.25">
      <c r="A6" s="18" t="s">
        <v>2803</v>
      </c>
      <c r="C6" s="5">
        <v>1112310.8500000001</v>
      </c>
    </row>
    <row r="7" spans="1:3" x14ac:dyDescent="0.25">
      <c r="A7" s="19" t="s">
        <v>2800</v>
      </c>
      <c r="C7" s="5">
        <v>59500</v>
      </c>
    </row>
    <row r="8" spans="1:3" x14ac:dyDescent="0.25">
      <c r="A8" s="19" t="s">
        <v>2805</v>
      </c>
      <c r="C8" s="5">
        <v>126140</v>
      </c>
    </row>
    <row r="9" spans="1:3" x14ac:dyDescent="0.25">
      <c r="A9" s="19" t="s">
        <v>2808</v>
      </c>
      <c r="C9" s="5">
        <v>149464</v>
      </c>
    </row>
    <row r="10" spans="1:3" x14ac:dyDescent="0.25">
      <c r="A10" s="19" t="s">
        <v>3494</v>
      </c>
      <c r="C10" s="5">
        <v>777206.85</v>
      </c>
    </row>
    <row r="11" spans="1:3" x14ac:dyDescent="0.25">
      <c r="A11" s="18" t="s">
        <v>1973</v>
      </c>
      <c r="C11" s="5">
        <v>938838.6</v>
      </c>
    </row>
    <row r="12" spans="1:3" x14ac:dyDescent="0.25">
      <c r="A12" s="19" t="s">
        <v>1970</v>
      </c>
      <c r="C12" s="5">
        <v>391438.6</v>
      </c>
    </row>
    <row r="13" spans="1:3" x14ac:dyDescent="0.25">
      <c r="A13" s="19" t="s">
        <v>3523</v>
      </c>
      <c r="C13" s="5">
        <v>547400</v>
      </c>
    </row>
    <row r="14" spans="1:3" x14ac:dyDescent="0.25">
      <c r="A14" s="18" t="s">
        <v>1411</v>
      </c>
      <c r="C14" s="5">
        <v>2635850</v>
      </c>
    </row>
    <row r="15" spans="1:3" x14ac:dyDescent="0.25">
      <c r="A15" s="19" t="s">
        <v>1408</v>
      </c>
      <c r="C15" s="5">
        <v>110670</v>
      </c>
    </row>
    <row r="16" spans="1:3" x14ac:dyDescent="0.25">
      <c r="A16" s="19" t="s">
        <v>1413</v>
      </c>
      <c r="C16" s="5">
        <v>171360</v>
      </c>
    </row>
    <row r="17" spans="1:3" x14ac:dyDescent="0.25">
      <c r="A17" s="19" t="s">
        <v>1416</v>
      </c>
      <c r="C17" s="5">
        <v>2353820</v>
      </c>
    </row>
    <row r="18" spans="1:3" x14ac:dyDescent="0.25">
      <c r="A18" s="18" t="s">
        <v>1394</v>
      </c>
      <c r="C18" s="5">
        <v>76250440</v>
      </c>
    </row>
    <row r="19" spans="1:3" x14ac:dyDescent="0.25">
      <c r="A19" s="19" t="s">
        <v>1391</v>
      </c>
      <c r="C19" s="5">
        <v>15500940</v>
      </c>
    </row>
    <row r="20" spans="1:3" x14ac:dyDescent="0.25">
      <c r="A20" s="19" t="s">
        <v>1396</v>
      </c>
      <c r="C20" s="5">
        <v>387940</v>
      </c>
    </row>
    <row r="21" spans="1:3" x14ac:dyDescent="0.25">
      <c r="A21" s="19" t="s">
        <v>1399</v>
      </c>
      <c r="C21" s="5">
        <v>5831000</v>
      </c>
    </row>
    <row r="22" spans="1:3" x14ac:dyDescent="0.25">
      <c r="A22" s="19" t="s">
        <v>1402</v>
      </c>
      <c r="C22" s="5">
        <v>110670</v>
      </c>
    </row>
    <row r="23" spans="1:3" x14ac:dyDescent="0.25">
      <c r="A23" s="19" t="s">
        <v>1405</v>
      </c>
      <c r="C23" s="5">
        <v>49751520</v>
      </c>
    </row>
    <row r="24" spans="1:3" x14ac:dyDescent="0.25">
      <c r="A24" s="19" t="s">
        <v>2363</v>
      </c>
      <c r="C24" s="5">
        <v>4668370</v>
      </c>
    </row>
    <row r="25" spans="1:3" x14ac:dyDescent="0.25">
      <c r="A25" s="18" t="s">
        <v>1635</v>
      </c>
      <c r="C25" s="5">
        <v>286599.59999999998</v>
      </c>
    </row>
    <row r="26" spans="1:3" x14ac:dyDescent="0.25">
      <c r="A26" s="19" t="s">
        <v>1632</v>
      </c>
      <c r="C26" s="5">
        <v>286599.59999999998</v>
      </c>
    </row>
    <row r="27" spans="1:3" x14ac:dyDescent="0.25">
      <c r="A27" s="18" t="s">
        <v>3258</v>
      </c>
      <c r="B27">
        <v>1</v>
      </c>
      <c r="C27" s="5">
        <v>7370860</v>
      </c>
    </row>
    <row r="28" spans="1:3" x14ac:dyDescent="0.25">
      <c r="A28" s="19" t="s">
        <v>3255</v>
      </c>
      <c r="B28">
        <v>1</v>
      </c>
      <c r="C28" s="5">
        <v>7370860</v>
      </c>
    </row>
    <row r="29" spans="1:3" x14ac:dyDescent="0.25">
      <c r="A29" s="18" t="s">
        <v>2721</v>
      </c>
      <c r="C29" s="5">
        <v>1999200</v>
      </c>
    </row>
    <row r="30" spans="1:3" x14ac:dyDescent="0.25">
      <c r="A30" s="19" t="s">
        <v>2718</v>
      </c>
      <c r="C30" s="5">
        <v>1999200</v>
      </c>
    </row>
    <row r="31" spans="1:3" x14ac:dyDescent="0.25">
      <c r="A31" s="18" t="s">
        <v>1499</v>
      </c>
      <c r="C31" s="5">
        <v>1963500</v>
      </c>
    </row>
    <row r="32" spans="1:3" x14ac:dyDescent="0.25">
      <c r="A32" s="19" t="s">
        <v>1496</v>
      </c>
      <c r="C32" s="5">
        <v>678300</v>
      </c>
    </row>
    <row r="33" spans="1:3" x14ac:dyDescent="0.25">
      <c r="A33" s="19" t="s">
        <v>2621</v>
      </c>
      <c r="C33" s="5">
        <v>1285200</v>
      </c>
    </row>
    <row r="34" spans="1:3" x14ac:dyDescent="0.25">
      <c r="A34" s="18" t="s">
        <v>4233</v>
      </c>
      <c r="C34" s="5">
        <v>1003067.66</v>
      </c>
    </row>
    <row r="35" spans="1:3" x14ac:dyDescent="0.25">
      <c r="A35" s="19" t="s">
        <v>4230</v>
      </c>
      <c r="C35" s="5">
        <v>1003067.66</v>
      </c>
    </row>
    <row r="36" spans="1:3" x14ac:dyDescent="0.25">
      <c r="A36" s="18" t="s">
        <v>4252</v>
      </c>
      <c r="C36" s="5">
        <v>1487500</v>
      </c>
    </row>
    <row r="37" spans="1:3" x14ac:dyDescent="0.25">
      <c r="A37" s="19" t="s">
        <v>4248</v>
      </c>
      <c r="C37" s="5">
        <v>1487500</v>
      </c>
    </row>
    <row r="38" spans="1:3" x14ac:dyDescent="0.25">
      <c r="A38" s="18" t="s">
        <v>3827</v>
      </c>
      <c r="C38" s="5">
        <v>756840</v>
      </c>
    </row>
    <row r="39" spans="1:3" x14ac:dyDescent="0.25">
      <c r="A39" s="19" t="s">
        <v>3824</v>
      </c>
      <c r="C39" s="5">
        <v>756840</v>
      </c>
    </row>
    <row r="40" spans="1:3" x14ac:dyDescent="0.25">
      <c r="A40" s="18" t="s">
        <v>4243</v>
      </c>
      <c r="C40" s="5">
        <v>12155850</v>
      </c>
    </row>
    <row r="41" spans="1:3" x14ac:dyDescent="0.25">
      <c r="A41" s="19" t="s">
        <v>4240</v>
      </c>
      <c r="C41" s="5">
        <v>12155850</v>
      </c>
    </row>
    <row r="42" spans="1:3" x14ac:dyDescent="0.25">
      <c r="A42" s="18" t="s">
        <v>3320</v>
      </c>
      <c r="C42" s="5">
        <v>183170.81</v>
      </c>
    </row>
    <row r="43" spans="1:3" x14ac:dyDescent="0.25">
      <c r="A43" s="19" t="s">
        <v>3317</v>
      </c>
      <c r="C43" s="5">
        <v>183170.81</v>
      </c>
    </row>
    <row r="44" spans="1:3" x14ac:dyDescent="0.25">
      <c r="A44" s="18" t="s">
        <v>1689</v>
      </c>
      <c r="C44" s="5">
        <v>293820</v>
      </c>
    </row>
    <row r="45" spans="1:3" x14ac:dyDescent="0.25">
      <c r="A45" s="19" t="s">
        <v>1686</v>
      </c>
      <c r="C45" s="5">
        <v>293820</v>
      </c>
    </row>
    <row r="46" spans="1:3" x14ac:dyDescent="0.25">
      <c r="A46" s="18" t="s">
        <v>2742</v>
      </c>
      <c r="C46" s="5">
        <v>1447800</v>
      </c>
    </row>
    <row r="47" spans="1:3" x14ac:dyDescent="0.25">
      <c r="A47" s="19" t="s">
        <v>2739</v>
      </c>
      <c r="C47" s="5">
        <v>1428000</v>
      </c>
    </row>
    <row r="48" spans="1:3" x14ac:dyDescent="0.25">
      <c r="A48" s="19" t="s">
        <v>3062</v>
      </c>
      <c r="C48" s="5">
        <v>19800</v>
      </c>
    </row>
    <row r="49" spans="1:3" x14ac:dyDescent="0.25">
      <c r="A49" s="18" t="s">
        <v>3230</v>
      </c>
      <c r="C49" s="5">
        <v>431970</v>
      </c>
    </row>
    <row r="50" spans="1:3" x14ac:dyDescent="0.25">
      <c r="A50" s="19" t="s">
        <v>3227</v>
      </c>
      <c r="C50" s="5">
        <v>42840</v>
      </c>
    </row>
    <row r="51" spans="1:3" x14ac:dyDescent="0.25">
      <c r="A51" s="19" t="s">
        <v>3596</v>
      </c>
      <c r="C51" s="5">
        <v>389130</v>
      </c>
    </row>
    <row r="52" spans="1:3" x14ac:dyDescent="0.25">
      <c r="A52" s="18" t="s">
        <v>2752</v>
      </c>
      <c r="C52" s="5">
        <v>1071000</v>
      </c>
    </row>
    <row r="53" spans="1:3" x14ac:dyDescent="0.25">
      <c r="A53" s="19" t="s">
        <v>2749</v>
      </c>
      <c r="C53" s="5">
        <v>1071000</v>
      </c>
    </row>
    <row r="54" spans="1:3" x14ac:dyDescent="0.25">
      <c r="A54" s="18" t="s">
        <v>172</v>
      </c>
      <c r="C54" s="5">
        <v>8322982.5699999994</v>
      </c>
    </row>
    <row r="55" spans="1:3" x14ac:dyDescent="0.25">
      <c r="A55" s="19" t="s">
        <v>169</v>
      </c>
      <c r="C55" s="5">
        <v>3732696.8</v>
      </c>
    </row>
    <row r="56" spans="1:3" x14ac:dyDescent="0.25">
      <c r="A56" s="19" t="s">
        <v>3340</v>
      </c>
      <c r="C56" s="5">
        <v>857588.97</v>
      </c>
    </row>
    <row r="57" spans="1:3" x14ac:dyDescent="0.25">
      <c r="A57" s="19" t="s">
        <v>3419</v>
      </c>
      <c r="C57" s="5">
        <v>3732696.8</v>
      </c>
    </row>
    <row r="58" spans="1:3" x14ac:dyDescent="0.25">
      <c r="A58" s="18" t="s">
        <v>1070</v>
      </c>
      <c r="C58" s="5">
        <v>2331995.4</v>
      </c>
    </row>
    <row r="59" spans="1:3" x14ac:dyDescent="0.25">
      <c r="A59" s="19" t="s">
        <v>1067</v>
      </c>
      <c r="C59" s="5">
        <v>497146.3</v>
      </c>
    </row>
    <row r="60" spans="1:3" x14ac:dyDescent="0.25">
      <c r="A60" s="19" t="s">
        <v>3638</v>
      </c>
      <c r="C60" s="5">
        <v>1834849.1</v>
      </c>
    </row>
    <row r="61" spans="1:3" x14ac:dyDescent="0.25">
      <c r="A61" s="18" t="s">
        <v>3033</v>
      </c>
      <c r="C61" s="5">
        <v>527170</v>
      </c>
    </row>
    <row r="62" spans="1:3" x14ac:dyDescent="0.25">
      <c r="A62" s="19" t="s">
        <v>3030</v>
      </c>
      <c r="C62" s="5">
        <v>21420</v>
      </c>
    </row>
    <row r="63" spans="1:3" x14ac:dyDescent="0.25">
      <c r="A63" s="19" t="s">
        <v>3044</v>
      </c>
      <c r="C63" s="5">
        <v>113050</v>
      </c>
    </row>
    <row r="64" spans="1:3" x14ac:dyDescent="0.25">
      <c r="A64" s="19" t="s">
        <v>3976</v>
      </c>
      <c r="C64" s="5">
        <v>196350</v>
      </c>
    </row>
    <row r="65" spans="1:3" x14ac:dyDescent="0.25">
      <c r="A65" s="19" t="s">
        <v>3979</v>
      </c>
      <c r="C65" s="5">
        <v>196350</v>
      </c>
    </row>
    <row r="66" spans="1:3" x14ac:dyDescent="0.25">
      <c r="A66" s="18" t="s">
        <v>2918</v>
      </c>
      <c r="C66" s="5">
        <v>12173700</v>
      </c>
    </row>
    <row r="67" spans="1:3" x14ac:dyDescent="0.25">
      <c r="A67" s="19" t="s">
        <v>2915</v>
      </c>
      <c r="C67" s="5">
        <v>12173700</v>
      </c>
    </row>
    <row r="68" spans="1:3" x14ac:dyDescent="0.25">
      <c r="A68" s="18" t="s">
        <v>1663</v>
      </c>
      <c r="C68" s="5">
        <v>24344806.879999999</v>
      </c>
    </row>
    <row r="69" spans="1:3" x14ac:dyDescent="0.25">
      <c r="A69" s="19" t="s">
        <v>1660</v>
      </c>
      <c r="C69" s="5">
        <v>6907892.8799999999</v>
      </c>
    </row>
    <row r="70" spans="1:3" x14ac:dyDescent="0.25">
      <c r="A70" s="19" t="s">
        <v>2834</v>
      </c>
      <c r="C70" s="5">
        <v>4012680</v>
      </c>
    </row>
    <row r="71" spans="1:3" x14ac:dyDescent="0.25">
      <c r="A71" s="19" t="s">
        <v>2837</v>
      </c>
      <c r="C71" s="5">
        <v>2319072</v>
      </c>
    </row>
    <row r="72" spans="1:3" x14ac:dyDescent="0.25">
      <c r="A72" s="19" t="s">
        <v>3736</v>
      </c>
      <c r="C72" s="5">
        <v>6425762</v>
      </c>
    </row>
    <row r="73" spans="1:3" x14ac:dyDescent="0.25">
      <c r="A73" s="19" t="s">
        <v>3739</v>
      </c>
      <c r="C73" s="5">
        <v>4679400</v>
      </c>
    </row>
    <row r="74" spans="1:3" x14ac:dyDescent="0.25">
      <c r="A74" s="18" t="s">
        <v>1813</v>
      </c>
      <c r="C74" s="5">
        <v>28838460</v>
      </c>
    </row>
    <row r="75" spans="1:3" x14ac:dyDescent="0.25">
      <c r="A75" s="19" t="s">
        <v>1810</v>
      </c>
      <c r="C75" s="5">
        <v>28838460</v>
      </c>
    </row>
    <row r="76" spans="1:3" x14ac:dyDescent="0.25">
      <c r="A76" s="18" t="s">
        <v>4294</v>
      </c>
      <c r="C76" s="5">
        <v>2667435.4</v>
      </c>
    </row>
    <row r="77" spans="1:3" x14ac:dyDescent="0.25">
      <c r="A77" s="19" t="s">
        <v>4291</v>
      </c>
      <c r="C77" s="5">
        <v>2667435.4</v>
      </c>
    </row>
    <row r="78" spans="1:3" x14ac:dyDescent="0.25">
      <c r="A78" s="18" t="s">
        <v>529</v>
      </c>
      <c r="C78" s="5">
        <v>4340950</v>
      </c>
    </row>
    <row r="79" spans="1:3" x14ac:dyDescent="0.25">
      <c r="A79" s="19" t="s">
        <v>526</v>
      </c>
      <c r="C79" s="5">
        <v>2550000</v>
      </c>
    </row>
    <row r="80" spans="1:3" x14ac:dyDescent="0.25">
      <c r="A80" s="19" t="s">
        <v>2048</v>
      </c>
      <c r="C80" s="5">
        <v>380800</v>
      </c>
    </row>
    <row r="81" spans="1:3" x14ac:dyDescent="0.25">
      <c r="A81" s="19" t="s">
        <v>2298</v>
      </c>
      <c r="C81" s="5">
        <v>1410150</v>
      </c>
    </row>
    <row r="82" spans="1:3" x14ac:dyDescent="0.25">
      <c r="A82" s="18" t="s">
        <v>374</v>
      </c>
      <c r="C82" s="5">
        <v>42340200</v>
      </c>
    </row>
    <row r="83" spans="1:3" x14ac:dyDescent="0.25">
      <c r="A83" s="19" t="s">
        <v>371</v>
      </c>
      <c r="C83" s="5">
        <v>22729000</v>
      </c>
    </row>
    <row r="84" spans="1:3" x14ac:dyDescent="0.25">
      <c r="A84" s="19" t="s">
        <v>376</v>
      </c>
      <c r="C84" s="5">
        <v>19611200</v>
      </c>
    </row>
    <row r="85" spans="1:3" x14ac:dyDescent="0.25">
      <c r="A85" s="18" t="s">
        <v>2470</v>
      </c>
      <c r="C85" s="5">
        <v>52933760</v>
      </c>
    </row>
    <row r="86" spans="1:3" x14ac:dyDescent="0.25">
      <c r="A86" s="19" t="s">
        <v>2467</v>
      </c>
      <c r="C86" s="5">
        <v>38679760</v>
      </c>
    </row>
    <row r="87" spans="1:3" x14ac:dyDescent="0.25">
      <c r="A87" s="19" t="s">
        <v>2684</v>
      </c>
      <c r="C87" s="5">
        <v>6664000</v>
      </c>
    </row>
    <row r="88" spans="1:3" x14ac:dyDescent="0.25">
      <c r="A88" s="19" t="s">
        <v>3535</v>
      </c>
      <c r="C88" s="5">
        <v>7590000</v>
      </c>
    </row>
    <row r="89" spans="1:3" x14ac:dyDescent="0.25">
      <c r="A89" s="18" t="s">
        <v>1842</v>
      </c>
      <c r="C89" s="5">
        <v>2015793.78</v>
      </c>
    </row>
    <row r="90" spans="1:3" x14ac:dyDescent="0.25">
      <c r="A90" s="19" t="s">
        <v>1839</v>
      </c>
      <c r="C90" s="5">
        <v>2015793.78</v>
      </c>
    </row>
    <row r="91" spans="1:3" x14ac:dyDescent="0.25">
      <c r="A91" s="18" t="s">
        <v>4276</v>
      </c>
      <c r="C91" s="5">
        <v>2025859.78</v>
      </c>
    </row>
    <row r="92" spans="1:3" x14ac:dyDescent="0.25">
      <c r="A92" s="19" t="s">
        <v>4272</v>
      </c>
      <c r="C92" s="5">
        <v>1788629.78</v>
      </c>
    </row>
    <row r="93" spans="1:3" x14ac:dyDescent="0.25">
      <c r="A93" s="19" t="s">
        <v>4278</v>
      </c>
      <c r="C93" s="5">
        <v>237230</v>
      </c>
    </row>
    <row r="94" spans="1:3" x14ac:dyDescent="0.25">
      <c r="A94" s="18" t="s">
        <v>438</v>
      </c>
      <c r="C94" s="5">
        <v>70314720</v>
      </c>
    </row>
    <row r="95" spans="1:3" x14ac:dyDescent="0.25">
      <c r="A95" s="19" t="s">
        <v>435</v>
      </c>
      <c r="C95" s="5">
        <v>64260000</v>
      </c>
    </row>
    <row r="96" spans="1:3" x14ac:dyDescent="0.25">
      <c r="A96" s="19">
        <v>104709</v>
      </c>
      <c r="C96" s="5">
        <v>6054720</v>
      </c>
    </row>
    <row r="97" spans="1:3" x14ac:dyDescent="0.25">
      <c r="A97" s="18" t="s">
        <v>4058</v>
      </c>
      <c r="C97" s="5">
        <v>1035300</v>
      </c>
    </row>
    <row r="98" spans="1:3" x14ac:dyDescent="0.25">
      <c r="A98" s="19" t="s">
        <v>4055</v>
      </c>
      <c r="C98" s="5">
        <v>1035300</v>
      </c>
    </row>
    <row r="99" spans="1:3" x14ac:dyDescent="0.25">
      <c r="A99" s="18" t="s">
        <v>338</v>
      </c>
      <c r="C99" s="5">
        <v>891284.8</v>
      </c>
    </row>
    <row r="100" spans="1:3" x14ac:dyDescent="0.25">
      <c r="A100" s="19" t="s">
        <v>335</v>
      </c>
      <c r="C100" s="5">
        <v>891284.8</v>
      </c>
    </row>
    <row r="101" spans="1:3" x14ac:dyDescent="0.25">
      <c r="A101" s="18" t="s">
        <v>1369</v>
      </c>
      <c r="C101" s="5">
        <v>12074887.160000002</v>
      </c>
    </row>
    <row r="102" spans="1:3" x14ac:dyDescent="0.25">
      <c r="A102" s="19" t="s">
        <v>1366</v>
      </c>
      <c r="C102" s="5">
        <v>48694.8</v>
      </c>
    </row>
    <row r="103" spans="1:3" x14ac:dyDescent="0.25">
      <c r="A103" s="19" t="s">
        <v>1443</v>
      </c>
      <c r="C103" s="5">
        <v>4636978.99</v>
      </c>
    </row>
    <row r="104" spans="1:3" x14ac:dyDescent="0.25">
      <c r="A104" s="19" t="s">
        <v>2786</v>
      </c>
      <c r="C104" s="5">
        <v>212499.49</v>
      </c>
    </row>
    <row r="105" spans="1:3" x14ac:dyDescent="0.25">
      <c r="A105" s="19" t="s">
        <v>2789</v>
      </c>
      <c r="C105" s="5">
        <v>183855</v>
      </c>
    </row>
    <row r="106" spans="1:3" x14ac:dyDescent="0.25">
      <c r="A106" s="19" t="s">
        <v>2792</v>
      </c>
      <c r="C106" s="5">
        <v>163744</v>
      </c>
    </row>
    <row r="107" spans="1:3" x14ac:dyDescent="0.25">
      <c r="A107" s="19" t="s">
        <v>2924</v>
      </c>
      <c r="C107" s="5">
        <v>5177987.5</v>
      </c>
    </row>
    <row r="108" spans="1:3" x14ac:dyDescent="0.25">
      <c r="A108" s="19" t="s">
        <v>2927</v>
      </c>
      <c r="C108" s="5">
        <v>391828.92</v>
      </c>
    </row>
    <row r="109" spans="1:3" x14ac:dyDescent="0.25">
      <c r="A109" s="19" t="s">
        <v>3526</v>
      </c>
      <c r="C109" s="5">
        <v>788970</v>
      </c>
    </row>
    <row r="110" spans="1:3" x14ac:dyDescent="0.25">
      <c r="A110" s="19" t="s">
        <v>3529</v>
      </c>
      <c r="C110" s="5">
        <v>222649</v>
      </c>
    </row>
    <row r="111" spans="1:3" x14ac:dyDescent="0.25">
      <c r="A111" s="19" t="s">
        <v>3968</v>
      </c>
      <c r="C111" s="5">
        <v>195914.46</v>
      </c>
    </row>
    <row r="112" spans="1:3" x14ac:dyDescent="0.25">
      <c r="A112" s="19" t="s">
        <v>3995</v>
      </c>
      <c r="C112" s="5">
        <v>51765</v>
      </c>
    </row>
    <row r="113" spans="1:3" x14ac:dyDescent="0.25">
      <c r="A113" s="18" t="s">
        <v>211</v>
      </c>
      <c r="C113" s="5">
        <v>28640607.030000001</v>
      </c>
    </row>
    <row r="114" spans="1:3" x14ac:dyDescent="0.25">
      <c r="A114" s="19" t="s">
        <v>208</v>
      </c>
      <c r="C114" s="5">
        <v>5182530.92</v>
      </c>
    </row>
    <row r="115" spans="1:3" x14ac:dyDescent="0.25">
      <c r="A115" s="19" t="s">
        <v>1828</v>
      </c>
      <c r="C115" s="5">
        <v>23458076.109999999</v>
      </c>
    </row>
    <row r="116" spans="1:3" x14ac:dyDescent="0.25">
      <c r="A116" s="18" t="s">
        <v>500</v>
      </c>
      <c r="C116" s="5">
        <v>7463680</v>
      </c>
    </row>
    <row r="117" spans="1:3" x14ac:dyDescent="0.25">
      <c r="A117" s="19" t="s">
        <v>497</v>
      </c>
      <c r="C117" s="5">
        <v>856800</v>
      </c>
    </row>
    <row r="118" spans="1:3" x14ac:dyDescent="0.25">
      <c r="A118" s="19" t="s">
        <v>964</v>
      </c>
      <c r="C118" s="5">
        <v>428400</v>
      </c>
    </row>
    <row r="119" spans="1:3" x14ac:dyDescent="0.25">
      <c r="A119" s="19" t="s">
        <v>3204</v>
      </c>
      <c r="C119" s="5">
        <v>734230</v>
      </c>
    </row>
    <row r="120" spans="1:3" x14ac:dyDescent="0.25">
      <c r="A120" s="19" t="s">
        <v>3207</v>
      </c>
      <c r="C120" s="5">
        <v>79730</v>
      </c>
    </row>
    <row r="121" spans="1:3" x14ac:dyDescent="0.25">
      <c r="A121" s="19" t="s">
        <v>3210</v>
      </c>
      <c r="C121" s="5">
        <v>717570</v>
      </c>
    </row>
    <row r="122" spans="1:3" x14ac:dyDescent="0.25">
      <c r="A122" s="19" t="s">
        <v>3213</v>
      </c>
      <c r="C122" s="5">
        <v>2052750</v>
      </c>
    </row>
    <row r="123" spans="1:3" x14ac:dyDescent="0.25">
      <c r="A123" s="19" t="s">
        <v>3216</v>
      </c>
      <c r="C123" s="5">
        <v>428400</v>
      </c>
    </row>
    <row r="124" spans="1:3" x14ac:dyDescent="0.25">
      <c r="A124" s="19" t="s">
        <v>3219</v>
      </c>
      <c r="C124" s="5">
        <v>1904000</v>
      </c>
    </row>
    <row r="125" spans="1:3" x14ac:dyDescent="0.25">
      <c r="A125" s="19" t="s">
        <v>3882</v>
      </c>
      <c r="C125" s="5">
        <v>261800</v>
      </c>
    </row>
    <row r="126" spans="1:3" x14ac:dyDescent="0.25">
      <c r="A126" s="18" t="s">
        <v>1885</v>
      </c>
      <c r="C126" s="5">
        <v>8529749.6699999999</v>
      </c>
    </row>
    <row r="127" spans="1:3" x14ac:dyDescent="0.25">
      <c r="A127" s="19" t="s">
        <v>1882</v>
      </c>
      <c r="C127" s="5">
        <v>7585803.5899999999</v>
      </c>
    </row>
    <row r="128" spans="1:3" x14ac:dyDescent="0.25">
      <c r="A128" s="19" t="s">
        <v>3915</v>
      </c>
      <c r="C128" s="5">
        <v>943946.08</v>
      </c>
    </row>
    <row r="129" spans="1:3" x14ac:dyDescent="0.25">
      <c r="A129" s="18" t="s">
        <v>1491</v>
      </c>
      <c r="C129" s="5">
        <v>352240</v>
      </c>
    </row>
    <row r="130" spans="1:3" x14ac:dyDescent="0.25">
      <c r="A130" s="19" t="s">
        <v>1488</v>
      </c>
      <c r="C130" s="5">
        <v>352240</v>
      </c>
    </row>
    <row r="131" spans="1:3" x14ac:dyDescent="0.25">
      <c r="A131" s="18" t="s">
        <v>2046</v>
      </c>
      <c r="C131" s="5">
        <v>216246.8</v>
      </c>
    </row>
    <row r="132" spans="1:3" x14ac:dyDescent="0.25">
      <c r="A132" s="19" t="s">
        <v>2043</v>
      </c>
      <c r="C132" s="5">
        <v>216246.8</v>
      </c>
    </row>
    <row r="133" spans="1:3" x14ac:dyDescent="0.25">
      <c r="A133" s="18" t="s">
        <v>1516</v>
      </c>
      <c r="C133" s="5">
        <v>3314999.66</v>
      </c>
    </row>
    <row r="134" spans="1:3" x14ac:dyDescent="0.25">
      <c r="A134" s="19" t="s">
        <v>1513</v>
      </c>
      <c r="C134" s="5">
        <v>3314999.66</v>
      </c>
    </row>
    <row r="135" spans="1:3" x14ac:dyDescent="0.25">
      <c r="A135" s="18" t="s">
        <v>3913</v>
      </c>
      <c r="C135" s="5">
        <v>182427</v>
      </c>
    </row>
    <row r="136" spans="1:3" x14ac:dyDescent="0.25">
      <c r="A136" s="19" t="s">
        <v>3910</v>
      </c>
      <c r="C136" s="5">
        <v>182427</v>
      </c>
    </row>
    <row r="137" spans="1:3" x14ac:dyDescent="0.25">
      <c r="A137" s="18" t="s">
        <v>144</v>
      </c>
      <c r="C137" s="5">
        <v>32361939.329999998</v>
      </c>
    </row>
    <row r="138" spans="1:3" x14ac:dyDescent="0.25">
      <c r="A138" s="19" t="s">
        <v>141</v>
      </c>
      <c r="C138" s="5">
        <v>6375620.1600000001</v>
      </c>
    </row>
    <row r="139" spans="1:3" x14ac:dyDescent="0.25">
      <c r="A139" s="19" t="s">
        <v>146</v>
      </c>
      <c r="C139" s="5">
        <v>3187810.08</v>
      </c>
    </row>
    <row r="140" spans="1:3" x14ac:dyDescent="0.25">
      <c r="A140" s="19" t="s">
        <v>624</v>
      </c>
      <c r="C140" s="5">
        <v>163045.47</v>
      </c>
    </row>
    <row r="141" spans="1:3" x14ac:dyDescent="0.25">
      <c r="A141" s="19" t="s">
        <v>828</v>
      </c>
      <c r="C141" s="5">
        <v>3187810.08</v>
      </c>
    </row>
    <row r="142" spans="1:3" x14ac:dyDescent="0.25">
      <c r="A142" s="19" t="s">
        <v>847</v>
      </c>
      <c r="C142" s="5">
        <v>2337439.65</v>
      </c>
    </row>
    <row r="143" spans="1:3" x14ac:dyDescent="0.25">
      <c r="A143" s="19" t="s">
        <v>850</v>
      </c>
      <c r="C143" s="5">
        <v>2337439.65</v>
      </c>
    </row>
    <row r="144" spans="1:3" x14ac:dyDescent="0.25">
      <c r="A144" s="19" t="s">
        <v>853</v>
      </c>
      <c r="C144" s="5">
        <v>7012318.9500000002</v>
      </c>
    </row>
    <row r="145" spans="1:3" x14ac:dyDescent="0.25">
      <c r="A145" s="19" t="s">
        <v>1697</v>
      </c>
      <c r="C145" s="5">
        <v>2337439.65</v>
      </c>
    </row>
    <row r="146" spans="1:3" x14ac:dyDescent="0.25">
      <c r="A146" s="19" t="s">
        <v>1700</v>
      </c>
      <c r="C146" s="5">
        <v>3187810.08</v>
      </c>
    </row>
    <row r="147" spans="1:3" x14ac:dyDescent="0.25">
      <c r="A147" s="19" t="s">
        <v>2495</v>
      </c>
      <c r="C147" s="5">
        <v>1497215.16</v>
      </c>
    </row>
    <row r="148" spans="1:3" x14ac:dyDescent="0.25">
      <c r="A148" s="19" t="s">
        <v>3455</v>
      </c>
      <c r="C148" s="5">
        <v>491993.59999999998</v>
      </c>
    </row>
    <row r="149" spans="1:3" x14ac:dyDescent="0.25">
      <c r="A149" s="19" t="s">
        <v>3458</v>
      </c>
      <c r="C149" s="5">
        <v>245996.79999999999</v>
      </c>
    </row>
    <row r="150" spans="1:3" x14ac:dyDescent="0.25">
      <c r="A150" s="18" t="s">
        <v>1171</v>
      </c>
      <c r="C150" s="5">
        <v>2141906</v>
      </c>
    </row>
    <row r="151" spans="1:3" x14ac:dyDescent="0.25">
      <c r="A151" s="19" t="s">
        <v>1168</v>
      </c>
      <c r="C151" s="5">
        <v>418180</v>
      </c>
    </row>
    <row r="152" spans="1:3" x14ac:dyDescent="0.25">
      <c r="A152" s="19" t="s">
        <v>4170</v>
      </c>
      <c r="C152" s="5">
        <v>1723726</v>
      </c>
    </row>
    <row r="153" spans="1:3" x14ac:dyDescent="0.25">
      <c r="A153" s="18" t="s">
        <v>2199</v>
      </c>
      <c r="C153" s="5">
        <v>35114.519999999997</v>
      </c>
    </row>
    <row r="154" spans="1:3" x14ac:dyDescent="0.25">
      <c r="A154" s="19" t="s">
        <v>2195</v>
      </c>
      <c r="C154" s="5">
        <v>35114.519999999997</v>
      </c>
    </row>
    <row r="155" spans="1:3" x14ac:dyDescent="0.25">
      <c r="A155" s="18" t="s">
        <v>3631</v>
      </c>
      <c r="C155" s="5">
        <v>2154971</v>
      </c>
    </row>
    <row r="156" spans="1:3" x14ac:dyDescent="0.25">
      <c r="A156" s="19" t="s">
        <v>3628</v>
      </c>
      <c r="C156" s="5">
        <v>158270</v>
      </c>
    </row>
    <row r="157" spans="1:3" x14ac:dyDescent="0.25">
      <c r="A157" s="19" t="s">
        <v>3724</v>
      </c>
      <c r="C157" s="5">
        <v>1140972</v>
      </c>
    </row>
    <row r="158" spans="1:3" x14ac:dyDescent="0.25">
      <c r="A158" s="19" t="s">
        <v>3901</v>
      </c>
      <c r="C158" s="5">
        <v>855729</v>
      </c>
    </row>
    <row r="159" spans="1:3" x14ac:dyDescent="0.25">
      <c r="A159" s="18" t="s">
        <v>648</v>
      </c>
      <c r="C159" s="5">
        <v>428400</v>
      </c>
    </row>
    <row r="160" spans="1:3" x14ac:dyDescent="0.25">
      <c r="A160" s="19" t="s">
        <v>645</v>
      </c>
      <c r="C160" s="5">
        <v>428400</v>
      </c>
    </row>
    <row r="161" spans="1:3" x14ac:dyDescent="0.25">
      <c r="A161" s="18" t="s">
        <v>80</v>
      </c>
      <c r="C161" s="5">
        <v>87205107.570000023</v>
      </c>
    </row>
    <row r="162" spans="1:3" x14ac:dyDescent="0.25">
      <c r="A162" s="19" t="s">
        <v>77</v>
      </c>
      <c r="C162" s="5">
        <v>2890148.24</v>
      </c>
    </row>
    <row r="163" spans="1:3" x14ac:dyDescent="0.25">
      <c r="A163" s="19" t="s">
        <v>82</v>
      </c>
      <c r="C163" s="5">
        <v>17453189.739999998</v>
      </c>
    </row>
    <row r="164" spans="1:3" x14ac:dyDescent="0.25">
      <c r="A164" s="19" t="s">
        <v>86</v>
      </c>
      <c r="C164" s="5">
        <v>1535483.18</v>
      </c>
    </row>
    <row r="165" spans="1:3" x14ac:dyDescent="0.25">
      <c r="A165" s="19" t="s">
        <v>89</v>
      </c>
      <c r="C165" s="5">
        <v>20067073.530000001</v>
      </c>
    </row>
    <row r="166" spans="1:3" x14ac:dyDescent="0.25">
      <c r="A166" s="19" t="s">
        <v>92</v>
      </c>
      <c r="C166" s="5">
        <v>6141932.7199999997</v>
      </c>
    </row>
    <row r="167" spans="1:3" x14ac:dyDescent="0.25">
      <c r="A167" s="19" t="s">
        <v>95</v>
      </c>
      <c r="C167" s="5">
        <v>645233.47</v>
      </c>
    </row>
    <row r="168" spans="1:3" x14ac:dyDescent="0.25">
      <c r="A168" s="19" t="s">
        <v>98</v>
      </c>
      <c r="C168" s="5">
        <v>2337439.65</v>
      </c>
    </row>
    <row r="169" spans="1:3" x14ac:dyDescent="0.25">
      <c r="A169" s="19" t="s">
        <v>101</v>
      </c>
      <c r="C169" s="5">
        <v>2337439.65</v>
      </c>
    </row>
    <row r="170" spans="1:3" x14ac:dyDescent="0.25">
      <c r="A170" s="19" t="s">
        <v>627</v>
      </c>
      <c r="C170" s="5">
        <v>248531.5</v>
      </c>
    </row>
    <row r="171" spans="1:3" x14ac:dyDescent="0.25">
      <c r="A171" s="19" t="s">
        <v>831</v>
      </c>
      <c r="C171" s="5">
        <v>16362077.550000001</v>
      </c>
    </row>
    <row r="172" spans="1:3" x14ac:dyDescent="0.25">
      <c r="A172" s="19" t="s">
        <v>834</v>
      </c>
      <c r="C172" s="5">
        <v>5525249.7300000004</v>
      </c>
    </row>
    <row r="173" spans="1:3" x14ac:dyDescent="0.25">
      <c r="A173" s="19" t="s">
        <v>1270</v>
      </c>
      <c r="C173" s="5">
        <v>1405687.5</v>
      </c>
    </row>
    <row r="174" spans="1:3" x14ac:dyDescent="0.25">
      <c r="A174" s="19" t="s">
        <v>1273</v>
      </c>
      <c r="C174" s="5">
        <v>57120</v>
      </c>
    </row>
    <row r="175" spans="1:3" x14ac:dyDescent="0.25">
      <c r="A175" s="19" t="s">
        <v>1276</v>
      </c>
      <c r="C175" s="5">
        <v>737015.79</v>
      </c>
    </row>
    <row r="176" spans="1:3" x14ac:dyDescent="0.25">
      <c r="A176" s="19" t="s">
        <v>1279</v>
      </c>
      <c r="C176" s="5">
        <v>1338500.1000000001</v>
      </c>
    </row>
    <row r="177" spans="1:3" x14ac:dyDescent="0.25">
      <c r="A177" s="19" t="s">
        <v>1691</v>
      </c>
      <c r="C177" s="5">
        <v>2337439.65</v>
      </c>
    </row>
    <row r="178" spans="1:3" x14ac:dyDescent="0.25">
      <c r="A178" s="19" t="s">
        <v>2639</v>
      </c>
      <c r="C178" s="5">
        <v>740444.18</v>
      </c>
    </row>
    <row r="179" spans="1:3" x14ac:dyDescent="0.25">
      <c r="A179" s="19" t="s">
        <v>2647</v>
      </c>
      <c r="C179" s="5">
        <v>370222.09</v>
      </c>
    </row>
    <row r="180" spans="1:3" x14ac:dyDescent="0.25">
      <c r="A180" s="19" t="s">
        <v>3918</v>
      </c>
      <c r="C180" s="5">
        <v>2337439.65</v>
      </c>
    </row>
    <row r="181" spans="1:3" x14ac:dyDescent="0.25">
      <c r="A181" s="19" t="s">
        <v>3921</v>
      </c>
      <c r="C181" s="5">
        <v>2337439.65</v>
      </c>
    </row>
    <row r="182" spans="1:3" x14ac:dyDescent="0.25">
      <c r="A182" s="18" t="s">
        <v>727</v>
      </c>
      <c r="C182" s="5">
        <v>906899</v>
      </c>
    </row>
    <row r="183" spans="1:3" x14ac:dyDescent="0.25">
      <c r="A183" s="19" t="s">
        <v>724</v>
      </c>
      <c r="C183" s="5">
        <v>906899</v>
      </c>
    </row>
    <row r="184" spans="1:3" x14ac:dyDescent="0.25">
      <c r="A184" s="18" t="s">
        <v>3163</v>
      </c>
      <c r="C184" s="5">
        <v>407607.83</v>
      </c>
    </row>
    <row r="185" spans="1:3" x14ac:dyDescent="0.25">
      <c r="A185" s="19" t="s">
        <v>3160</v>
      </c>
      <c r="C185" s="5">
        <v>407607.83</v>
      </c>
    </row>
    <row r="186" spans="1:3" x14ac:dyDescent="0.25">
      <c r="A186" s="18" t="s">
        <v>2779</v>
      </c>
      <c r="C186" s="5">
        <v>1796012.75</v>
      </c>
    </row>
    <row r="187" spans="1:3" x14ac:dyDescent="0.25">
      <c r="A187" s="19" t="s">
        <v>2776</v>
      </c>
      <c r="C187" s="5">
        <v>1796012.75</v>
      </c>
    </row>
    <row r="188" spans="1:3" x14ac:dyDescent="0.25">
      <c r="A188" s="18" t="s">
        <v>1589</v>
      </c>
      <c r="C188" s="5">
        <v>899640</v>
      </c>
    </row>
    <row r="189" spans="1:3" x14ac:dyDescent="0.25">
      <c r="A189" s="19" t="s">
        <v>1586</v>
      </c>
      <c r="C189" s="5">
        <v>899640</v>
      </c>
    </row>
    <row r="190" spans="1:3" x14ac:dyDescent="0.25">
      <c r="A190" s="18" t="s">
        <v>2784</v>
      </c>
      <c r="C190" s="5">
        <v>8294300</v>
      </c>
    </row>
    <row r="191" spans="1:3" x14ac:dyDescent="0.25">
      <c r="A191" s="19" t="s">
        <v>2781</v>
      </c>
      <c r="C191" s="5">
        <v>7723100</v>
      </c>
    </row>
    <row r="192" spans="1:3" x14ac:dyDescent="0.25">
      <c r="A192" s="19" t="s">
        <v>3764</v>
      </c>
      <c r="C192" s="5">
        <v>571200</v>
      </c>
    </row>
    <row r="193" spans="1:3" x14ac:dyDescent="0.25">
      <c r="A193" s="18" t="s">
        <v>2142</v>
      </c>
      <c r="C193" s="5">
        <v>4998000</v>
      </c>
    </row>
    <row r="194" spans="1:3" x14ac:dyDescent="0.25">
      <c r="A194" s="19" t="s">
        <v>2139</v>
      </c>
      <c r="C194" s="5">
        <v>4998000</v>
      </c>
    </row>
    <row r="195" spans="1:3" x14ac:dyDescent="0.25">
      <c r="A195" s="18" t="s">
        <v>1653</v>
      </c>
      <c r="C195" s="5">
        <v>4120399.56</v>
      </c>
    </row>
    <row r="196" spans="1:3" x14ac:dyDescent="0.25">
      <c r="A196" s="19" t="s">
        <v>1650</v>
      </c>
      <c r="C196" s="5">
        <v>3353801.56</v>
      </c>
    </row>
    <row r="197" spans="1:3" x14ac:dyDescent="0.25">
      <c r="A197" s="19" t="s">
        <v>1665</v>
      </c>
      <c r="C197" s="5">
        <v>766598</v>
      </c>
    </row>
    <row r="198" spans="1:3" x14ac:dyDescent="0.25">
      <c r="A198" s="18" t="s">
        <v>2903</v>
      </c>
      <c r="C198" s="5">
        <v>458150</v>
      </c>
    </row>
    <row r="199" spans="1:3" x14ac:dyDescent="0.25">
      <c r="A199" s="19" t="s">
        <v>2900</v>
      </c>
      <c r="C199" s="5">
        <v>458150</v>
      </c>
    </row>
    <row r="200" spans="1:3" x14ac:dyDescent="0.25">
      <c r="A200" s="18" t="s">
        <v>2798</v>
      </c>
      <c r="C200" s="5">
        <v>357000</v>
      </c>
    </row>
    <row r="201" spans="1:3" x14ac:dyDescent="0.25">
      <c r="A201" s="19" t="s">
        <v>2795</v>
      </c>
      <c r="C201" s="5">
        <v>357000</v>
      </c>
    </row>
    <row r="202" spans="1:3" x14ac:dyDescent="0.25">
      <c r="A202" s="18" t="s">
        <v>958</v>
      </c>
      <c r="C202" s="5">
        <v>1237600</v>
      </c>
    </row>
    <row r="203" spans="1:3" x14ac:dyDescent="0.25">
      <c r="A203" s="19" t="s">
        <v>955</v>
      </c>
      <c r="C203" s="5">
        <v>1237600</v>
      </c>
    </row>
    <row r="204" spans="1:3" x14ac:dyDescent="0.25">
      <c r="A204" s="18" t="s">
        <v>305</v>
      </c>
      <c r="C204" s="5">
        <v>34422406.380000003</v>
      </c>
    </row>
    <row r="205" spans="1:3" x14ac:dyDescent="0.25">
      <c r="A205" s="19" t="s">
        <v>302</v>
      </c>
      <c r="C205" s="5">
        <v>1677253.45</v>
      </c>
    </row>
    <row r="206" spans="1:3" x14ac:dyDescent="0.25">
      <c r="A206" s="19" t="s">
        <v>1683</v>
      </c>
      <c r="C206" s="5">
        <v>5407714.9000000004</v>
      </c>
    </row>
    <row r="207" spans="1:3" x14ac:dyDescent="0.25">
      <c r="A207" s="19" t="s">
        <v>2763</v>
      </c>
      <c r="C207" s="5">
        <v>8949058.2300000004</v>
      </c>
    </row>
    <row r="208" spans="1:3" x14ac:dyDescent="0.25">
      <c r="A208" s="19" t="s">
        <v>3557</v>
      </c>
      <c r="C208" s="5">
        <v>2034031.3</v>
      </c>
    </row>
    <row r="209" spans="1:3" x14ac:dyDescent="0.25">
      <c r="A209" s="19" t="s">
        <v>4017</v>
      </c>
      <c r="C209" s="5">
        <v>2490848.5</v>
      </c>
    </row>
    <row r="210" spans="1:3" x14ac:dyDescent="0.25">
      <c r="A210" s="19" t="s">
        <v>4162</v>
      </c>
      <c r="C210" s="5">
        <v>13863500</v>
      </c>
    </row>
    <row r="211" spans="1:3" x14ac:dyDescent="0.25">
      <c r="A211" s="18" t="s">
        <v>113</v>
      </c>
      <c r="C211" s="5">
        <v>57203912.179999992</v>
      </c>
    </row>
    <row r="212" spans="1:3" x14ac:dyDescent="0.25">
      <c r="A212" s="19" t="s">
        <v>110</v>
      </c>
      <c r="C212" s="5">
        <v>7390248</v>
      </c>
    </row>
    <row r="213" spans="1:3" x14ac:dyDescent="0.25">
      <c r="A213" s="19" t="s">
        <v>825</v>
      </c>
      <c r="C213" s="5">
        <v>25711836.149999999</v>
      </c>
    </row>
    <row r="214" spans="1:3" x14ac:dyDescent="0.25">
      <c r="A214" s="19" t="s">
        <v>841</v>
      </c>
      <c r="C214" s="5">
        <v>2337438.46</v>
      </c>
    </row>
    <row r="215" spans="1:3" x14ac:dyDescent="0.25">
      <c r="A215" s="19" t="s">
        <v>844</v>
      </c>
      <c r="C215" s="5">
        <v>5525249.7300000004</v>
      </c>
    </row>
    <row r="216" spans="1:3" x14ac:dyDescent="0.25">
      <c r="A216" s="19" t="s">
        <v>1258</v>
      </c>
      <c r="C216" s="5">
        <v>737015.79</v>
      </c>
    </row>
    <row r="217" spans="1:3" x14ac:dyDescent="0.25">
      <c r="A217" s="19" t="s">
        <v>1261</v>
      </c>
      <c r="C217" s="5">
        <v>101879.47</v>
      </c>
    </row>
    <row r="218" spans="1:3" x14ac:dyDescent="0.25">
      <c r="A218" s="19" t="s">
        <v>1264</v>
      </c>
      <c r="C218" s="5">
        <v>44616.67</v>
      </c>
    </row>
    <row r="219" spans="1:3" x14ac:dyDescent="0.25">
      <c r="A219" s="19" t="s">
        <v>1267</v>
      </c>
      <c r="C219" s="5">
        <v>10188755.01</v>
      </c>
    </row>
    <row r="220" spans="1:3" x14ac:dyDescent="0.25">
      <c r="A220" s="19" t="s">
        <v>1694</v>
      </c>
      <c r="C220" s="5">
        <v>2337439.65</v>
      </c>
    </row>
    <row r="221" spans="1:3" x14ac:dyDescent="0.25">
      <c r="A221" s="19" t="s">
        <v>1703</v>
      </c>
      <c r="C221" s="5">
        <v>2337439.65</v>
      </c>
    </row>
    <row r="222" spans="1:3" x14ac:dyDescent="0.25">
      <c r="A222" s="19" t="s">
        <v>3461</v>
      </c>
      <c r="C222" s="5">
        <v>245996.79999999999</v>
      </c>
    </row>
    <row r="223" spans="1:3" x14ac:dyDescent="0.25">
      <c r="A223" s="19" t="s">
        <v>3464</v>
      </c>
      <c r="C223" s="5">
        <v>245996.79999999999</v>
      </c>
    </row>
    <row r="224" spans="1:3" x14ac:dyDescent="0.25">
      <c r="A224" s="18" t="s">
        <v>1575</v>
      </c>
      <c r="C224" s="5">
        <v>1540117.8</v>
      </c>
    </row>
    <row r="225" spans="1:3" x14ac:dyDescent="0.25">
      <c r="A225" s="19" t="s">
        <v>1572</v>
      </c>
      <c r="C225" s="5">
        <v>1540117.8</v>
      </c>
    </row>
    <row r="226" spans="1:3" x14ac:dyDescent="0.25">
      <c r="A226" s="18" t="s">
        <v>3280</v>
      </c>
      <c r="C226" s="5">
        <v>1384623.1</v>
      </c>
    </row>
    <row r="227" spans="1:3" x14ac:dyDescent="0.25">
      <c r="A227" s="19" t="s">
        <v>3277</v>
      </c>
      <c r="C227" s="5">
        <v>1384623.1</v>
      </c>
    </row>
    <row r="228" spans="1:3" x14ac:dyDescent="0.25">
      <c r="A228" s="18" t="s">
        <v>2178</v>
      </c>
      <c r="C228" s="5">
        <v>3468850</v>
      </c>
    </row>
    <row r="229" spans="1:3" x14ac:dyDescent="0.25">
      <c r="A229" s="19" t="s">
        <v>2175</v>
      </c>
      <c r="C229" s="5">
        <v>3165400</v>
      </c>
    </row>
    <row r="230" spans="1:3" x14ac:dyDescent="0.25">
      <c r="A230" s="19" t="s">
        <v>2377</v>
      </c>
      <c r="C230" s="5">
        <v>303450</v>
      </c>
    </row>
    <row r="231" spans="1:3" x14ac:dyDescent="0.25">
      <c r="A231" s="18" t="s">
        <v>3245</v>
      </c>
      <c r="C231" s="5">
        <v>3499087.5</v>
      </c>
    </row>
    <row r="232" spans="1:3" x14ac:dyDescent="0.25">
      <c r="A232" s="19" t="s">
        <v>3242</v>
      </c>
      <c r="C232" s="5">
        <v>49087.5</v>
      </c>
    </row>
    <row r="233" spans="1:3" x14ac:dyDescent="0.25">
      <c r="A233" s="19" t="s">
        <v>3832</v>
      </c>
      <c r="C233" s="5">
        <v>3450000</v>
      </c>
    </row>
    <row r="234" spans="1:3" x14ac:dyDescent="0.25">
      <c r="A234" s="18" t="s">
        <v>1316</v>
      </c>
      <c r="C234" s="5">
        <v>100336995.75</v>
      </c>
    </row>
    <row r="235" spans="1:3" x14ac:dyDescent="0.25">
      <c r="A235" s="19" t="s">
        <v>1313</v>
      </c>
      <c r="C235" s="5">
        <v>20804532</v>
      </c>
    </row>
    <row r="236" spans="1:3" x14ac:dyDescent="0.25">
      <c r="A236" s="19">
        <v>105355</v>
      </c>
      <c r="C236" s="5">
        <v>79532463.75</v>
      </c>
    </row>
    <row r="237" spans="1:3" x14ac:dyDescent="0.25">
      <c r="A237" s="18" t="s">
        <v>2656</v>
      </c>
      <c r="C237" s="5">
        <v>1366917.3</v>
      </c>
    </row>
    <row r="238" spans="1:3" x14ac:dyDescent="0.25">
      <c r="A238" s="19" t="s">
        <v>2653</v>
      </c>
      <c r="C238" s="5">
        <v>796074.3</v>
      </c>
    </row>
    <row r="239" spans="1:3" x14ac:dyDescent="0.25">
      <c r="A239" s="19" t="s">
        <v>3285</v>
      </c>
      <c r="C239" s="5">
        <v>570843</v>
      </c>
    </row>
    <row r="240" spans="1:3" x14ac:dyDescent="0.25">
      <c r="A240" s="18" t="s">
        <v>2737</v>
      </c>
      <c r="C240" s="5">
        <v>1129706.27</v>
      </c>
    </row>
    <row r="241" spans="1:3" x14ac:dyDescent="0.25">
      <c r="A241" s="19" t="s">
        <v>2734</v>
      </c>
      <c r="C241" s="5">
        <v>1129706.27</v>
      </c>
    </row>
    <row r="242" spans="1:3" x14ac:dyDescent="0.25">
      <c r="A242" s="18" t="s">
        <v>3547</v>
      </c>
      <c r="C242" s="5">
        <v>606900</v>
      </c>
    </row>
    <row r="243" spans="1:3" x14ac:dyDescent="0.25">
      <c r="A243" s="19" t="s">
        <v>3544</v>
      </c>
      <c r="C243" s="5">
        <v>606900</v>
      </c>
    </row>
    <row r="244" spans="1:3" x14ac:dyDescent="0.25">
      <c r="A244" s="18" t="s">
        <v>1296</v>
      </c>
      <c r="C244" s="5">
        <v>264122880</v>
      </c>
    </row>
    <row r="245" spans="1:3" x14ac:dyDescent="0.25">
      <c r="A245" s="19" t="s">
        <v>1293</v>
      </c>
      <c r="C245" s="5">
        <v>72504320</v>
      </c>
    </row>
    <row r="246" spans="1:3" x14ac:dyDescent="0.25">
      <c r="A246" s="19" t="s">
        <v>1749</v>
      </c>
      <c r="C246" s="5">
        <v>155366400</v>
      </c>
    </row>
    <row r="247" spans="1:3" x14ac:dyDescent="0.25">
      <c r="A247" s="19" t="s">
        <v>3721</v>
      </c>
      <c r="C247" s="5">
        <v>36252160</v>
      </c>
    </row>
    <row r="248" spans="1:3" x14ac:dyDescent="0.25">
      <c r="A248" s="18" t="s">
        <v>1332</v>
      </c>
      <c r="C248" s="5">
        <v>2557895.48</v>
      </c>
    </row>
    <row r="249" spans="1:3" x14ac:dyDescent="0.25">
      <c r="A249" s="19" t="s">
        <v>1329</v>
      </c>
      <c r="C249" s="5">
        <v>2557895.48</v>
      </c>
    </row>
    <row r="250" spans="1:3" x14ac:dyDescent="0.25">
      <c r="A250" s="18" t="s">
        <v>1852</v>
      </c>
      <c r="C250" s="5">
        <v>1449896</v>
      </c>
    </row>
    <row r="251" spans="1:3" x14ac:dyDescent="0.25">
      <c r="A251" s="19" t="s">
        <v>1849</v>
      </c>
      <c r="C251" s="5">
        <v>1449896</v>
      </c>
    </row>
    <row r="252" spans="1:3" x14ac:dyDescent="0.25">
      <c r="A252" s="18" t="s">
        <v>3182</v>
      </c>
      <c r="C252" s="5">
        <v>135660</v>
      </c>
    </row>
    <row r="253" spans="1:3" x14ac:dyDescent="0.25">
      <c r="A253" s="19" t="s">
        <v>3179</v>
      </c>
      <c r="C253" s="5">
        <v>135660</v>
      </c>
    </row>
    <row r="254" spans="1:3" x14ac:dyDescent="0.25">
      <c r="A254" s="18" t="s">
        <v>416</v>
      </c>
      <c r="C254" s="5">
        <v>7002156</v>
      </c>
    </row>
    <row r="255" spans="1:3" x14ac:dyDescent="0.25">
      <c r="A255" s="19" t="s">
        <v>413</v>
      </c>
      <c r="C255" s="5">
        <v>7002156</v>
      </c>
    </row>
    <row r="256" spans="1:3" x14ac:dyDescent="0.25">
      <c r="A256" s="18" t="s">
        <v>3038</v>
      </c>
      <c r="C256" s="5">
        <v>2428909</v>
      </c>
    </row>
    <row r="257" spans="1:3" x14ac:dyDescent="0.25">
      <c r="A257" s="19" t="s">
        <v>3035</v>
      </c>
      <c r="C257" s="5">
        <v>1594600</v>
      </c>
    </row>
    <row r="258" spans="1:3" x14ac:dyDescent="0.25">
      <c r="A258" s="19" t="s">
        <v>3390</v>
      </c>
      <c r="C258" s="5">
        <v>834309</v>
      </c>
    </row>
    <row r="259" spans="1:3" x14ac:dyDescent="0.25">
      <c r="A259" s="18" t="s">
        <v>2383</v>
      </c>
      <c r="C259" s="5">
        <v>22644886.600000001</v>
      </c>
    </row>
    <row r="260" spans="1:3" x14ac:dyDescent="0.25">
      <c r="A260" s="19" t="s">
        <v>2380</v>
      </c>
      <c r="C260" s="5">
        <v>21985805.100000001</v>
      </c>
    </row>
    <row r="261" spans="1:3" x14ac:dyDescent="0.25">
      <c r="A261" s="19" t="s">
        <v>2386</v>
      </c>
      <c r="C261" s="5">
        <v>659081.5</v>
      </c>
    </row>
    <row r="262" spans="1:3" x14ac:dyDescent="0.25">
      <c r="A262" s="18" t="s">
        <v>2304</v>
      </c>
      <c r="C262" s="5">
        <v>1673140</v>
      </c>
    </row>
    <row r="263" spans="1:3" x14ac:dyDescent="0.25">
      <c r="A263" s="19" t="s">
        <v>2301</v>
      </c>
      <c r="C263" s="5">
        <v>1673140</v>
      </c>
    </row>
    <row r="264" spans="1:3" x14ac:dyDescent="0.25">
      <c r="A264" s="18" t="s">
        <v>1017</v>
      </c>
      <c r="C264" s="5">
        <v>5837853.5300000003</v>
      </c>
    </row>
    <row r="265" spans="1:3" x14ac:dyDescent="0.25">
      <c r="A265" s="19" t="s">
        <v>1014</v>
      </c>
      <c r="C265" s="5">
        <v>5368041.53</v>
      </c>
    </row>
    <row r="266" spans="1:3" x14ac:dyDescent="0.25">
      <c r="A266" s="19" t="s">
        <v>1019</v>
      </c>
      <c r="C266" s="5">
        <v>469812</v>
      </c>
    </row>
    <row r="267" spans="1:3" x14ac:dyDescent="0.25">
      <c r="A267" s="18" t="s">
        <v>3605</v>
      </c>
      <c r="C267" s="5">
        <v>3776524.5</v>
      </c>
    </row>
    <row r="268" spans="1:3" x14ac:dyDescent="0.25">
      <c r="A268" s="19" t="s">
        <v>3602</v>
      </c>
      <c r="C268" s="5">
        <v>82110</v>
      </c>
    </row>
    <row r="269" spans="1:3" x14ac:dyDescent="0.25">
      <c r="A269" s="19" t="s">
        <v>3607</v>
      </c>
      <c r="C269" s="5">
        <v>1695214.5</v>
      </c>
    </row>
    <row r="270" spans="1:3" x14ac:dyDescent="0.25">
      <c r="A270" s="19" t="s">
        <v>4140</v>
      </c>
      <c r="C270" s="5">
        <v>1999200</v>
      </c>
    </row>
    <row r="271" spans="1:3" x14ac:dyDescent="0.25">
      <c r="A271" s="18" t="s">
        <v>1441</v>
      </c>
      <c r="C271" s="5">
        <v>2228250.6799999997</v>
      </c>
    </row>
    <row r="272" spans="1:3" x14ac:dyDescent="0.25">
      <c r="A272" s="19" t="s">
        <v>1438</v>
      </c>
      <c r="C272" s="5">
        <v>909407</v>
      </c>
    </row>
    <row r="273" spans="1:3" x14ac:dyDescent="0.25">
      <c r="A273" s="19" t="s">
        <v>1604</v>
      </c>
      <c r="C273" s="5">
        <v>385536.2</v>
      </c>
    </row>
    <row r="274" spans="1:3" x14ac:dyDescent="0.25">
      <c r="A274" s="19" t="s">
        <v>4009</v>
      </c>
      <c r="C274" s="5">
        <v>933307.48</v>
      </c>
    </row>
    <row r="275" spans="1:3" x14ac:dyDescent="0.25">
      <c r="A275" s="18" t="s">
        <v>1594</v>
      </c>
      <c r="C275" s="5">
        <v>11638319</v>
      </c>
    </row>
    <row r="276" spans="1:3" x14ac:dyDescent="0.25">
      <c r="A276" s="19" t="s">
        <v>1591</v>
      </c>
      <c r="C276" s="5">
        <v>9443364</v>
      </c>
    </row>
    <row r="277" spans="1:3" x14ac:dyDescent="0.25">
      <c r="A277" s="19" t="s">
        <v>2285</v>
      </c>
      <c r="C277" s="5">
        <v>454580</v>
      </c>
    </row>
    <row r="278" spans="1:3" x14ac:dyDescent="0.25">
      <c r="A278" s="19" t="s">
        <v>2695</v>
      </c>
      <c r="C278" s="5">
        <v>1740375</v>
      </c>
    </row>
    <row r="279" spans="1:3" x14ac:dyDescent="0.25">
      <c r="A279" s="18" t="s">
        <v>200</v>
      </c>
      <c r="C279" s="5">
        <v>131240.34</v>
      </c>
    </row>
    <row r="280" spans="1:3" x14ac:dyDescent="0.25">
      <c r="A280" s="19" t="s">
        <v>197</v>
      </c>
      <c r="C280" s="5">
        <v>131240.34</v>
      </c>
    </row>
    <row r="281" spans="1:3" x14ac:dyDescent="0.25">
      <c r="A281" s="18" t="s">
        <v>410</v>
      </c>
      <c r="C281" s="5">
        <v>3938900</v>
      </c>
    </row>
    <row r="282" spans="1:3" x14ac:dyDescent="0.25">
      <c r="A282" s="19" t="s">
        <v>407</v>
      </c>
      <c r="C282" s="5">
        <v>3938900</v>
      </c>
    </row>
    <row r="283" spans="1:3" x14ac:dyDescent="0.25">
      <c r="A283" s="18" t="s">
        <v>53</v>
      </c>
      <c r="C283" s="5">
        <v>59559157.75</v>
      </c>
    </row>
    <row r="284" spans="1:3" x14ac:dyDescent="0.25">
      <c r="A284" s="19" t="s">
        <v>50</v>
      </c>
      <c r="C284" s="5">
        <v>19962970</v>
      </c>
    </row>
    <row r="285" spans="1:3" x14ac:dyDescent="0.25">
      <c r="A285" s="19" t="s">
        <v>2480</v>
      </c>
      <c r="C285" s="5">
        <v>21122500</v>
      </c>
    </row>
    <row r="286" spans="1:3" x14ac:dyDescent="0.25">
      <c r="A286" s="19" t="s">
        <v>3014</v>
      </c>
      <c r="C286" s="5">
        <v>11529841.4</v>
      </c>
    </row>
    <row r="287" spans="1:3" x14ac:dyDescent="0.25">
      <c r="A287" s="19" t="s">
        <v>3092</v>
      </c>
      <c r="C287" s="5">
        <v>6943846.3499999996</v>
      </c>
    </row>
    <row r="288" spans="1:3" x14ac:dyDescent="0.25">
      <c r="A288" s="18" t="s">
        <v>611</v>
      </c>
      <c r="C288" s="5">
        <v>2442837.15</v>
      </c>
    </row>
    <row r="289" spans="1:3" x14ac:dyDescent="0.25">
      <c r="A289" s="19" t="s">
        <v>608</v>
      </c>
      <c r="C289" s="5">
        <v>363997.9</v>
      </c>
    </row>
    <row r="290" spans="1:3" x14ac:dyDescent="0.25">
      <c r="A290" s="19" t="s">
        <v>961</v>
      </c>
      <c r="C290" s="5">
        <v>656701.75</v>
      </c>
    </row>
    <row r="291" spans="1:3" x14ac:dyDescent="0.25">
      <c r="A291" s="19" t="s">
        <v>2321</v>
      </c>
      <c r="C291" s="5">
        <v>119000</v>
      </c>
    </row>
    <row r="292" spans="1:3" x14ac:dyDescent="0.25">
      <c r="A292" s="19" t="s">
        <v>2930</v>
      </c>
      <c r="C292" s="5">
        <v>1303137.5</v>
      </c>
    </row>
    <row r="293" spans="1:3" x14ac:dyDescent="0.25">
      <c r="A293" s="18" t="s">
        <v>1622</v>
      </c>
      <c r="C293" s="5">
        <v>10770398.469999999</v>
      </c>
    </row>
    <row r="294" spans="1:3" x14ac:dyDescent="0.25">
      <c r="A294" s="19" t="s">
        <v>1619</v>
      </c>
      <c r="C294" s="5">
        <v>4966918</v>
      </c>
    </row>
    <row r="295" spans="1:3" x14ac:dyDescent="0.25">
      <c r="A295" s="19" t="s">
        <v>1624</v>
      </c>
      <c r="C295" s="5">
        <v>891012.5</v>
      </c>
    </row>
    <row r="296" spans="1:3" x14ac:dyDescent="0.25">
      <c r="A296" s="19" t="s">
        <v>1799</v>
      </c>
      <c r="C296" s="5">
        <v>404699.97</v>
      </c>
    </row>
    <row r="297" spans="1:3" x14ac:dyDescent="0.25">
      <c r="A297" s="19" t="s">
        <v>3170</v>
      </c>
      <c r="C297" s="5">
        <v>3268859</v>
      </c>
    </row>
    <row r="298" spans="1:3" x14ac:dyDescent="0.25">
      <c r="A298" s="19" t="s">
        <v>3173</v>
      </c>
      <c r="C298" s="5">
        <v>328440</v>
      </c>
    </row>
    <row r="299" spans="1:3" x14ac:dyDescent="0.25">
      <c r="A299" s="19" t="s">
        <v>3176</v>
      </c>
      <c r="C299" s="5">
        <v>910469</v>
      </c>
    </row>
    <row r="300" spans="1:3" x14ac:dyDescent="0.25">
      <c r="A300" s="18" t="s">
        <v>1166</v>
      </c>
      <c r="C300" s="5">
        <v>11529476.109999999</v>
      </c>
    </row>
    <row r="301" spans="1:3" x14ac:dyDescent="0.25">
      <c r="A301" s="19" t="s">
        <v>1163</v>
      </c>
      <c r="C301" s="5">
        <v>2013361</v>
      </c>
    </row>
    <row r="302" spans="1:3" x14ac:dyDescent="0.25">
      <c r="A302" s="19" t="s">
        <v>1183</v>
      </c>
      <c r="C302" s="5">
        <v>2543726.61</v>
      </c>
    </row>
    <row r="303" spans="1:3" x14ac:dyDescent="0.25">
      <c r="A303" s="19" t="s">
        <v>2760</v>
      </c>
      <c r="C303" s="5">
        <v>6972388.5</v>
      </c>
    </row>
    <row r="304" spans="1:3" x14ac:dyDescent="0.25">
      <c r="A304" s="18" t="s">
        <v>1895</v>
      </c>
      <c r="C304" s="5">
        <v>1816336.69</v>
      </c>
    </row>
    <row r="305" spans="1:3" x14ac:dyDescent="0.25">
      <c r="A305" s="19" t="s">
        <v>1892</v>
      </c>
      <c r="C305" s="5">
        <v>415833.59999999998</v>
      </c>
    </row>
    <row r="306" spans="1:3" x14ac:dyDescent="0.25">
      <c r="A306" s="19" t="s">
        <v>1897</v>
      </c>
      <c r="C306" s="5">
        <v>619418.80000000005</v>
      </c>
    </row>
    <row r="307" spans="1:3" x14ac:dyDescent="0.25">
      <c r="A307" s="19" t="s">
        <v>1993</v>
      </c>
      <c r="C307" s="5">
        <v>781084.29</v>
      </c>
    </row>
    <row r="308" spans="1:3" x14ac:dyDescent="0.25">
      <c r="A308" s="18" t="s">
        <v>446</v>
      </c>
      <c r="C308" s="5">
        <v>3178490</v>
      </c>
    </row>
    <row r="309" spans="1:3" x14ac:dyDescent="0.25">
      <c r="A309" s="19" t="s">
        <v>443</v>
      </c>
      <c r="C309" s="5">
        <v>2773890</v>
      </c>
    </row>
    <row r="310" spans="1:3" x14ac:dyDescent="0.25">
      <c r="A310" s="19" t="s">
        <v>872</v>
      </c>
      <c r="C310" s="5">
        <v>404600</v>
      </c>
    </row>
    <row r="311" spans="1:3" x14ac:dyDescent="0.25">
      <c r="A311" s="18" t="s">
        <v>3489</v>
      </c>
      <c r="C311" s="5">
        <v>101150</v>
      </c>
    </row>
    <row r="312" spans="1:3" x14ac:dyDescent="0.25">
      <c r="A312" s="19" t="s">
        <v>3486</v>
      </c>
      <c r="C312" s="5">
        <v>101150</v>
      </c>
    </row>
    <row r="313" spans="1:3" x14ac:dyDescent="0.25">
      <c r="A313" s="18" t="s">
        <v>1359</v>
      </c>
      <c r="C313" s="5">
        <v>633389.4</v>
      </c>
    </row>
    <row r="314" spans="1:3" x14ac:dyDescent="0.25">
      <c r="A314" s="19" t="s">
        <v>1356</v>
      </c>
      <c r="C314" s="5">
        <v>633389.4</v>
      </c>
    </row>
    <row r="315" spans="1:3" x14ac:dyDescent="0.25">
      <c r="A315" s="18" t="s">
        <v>293</v>
      </c>
      <c r="C315" s="5">
        <v>422479.75</v>
      </c>
    </row>
    <row r="316" spans="1:3" x14ac:dyDescent="0.25">
      <c r="A316" s="19" t="s">
        <v>290</v>
      </c>
      <c r="C316" s="5">
        <v>422479.75</v>
      </c>
    </row>
    <row r="317" spans="1:3" x14ac:dyDescent="0.25">
      <c r="A317" s="18" t="s">
        <v>2769</v>
      </c>
      <c r="C317" s="5">
        <v>409925.25</v>
      </c>
    </row>
    <row r="318" spans="1:3" x14ac:dyDescent="0.25">
      <c r="A318" s="19" t="s">
        <v>2766</v>
      </c>
      <c r="C318" s="5">
        <v>409925.25</v>
      </c>
    </row>
    <row r="319" spans="1:3" x14ac:dyDescent="0.25">
      <c r="A319" s="18" t="s">
        <v>63</v>
      </c>
      <c r="B319">
        <v>1</v>
      </c>
      <c r="C319" s="5">
        <v>157585141.48999998</v>
      </c>
    </row>
    <row r="320" spans="1:3" x14ac:dyDescent="0.25">
      <c r="A320" s="19" t="s">
        <v>60</v>
      </c>
      <c r="C320" s="5">
        <v>19962970</v>
      </c>
    </row>
    <row r="321" spans="1:3" x14ac:dyDescent="0.25">
      <c r="A321" s="19" t="s">
        <v>605</v>
      </c>
      <c r="C321" s="5">
        <v>3841320</v>
      </c>
    </row>
    <row r="322" spans="1:3" x14ac:dyDescent="0.25">
      <c r="A322" s="19" t="s">
        <v>2492</v>
      </c>
      <c r="C322" s="5">
        <v>21122500</v>
      </c>
    </row>
    <row r="323" spans="1:3" x14ac:dyDescent="0.25">
      <c r="A323" s="19" t="s">
        <v>2670</v>
      </c>
      <c r="C323" s="5">
        <v>19876241.559999999</v>
      </c>
    </row>
    <row r="324" spans="1:3" x14ac:dyDescent="0.25">
      <c r="A324" s="19" t="s">
        <v>2731</v>
      </c>
      <c r="C324" s="5">
        <v>27948158</v>
      </c>
    </row>
    <row r="325" spans="1:3" x14ac:dyDescent="0.25">
      <c r="A325" s="19" t="s">
        <v>2967</v>
      </c>
      <c r="C325" s="5">
        <v>38798212.049999997</v>
      </c>
    </row>
    <row r="326" spans="1:3" x14ac:dyDescent="0.25">
      <c r="A326" s="19" t="s">
        <v>3095</v>
      </c>
      <c r="B326">
        <v>1</v>
      </c>
      <c r="C326" s="5">
        <v>20646495.239999998</v>
      </c>
    </row>
    <row r="327" spans="1:3" x14ac:dyDescent="0.25">
      <c r="A327" s="19" t="s">
        <v>3107</v>
      </c>
      <c r="C327" s="5">
        <v>87650.64</v>
      </c>
    </row>
    <row r="328" spans="1:3" x14ac:dyDescent="0.25">
      <c r="A328" s="19" t="s">
        <v>3144</v>
      </c>
      <c r="C328" s="5">
        <v>5301594</v>
      </c>
    </row>
    <row r="329" spans="1:3" x14ac:dyDescent="0.25">
      <c r="A329" s="18" t="s">
        <v>58</v>
      </c>
      <c r="B329">
        <v>1</v>
      </c>
      <c r="C329" s="5">
        <v>305346065.17000002</v>
      </c>
    </row>
    <row r="330" spans="1:3" x14ac:dyDescent="0.25">
      <c r="A330" s="19" t="s">
        <v>55</v>
      </c>
      <c r="C330" s="5">
        <v>39925940</v>
      </c>
    </row>
    <row r="331" spans="1:3" x14ac:dyDescent="0.25">
      <c r="A331" s="19" t="s">
        <v>602</v>
      </c>
      <c r="C331" s="5">
        <v>3841320</v>
      </c>
    </row>
    <row r="332" spans="1:3" x14ac:dyDescent="0.25">
      <c r="A332" s="19" t="s">
        <v>880</v>
      </c>
      <c r="C332" s="5">
        <v>1276777.18</v>
      </c>
    </row>
    <row r="333" spans="1:3" x14ac:dyDescent="0.25">
      <c r="A333" s="19" t="s">
        <v>1290</v>
      </c>
      <c r="C333" s="5">
        <v>1547000</v>
      </c>
    </row>
    <row r="334" spans="1:3" x14ac:dyDescent="0.25">
      <c r="A334" s="19" t="s">
        <v>1493</v>
      </c>
      <c r="C334" s="5">
        <v>60818712.850000001</v>
      </c>
    </row>
    <row r="335" spans="1:3" x14ac:dyDescent="0.25">
      <c r="A335" s="19" t="s">
        <v>1760</v>
      </c>
      <c r="C335" s="5">
        <v>3002762.7</v>
      </c>
    </row>
    <row r="336" spans="1:3" x14ac:dyDescent="0.25">
      <c r="A336" s="19" t="s">
        <v>2484</v>
      </c>
      <c r="C336" s="5">
        <v>21122500</v>
      </c>
    </row>
    <row r="337" spans="1:3" x14ac:dyDescent="0.25">
      <c r="A337" s="19" t="s">
        <v>2598</v>
      </c>
      <c r="C337" s="5">
        <v>90946336.25</v>
      </c>
    </row>
    <row r="338" spans="1:3" x14ac:dyDescent="0.25">
      <c r="A338" s="19" t="s">
        <v>2970</v>
      </c>
      <c r="C338" s="5">
        <v>35285878.859999999</v>
      </c>
    </row>
    <row r="339" spans="1:3" x14ac:dyDescent="0.25">
      <c r="A339" s="19" t="s">
        <v>3104</v>
      </c>
      <c r="C339" s="5">
        <v>13313087.210000001</v>
      </c>
    </row>
    <row r="340" spans="1:3" x14ac:dyDescent="0.25">
      <c r="A340" s="19" t="s">
        <v>3147</v>
      </c>
      <c r="C340" s="5">
        <v>13023736.039999999</v>
      </c>
    </row>
    <row r="341" spans="1:3" x14ac:dyDescent="0.25">
      <c r="A341" s="19">
        <v>105354</v>
      </c>
      <c r="B341">
        <v>1</v>
      </c>
      <c r="C341" s="5">
        <v>21242014.079999998</v>
      </c>
    </row>
    <row r="342" spans="1:3" x14ac:dyDescent="0.25">
      <c r="A342" s="18" t="s">
        <v>2711</v>
      </c>
      <c r="C342" s="5">
        <v>1833458</v>
      </c>
    </row>
    <row r="343" spans="1:3" x14ac:dyDescent="0.25">
      <c r="A343" s="19" t="s">
        <v>2708</v>
      </c>
      <c r="C343" s="5">
        <v>1833458</v>
      </c>
    </row>
    <row r="344" spans="1:3" x14ac:dyDescent="0.25">
      <c r="A344" s="18" t="s">
        <v>3417</v>
      </c>
      <c r="C344" s="5">
        <v>80920</v>
      </c>
    </row>
    <row r="345" spans="1:3" x14ac:dyDescent="0.25">
      <c r="A345" s="19" t="s">
        <v>3414</v>
      </c>
      <c r="C345" s="5">
        <v>80920</v>
      </c>
    </row>
    <row r="346" spans="1:3" x14ac:dyDescent="0.25">
      <c r="A346" s="18" t="s">
        <v>1112</v>
      </c>
      <c r="C346" s="5">
        <v>107100</v>
      </c>
    </row>
    <row r="347" spans="1:3" x14ac:dyDescent="0.25">
      <c r="A347" s="19" t="s">
        <v>1109</v>
      </c>
      <c r="C347" s="5">
        <v>107100</v>
      </c>
    </row>
    <row r="348" spans="1:3" x14ac:dyDescent="0.25">
      <c r="A348" s="18" t="s">
        <v>483</v>
      </c>
      <c r="C348" s="5">
        <v>13482700</v>
      </c>
    </row>
    <row r="349" spans="1:3" x14ac:dyDescent="0.25">
      <c r="A349" s="19" t="s">
        <v>480</v>
      </c>
      <c r="C349" s="5">
        <v>13482700</v>
      </c>
    </row>
    <row r="350" spans="1:3" x14ac:dyDescent="0.25">
      <c r="A350" s="18" t="s">
        <v>2283</v>
      </c>
      <c r="C350" s="5">
        <v>4069800</v>
      </c>
    </row>
    <row r="351" spans="1:3" x14ac:dyDescent="0.25">
      <c r="A351" s="19" t="s">
        <v>2280</v>
      </c>
      <c r="C351" s="5">
        <v>4069800</v>
      </c>
    </row>
    <row r="352" spans="1:3" x14ac:dyDescent="0.25">
      <c r="A352" s="18" t="s">
        <v>1144</v>
      </c>
      <c r="C352" s="5">
        <v>10423807.380000001</v>
      </c>
    </row>
    <row r="353" spans="1:3" x14ac:dyDescent="0.25">
      <c r="A353" s="19" t="s">
        <v>1141</v>
      </c>
      <c r="C353" s="5">
        <v>877644.04</v>
      </c>
    </row>
    <row r="354" spans="1:3" x14ac:dyDescent="0.25">
      <c r="A354" s="19" t="s">
        <v>1961</v>
      </c>
      <c r="C354" s="5">
        <v>2727475.24</v>
      </c>
    </row>
    <row r="355" spans="1:3" x14ac:dyDescent="0.25">
      <c r="A355" s="19" t="s">
        <v>1964</v>
      </c>
      <c r="C355" s="5">
        <v>2727475.24</v>
      </c>
    </row>
    <row r="356" spans="1:3" x14ac:dyDescent="0.25">
      <c r="A356" s="19" t="s">
        <v>1967</v>
      </c>
      <c r="C356" s="5">
        <v>4091212.86</v>
      </c>
    </row>
    <row r="357" spans="1:3" x14ac:dyDescent="0.25">
      <c r="A357" s="18" t="s">
        <v>1379</v>
      </c>
      <c r="C357" s="5">
        <v>214200</v>
      </c>
    </row>
    <row r="358" spans="1:3" x14ac:dyDescent="0.25">
      <c r="A358" s="19" t="s">
        <v>1376</v>
      </c>
      <c r="C358" s="5">
        <v>214200</v>
      </c>
    </row>
    <row r="359" spans="1:3" x14ac:dyDescent="0.25">
      <c r="A359" s="18" t="s">
        <v>2124</v>
      </c>
      <c r="C359" s="5">
        <v>12745395.039999999</v>
      </c>
    </row>
    <row r="360" spans="1:3" x14ac:dyDescent="0.25">
      <c r="A360" s="19" t="s">
        <v>2121</v>
      </c>
      <c r="C360" s="5">
        <v>12745395.039999999</v>
      </c>
    </row>
    <row r="361" spans="1:3" x14ac:dyDescent="0.25">
      <c r="A361" s="18" t="s">
        <v>1903</v>
      </c>
      <c r="C361" s="5">
        <v>2405540.3200000003</v>
      </c>
    </row>
    <row r="362" spans="1:3" x14ac:dyDescent="0.25">
      <c r="A362" s="19" t="s">
        <v>1900</v>
      </c>
      <c r="C362" s="5">
        <v>1140734</v>
      </c>
    </row>
    <row r="363" spans="1:3" x14ac:dyDescent="0.25">
      <c r="A363" s="19" t="s">
        <v>1905</v>
      </c>
      <c r="C363" s="5">
        <v>50908.2</v>
      </c>
    </row>
    <row r="364" spans="1:3" x14ac:dyDescent="0.25">
      <c r="A364" s="19" t="s">
        <v>1908</v>
      </c>
      <c r="C364" s="5">
        <v>257187.56</v>
      </c>
    </row>
    <row r="365" spans="1:3" x14ac:dyDescent="0.25">
      <c r="A365" s="19" t="s">
        <v>1911</v>
      </c>
      <c r="C365" s="5">
        <v>956710.56</v>
      </c>
    </row>
    <row r="366" spans="1:3" x14ac:dyDescent="0.25">
      <c r="A366" s="18" t="s">
        <v>1475</v>
      </c>
      <c r="C366" s="5">
        <v>2266950</v>
      </c>
    </row>
    <row r="367" spans="1:3" x14ac:dyDescent="0.25">
      <c r="A367" s="19" t="s">
        <v>1472</v>
      </c>
      <c r="C367" s="5">
        <v>2266950</v>
      </c>
    </row>
    <row r="368" spans="1:3" x14ac:dyDescent="0.25">
      <c r="A368" s="18" t="s">
        <v>3935</v>
      </c>
      <c r="C368" s="5">
        <v>392059.78</v>
      </c>
    </row>
    <row r="369" spans="1:3" x14ac:dyDescent="0.25">
      <c r="A369" s="19" t="s">
        <v>3932</v>
      </c>
      <c r="C369" s="5">
        <v>392059.78</v>
      </c>
    </row>
    <row r="370" spans="1:3" x14ac:dyDescent="0.25">
      <c r="A370" s="18" t="s">
        <v>1306</v>
      </c>
      <c r="C370" s="5">
        <v>358756440</v>
      </c>
    </row>
    <row r="371" spans="1:3" x14ac:dyDescent="0.25">
      <c r="A371" s="19" t="s">
        <v>1303</v>
      </c>
      <c r="C371" s="5">
        <v>269458840</v>
      </c>
    </row>
    <row r="372" spans="1:3" x14ac:dyDescent="0.25">
      <c r="A372" s="19" t="s">
        <v>2692</v>
      </c>
      <c r="C372" s="5">
        <v>89297600</v>
      </c>
    </row>
    <row r="373" spans="1:3" x14ac:dyDescent="0.25">
      <c r="A373" s="18" t="s">
        <v>2832</v>
      </c>
      <c r="C373" s="5">
        <v>4559200</v>
      </c>
    </row>
    <row r="374" spans="1:3" x14ac:dyDescent="0.25">
      <c r="A374" s="19" t="s">
        <v>2829</v>
      </c>
      <c r="C374" s="5">
        <v>4559200</v>
      </c>
    </row>
    <row r="375" spans="1:3" x14ac:dyDescent="0.25">
      <c r="A375" s="18" t="s">
        <v>594</v>
      </c>
      <c r="C375" s="5">
        <v>4739645.4000000004</v>
      </c>
    </row>
    <row r="376" spans="1:3" x14ac:dyDescent="0.25">
      <c r="A376" s="19" t="s">
        <v>591</v>
      </c>
      <c r="C376" s="5">
        <v>2253069</v>
      </c>
    </row>
    <row r="377" spans="1:3" x14ac:dyDescent="0.25">
      <c r="A377" s="19" t="s">
        <v>596</v>
      </c>
      <c r="C377" s="5">
        <v>1836037</v>
      </c>
    </row>
    <row r="378" spans="1:3" x14ac:dyDescent="0.25">
      <c r="A378" s="19" t="s">
        <v>599</v>
      </c>
      <c r="C378" s="5">
        <v>650539.4</v>
      </c>
    </row>
    <row r="379" spans="1:3" x14ac:dyDescent="0.25">
      <c r="A379" s="18" t="s">
        <v>763</v>
      </c>
      <c r="C379" s="5">
        <v>12449780</v>
      </c>
    </row>
    <row r="380" spans="1:3" x14ac:dyDescent="0.25">
      <c r="A380" s="19" t="s">
        <v>760</v>
      </c>
      <c r="C380" s="5">
        <v>12165251</v>
      </c>
    </row>
    <row r="381" spans="1:3" x14ac:dyDescent="0.25">
      <c r="A381" s="19" t="s">
        <v>1607</v>
      </c>
      <c r="C381" s="5">
        <v>284529</v>
      </c>
    </row>
    <row r="382" spans="1:3" x14ac:dyDescent="0.25">
      <c r="A382" s="18" t="s">
        <v>1181</v>
      </c>
      <c r="C382" s="5">
        <v>1385938.05</v>
      </c>
    </row>
    <row r="383" spans="1:3" x14ac:dyDescent="0.25">
      <c r="A383" s="19" t="s">
        <v>1178</v>
      </c>
      <c r="C383" s="5">
        <v>738276</v>
      </c>
    </row>
    <row r="384" spans="1:3" x14ac:dyDescent="0.25">
      <c r="A384" s="19" t="s">
        <v>3089</v>
      </c>
      <c r="C384" s="5">
        <v>359682.05</v>
      </c>
    </row>
    <row r="385" spans="1:3" x14ac:dyDescent="0.25">
      <c r="A385" s="19" t="s">
        <v>4201</v>
      </c>
      <c r="C385" s="5">
        <v>287980</v>
      </c>
    </row>
    <row r="386" spans="1:3" x14ac:dyDescent="0.25">
      <c r="A386" s="18" t="s">
        <v>2027</v>
      </c>
      <c r="B386">
        <v>1</v>
      </c>
      <c r="C386" s="5">
        <v>20975367</v>
      </c>
    </row>
    <row r="387" spans="1:3" x14ac:dyDescent="0.25">
      <c r="A387" s="19" t="s">
        <v>2024</v>
      </c>
      <c r="B387">
        <v>1</v>
      </c>
      <c r="C387" s="5">
        <v>7127683.5</v>
      </c>
    </row>
    <row r="388" spans="1:3" x14ac:dyDescent="0.25">
      <c r="A388" s="19" t="s">
        <v>2723</v>
      </c>
      <c r="C388" s="5">
        <v>6720000</v>
      </c>
    </row>
    <row r="389" spans="1:3" x14ac:dyDescent="0.25">
      <c r="A389" s="19" t="s">
        <v>3308</v>
      </c>
      <c r="C389" s="5">
        <v>218781.5</v>
      </c>
    </row>
    <row r="390" spans="1:3" x14ac:dyDescent="0.25">
      <c r="A390" s="19" t="s">
        <v>3311</v>
      </c>
      <c r="C390" s="5">
        <v>6902</v>
      </c>
    </row>
    <row r="391" spans="1:3" x14ac:dyDescent="0.25">
      <c r="A391" s="19" t="s">
        <v>3314</v>
      </c>
      <c r="C391" s="5">
        <v>6902000</v>
      </c>
    </row>
    <row r="392" spans="1:3" x14ac:dyDescent="0.25">
      <c r="A392" s="18" t="s">
        <v>2243</v>
      </c>
      <c r="C392" s="5">
        <v>720664</v>
      </c>
    </row>
    <row r="393" spans="1:3" x14ac:dyDescent="0.25">
      <c r="A393" s="19" t="s">
        <v>2240</v>
      </c>
      <c r="C393" s="5">
        <v>207476.5</v>
      </c>
    </row>
    <row r="394" spans="1:3" x14ac:dyDescent="0.25">
      <c r="A394" s="19" t="s">
        <v>4210</v>
      </c>
      <c r="C394" s="5">
        <v>513187.5</v>
      </c>
    </row>
    <row r="395" spans="1:3" x14ac:dyDescent="0.25">
      <c r="A395" s="18" t="s">
        <v>1570</v>
      </c>
      <c r="C395" s="5">
        <v>1568500.92</v>
      </c>
    </row>
    <row r="396" spans="1:3" x14ac:dyDescent="0.25">
      <c r="A396" s="19" t="s">
        <v>1567</v>
      </c>
      <c r="C396" s="5">
        <v>379015</v>
      </c>
    </row>
    <row r="397" spans="1:3" x14ac:dyDescent="0.25">
      <c r="A397" s="19" t="s">
        <v>3343</v>
      </c>
      <c r="C397" s="5">
        <v>70574.14</v>
      </c>
    </row>
    <row r="398" spans="1:3" x14ac:dyDescent="0.25">
      <c r="A398" s="19" t="s">
        <v>3718</v>
      </c>
      <c r="C398" s="5">
        <v>513187.5</v>
      </c>
    </row>
    <row r="399" spans="1:3" x14ac:dyDescent="0.25">
      <c r="A399" s="19" t="s">
        <v>4094</v>
      </c>
      <c r="C399" s="5">
        <v>605724.28</v>
      </c>
    </row>
    <row r="400" spans="1:3" x14ac:dyDescent="0.25">
      <c r="A400" s="18" t="s">
        <v>4043</v>
      </c>
      <c r="C400" s="5">
        <v>483038.06</v>
      </c>
    </row>
    <row r="401" spans="1:3" x14ac:dyDescent="0.25">
      <c r="A401" s="19" t="s">
        <v>4040</v>
      </c>
      <c r="C401" s="5">
        <v>483038.06</v>
      </c>
    </row>
    <row r="402" spans="1:3" x14ac:dyDescent="0.25">
      <c r="A402" s="18" t="s">
        <v>1256</v>
      </c>
      <c r="C402" s="5">
        <v>805868</v>
      </c>
    </row>
    <row r="403" spans="1:3" x14ac:dyDescent="0.25">
      <c r="A403" s="19" t="s">
        <v>1253</v>
      </c>
      <c r="C403" s="5">
        <v>47600</v>
      </c>
    </row>
    <row r="404" spans="1:3" x14ac:dyDescent="0.25">
      <c r="A404" s="19" t="s">
        <v>4114</v>
      </c>
      <c r="C404" s="5">
        <v>758268</v>
      </c>
    </row>
    <row r="405" spans="1:3" x14ac:dyDescent="0.25">
      <c r="A405" s="18" t="s">
        <v>392</v>
      </c>
      <c r="C405" s="5">
        <v>945000</v>
      </c>
    </row>
    <row r="406" spans="1:3" x14ac:dyDescent="0.25">
      <c r="A406" s="19" t="s">
        <v>389</v>
      </c>
      <c r="C406" s="5">
        <v>945000</v>
      </c>
    </row>
    <row r="407" spans="1:3" x14ac:dyDescent="0.25">
      <c r="A407" s="18" t="s">
        <v>2478</v>
      </c>
      <c r="C407" s="5">
        <v>2254752.5</v>
      </c>
    </row>
    <row r="408" spans="1:3" x14ac:dyDescent="0.25">
      <c r="A408" s="19" t="s">
        <v>2475</v>
      </c>
      <c r="C408" s="5">
        <v>2254752.5</v>
      </c>
    </row>
    <row r="409" spans="1:3" x14ac:dyDescent="0.25">
      <c r="A409" s="18" t="s">
        <v>1435</v>
      </c>
      <c r="C409" s="5">
        <v>921060</v>
      </c>
    </row>
    <row r="410" spans="1:3" x14ac:dyDescent="0.25">
      <c r="A410" s="19" t="s">
        <v>1432</v>
      </c>
      <c r="C410" s="5">
        <v>921060</v>
      </c>
    </row>
    <row r="411" spans="1:3" x14ac:dyDescent="0.25">
      <c r="A411" s="18" t="s">
        <v>2577</v>
      </c>
      <c r="C411" s="5">
        <v>6901886.9500000002</v>
      </c>
    </row>
    <row r="412" spans="1:3" x14ac:dyDescent="0.25">
      <c r="A412" s="19" t="s">
        <v>2574</v>
      </c>
      <c r="C412" s="5">
        <v>6901886.9500000002</v>
      </c>
    </row>
    <row r="413" spans="1:3" x14ac:dyDescent="0.25">
      <c r="A413" s="18" t="s">
        <v>3552</v>
      </c>
      <c r="C413" s="5">
        <v>1493622.88</v>
      </c>
    </row>
    <row r="414" spans="1:3" x14ac:dyDescent="0.25">
      <c r="A414" s="19" t="s">
        <v>3549</v>
      </c>
      <c r="C414" s="5">
        <v>1493622.88</v>
      </c>
    </row>
    <row r="415" spans="1:3" x14ac:dyDescent="0.25">
      <c r="A415" s="18" t="s">
        <v>659</v>
      </c>
      <c r="C415" s="5">
        <v>16510290.370000001</v>
      </c>
    </row>
    <row r="416" spans="1:3" x14ac:dyDescent="0.25">
      <c r="A416" s="19" t="s">
        <v>656</v>
      </c>
      <c r="C416" s="5">
        <v>666459.5</v>
      </c>
    </row>
    <row r="417" spans="1:3" x14ac:dyDescent="0.25">
      <c r="A417" s="19" t="s">
        <v>2271</v>
      </c>
      <c r="C417" s="5">
        <v>12577824</v>
      </c>
    </row>
    <row r="418" spans="1:3" x14ac:dyDescent="0.25">
      <c r="A418" s="19" t="s">
        <v>3448</v>
      </c>
      <c r="C418" s="5">
        <v>127330</v>
      </c>
    </row>
    <row r="419" spans="1:3" x14ac:dyDescent="0.25">
      <c r="A419" s="19" t="s">
        <v>3452</v>
      </c>
      <c r="C419" s="5">
        <v>254660</v>
      </c>
    </row>
    <row r="420" spans="1:3" x14ac:dyDescent="0.25">
      <c r="A420" s="19" t="s">
        <v>3829</v>
      </c>
      <c r="C420" s="5">
        <v>163982</v>
      </c>
    </row>
    <row r="421" spans="1:3" x14ac:dyDescent="0.25">
      <c r="A421" s="19" t="s">
        <v>4183</v>
      </c>
      <c r="C421" s="5">
        <v>2720034.87</v>
      </c>
    </row>
    <row r="422" spans="1:3" x14ac:dyDescent="0.25">
      <c r="A422" s="18" t="s">
        <v>3773</v>
      </c>
      <c r="C422" s="5">
        <v>328239.15999999997</v>
      </c>
    </row>
    <row r="423" spans="1:3" x14ac:dyDescent="0.25">
      <c r="A423" s="19" t="s">
        <v>3770</v>
      </c>
      <c r="C423" s="5">
        <v>328239.15999999997</v>
      </c>
    </row>
    <row r="424" spans="1:3" x14ac:dyDescent="0.25">
      <c r="A424" s="18" t="s">
        <v>2400</v>
      </c>
      <c r="C424" s="5">
        <v>2903600</v>
      </c>
    </row>
    <row r="425" spans="1:3" x14ac:dyDescent="0.25">
      <c r="A425" s="19" t="s">
        <v>2397</v>
      </c>
      <c r="C425" s="5">
        <v>2903600</v>
      </c>
    </row>
    <row r="426" spans="1:3" x14ac:dyDescent="0.25">
      <c r="A426" s="18" t="s">
        <v>2090</v>
      </c>
      <c r="C426" s="5">
        <v>353356.85</v>
      </c>
    </row>
    <row r="427" spans="1:3" x14ac:dyDescent="0.25">
      <c r="A427" s="19" t="s">
        <v>2087</v>
      </c>
      <c r="C427" s="5">
        <v>353356.85</v>
      </c>
    </row>
    <row r="428" spans="1:3" x14ac:dyDescent="0.25">
      <c r="A428" s="18" t="s">
        <v>2152</v>
      </c>
      <c r="C428" s="5">
        <v>4313014.58</v>
      </c>
    </row>
    <row r="429" spans="1:3" x14ac:dyDescent="0.25">
      <c r="A429" s="19" t="s">
        <v>2149</v>
      </c>
      <c r="C429" s="5">
        <v>2352415.7999999998</v>
      </c>
    </row>
    <row r="430" spans="1:3" x14ac:dyDescent="0.25">
      <c r="A430" s="19" t="s">
        <v>2157</v>
      </c>
      <c r="C430" s="5">
        <v>1960598.78</v>
      </c>
    </row>
    <row r="431" spans="1:3" x14ac:dyDescent="0.25">
      <c r="A431" s="18" t="s">
        <v>925</v>
      </c>
      <c r="C431" s="5">
        <v>12074105.57</v>
      </c>
    </row>
    <row r="432" spans="1:3" x14ac:dyDescent="0.25">
      <c r="A432" s="19" t="s">
        <v>922</v>
      </c>
      <c r="C432" s="5">
        <v>542640</v>
      </c>
    </row>
    <row r="433" spans="1:3" x14ac:dyDescent="0.25">
      <c r="A433" s="19" t="s">
        <v>1022</v>
      </c>
      <c r="C433" s="5">
        <v>11531465.57</v>
      </c>
    </row>
    <row r="434" spans="1:3" x14ac:dyDescent="0.25">
      <c r="A434" s="18" t="s">
        <v>276</v>
      </c>
      <c r="C434" s="5">
        <v>22112531</v>
      </c>
    </row>
    <row r="435" spans="1:3" x14ac:dyDescent="0.25">
      <c r="A435" s="19" t="s">
        <v>273</v>
      </c>
      <c r="C435" s="5">
        <v>21953666</v>
      </c>
    </row>
    <row r="436" spans="1:3" x14ac:dyDescent="0.25">
      <c r="A436" s="19" t="s">
        <v>2604</v>
      </c>
      <c r="C436" s="5">
        <v>158865</v>
      </c>
    </row>
    <row r="437" spans="1:3" x14ac:dyDescent="0.25">
      <c r="A437" s="18" t="s">
        <v>1537</v>
      </c>
      <c r="C437" s="5">
        <v>1800001.14</v>
      </c>
    </row>
    <row r="438" spans="1:3" x14ac:dyDescent="0.25">
      <c r="A438" s="19" t="s">
        <v>1534</v>
      </c>
      <c r="C438" s="5">
        <v>1800001.14</v>
      </c>
    </row>
    <row r="439" spans="1:3" x14ac:dyDescent="0.25">
      <c r="A439" s="18" t="s">
        <v>1039</v>
      </c>
      <c r="C439" s="5">
        <v>114917013.75</v>
      </c>
    </row>
    <row r="440" spans="1:3" x14ac:dyDescent="0.25">
      <c r="A440" s="19" t="s">
        <v>1036</v>
      </c>
      <c r="C440" s="5">
        <v>5885561.5</v>
      </c>
    </row>
    <row r="441" spans="1:3" x14ac:dyDescent="0.25">
      <c r="A441" s="19" t="s">
        <v>1042</v>
      </c>
      <c r="C441" s="5">
        <v>11771123</v>
      </c>
    </row>
    <row r="442" spans="1:3" x14ac:dyDescent="0.25">
      <c r="A442" s="19" t="s">
        <v>3195</v>
      </c>
      <c r="C442" s="5">
        <v>97260329.25</v>
      </c>
    </row>
    <row r="443" spans="1:3" x14ac:dyDescent="0.25">
      <c r="A443" s="18" t="s">
        <v>568</v>
      </c>
      <c r="C443" s="5">
        <v>3220402.4700000007</v>
      </c>
    </row>
    <row r="444" spans="1:3" x14ac:dyDescent="0.25">
      <c r="A444" s="19" t="s">
        <v>565</v>
      </c>
      <c r="C444" s="5">
        <v>1418932.24</v>
      </c>
    </row>
    <row r="445" spans="1:3" x14ac:dyDescent="0.25">
      <c r="A445" s="19" t="s">
        <v>1146</v>
      </c>
      <c r="C445" s="5">
        <v>254979.8</v>
      </c>
    </row>
    <row r="446" spans="1:3" x14ac:dyDescent="0.25">
      <c r="A446" s="19" t="s">
        <v>1149</v>
      </c>
      <c r="C446" s="5">
        <v>1142229.8600000001</v>
      </c>
    </row>
    <row r="447" spans="1:3" x14ac:dyDescent="0.25">
      <c r="A447" s="19" t="s">
        <v>1152</v>
      </c>
      <c r="C447" s="5">
        <v>167290.20000000001</v>
      </c>
    </row>
    <row r="448" spans="1:3" x14ac:dyDescent="0.25">
      <c r="A448" s="19" t="s">
        <v>1155</v>
      </c>
      <c r="C448" s="5">
        <v>236970.37</v>
      </c>
    </row>
    <row r="449" spans="1:3" x14ac:dyDescent="0.25">
      <c r="A449" s="18" t="s">
        <v>808</v>
      </c>
      <c r="C449" s="5">
        <v>1249500</v>
      </c>
    </row>
    <row r="450" spans="1:3" x14ac:dyDescent="0.25">
      <c r="A450" s="19" t="s">
        <v>805</v>
      </c>
      <c r="C450" s="5">
        <v>1249500</v>
      </c>
    </row>
    <row r="451" spans="1:3" x14ac:dyDescent="0.25">
      <c r="A451" s="18" t="s">
        <v>1342</v>
      </c>
      <c r="C451" s="5">
        <v>18458700.690000001</v>
      </c>
    </row>
    <row r="452" spans="1:3" x14ac:dyDescent="0.25">
      <c r="A452" s="19" t="s">
        <v>1339</v>
      </c>
      <c r="C452" s="5">
        <v>3884940.64</v>
      </c>
    </row>
    <row r="453" spans="1:3" x14ac:dyDescent="0.25">
      <c r="A453" s="19" t="s">
        <v>1344</v>
      </c>
      <c r="C453" s="5">
        <v>934546.27</v>
      </c>
    </row>
    <row r="454" spans="1:3" x14ac:dyDescent="0.25">
      <c r="A454" s="19" t="s">
        <v>1347</v>
      </c>
      <c r="C454" s="5">
        <v>295120</v>
      </c>
    </row>
    <row r="455" spans="1:3" x14ac:dyDescent="0.25">
      <c r="A455" s="19" t="s">
        <v>1350</v>
      </c>
      <c r="C455" s="5">
        <v>133598.92000000001</v>
      </c>
    </row>
    <row r="456" spans="1:3" x14ac:dyDescent="0.25">
      <c r="A456" s="19" t="s">
        <v>1353</v>
      </c>
      <c r="C456" s="5">
        <v>4078846.38</v>
      </c>
    </row>
    <row r="457" spans="1:3" x14ac:dyDescent="0.25">
      <c r="A457" s="19" t="s">
        <v>1446</v>
      </c>
      <c r="C457" s="5">
        <v>2439098.9700000002</v>
      </c>
    </row>
    <row r="458" spans="1:3" x14ac:dyDescent="0.25">
      <c r="A458" s="19" t="s">
        <v>2565</v>
      </c>
      <c r="C458" s="5">
        <v>4064598.51</v>
      </c>
    </row>
    <row r="459" spans="1:3" x14ac:dyDescent="0.25">
      <c r="A459" s="19" t="s">
        <v>2568</v>
      </c>
      <c r="C459" s="5">
        <v>2627951</v>
      </c>
    </row>
    <row r="460" spans="1:3" x14ac:dyDescent="0.25">
      <c r="A460" s="18" t="s">
        <v>2106</v>
      </c>
      <c r="C460" s="5">
        <v>2415878.5</v>
      </c>
    </row>
    <row r="461" spans="1:3" x14ac:dyDescent="0.25">
      <c r="A461" s="19" t="s">
        <v>2103</v>
      </c>
      <c r="C461" s="5">
        <v>2415878.5</v>
      </c>
    </row>
    <row r="462" spans="1:3" x14ac:dyDescent="0.25">
      <c r="A462" s="18" t="s">
        <v>3396</v>
      </c>
      <c r="C462" s="5">
        <v>30652020</v>
      </c>
    </row>
    <row r="463" spans="1:3" x14ac:dyDescent="0.25">
      <c r="A463" s="19" t="s">
        <v>3393</v>
      </c>
      <c r="C463" s="5">
        <v>20420400</v>
      </c>
    </row>
    <row r="464" spans="1:3" x14ac:dyDescent="0.25">
      <c r="A464" s="19" t="s">
        <v>4060</v>
      </c>
      <c r="C464" s="5">
        <v>5769120</v>
      </c>
    </row>
    <row r="465" spans="1:3" x14ac:dyDescent="0.25">
      <c r="A465" s="19" t="s">
        <v>4120</v>
      </c>
      <c r="C465" s="5">
        <v>4462500</v>
      </c>
    </row>
    <row r="466" spans="1:3" x14ac:dyDescent="0.25">
      <c r="A466" s="18" t="s">
        <v>1630</v>
      </c>
      <c r="C466" s="5">
        <v>306655.86</v>
      </c>
    </row>
    <row r="467" spans="1:3" x14ac:dyDescent="0.25">
      <c r="A467" s="19" t="s">
        <v>1627</v>
      </c>
      <c r="C467" s="5">
        <v>105843.36</v>
      </c>
    </row>
    <row r="468" spans="1:3" x14ac:dyDescent="0.25">
      <c r="A468" s="19" t="s">
        <v>3027</v>
      </c>
      <c r="C468" s="5">
        <v>200812.5</v>
      </c>
    </row>
    <row r="469" spans="1:3" x14ac:dyDescent="0.25">
      <c r="A469" s="18" t="s">
        <v>2444</v>
      </c>
      <c r="C469" s="5">
        <v>225582173.88</v>
      </c>
    </row>
    <row r="470" spans="1:3" x14ac:dyDescent="0.25">
      <c r="A470" s="19" t="s">
        <v>2441</v>
      </c>
      <c r="C470" s="5">
        <v>23819654.039999999</v>
      </c>
    </row>
    <row r="471" spans="1:3" x14ac:dyDescent="0.25">
      <c r="A471" s="19" t="s">
        <v>2446</v>
      </c>
      <c r="C471" s="5">
        <v>100881259.92</v>
      </c>
    </row>
    <row r="472" spans="1:3" x14ac:dyDescent="0.25">
      <c r="A472" s="19" t="s">
        <v>2449</v>
      </c>
      <c r="C472" s="5">
        <v>100881259.92</v>
      </c>
    </row>
    <row r="473" spans="1:3" x14ac:dyDescent="0.25">
      <c r="A473" s="18" t="s">
        <v>1480</v>
      </c>
      <c r="C473" s="5">
        <v>8084564.8799999999</v>
      </c>
    </row>
    <row r="474" spans="1:3" x14ac:dyDescent="0.25">
      <c r="A474" s="19" t="s">
        <v>1477</v>
      </c>
      <c r="C474" s="5">
        <v>8084564.8799999999</v>
      </c>
    </row>
    <row r="475" spans="1:3" x14ac:dyDescent="0.25">
      <c r="A475" s="18" t="s">
        <v>2827</v>
      </c>
      <c r="C475" s="5">
        <v>3282020</v>
      </c>
    </row>
    <row r="476" spans="1:3" x14ac:dyDescent="0.25">
      <c r="A476" s="19" t="s">
        <v>2824</v>
      </c>
      <c r="C476" s="5">
        <v>3282020</v>
      </c>
    </row>
    <row r="477" spans="1:3" x14ac:dyDescent="0.25">
      <c r="A477" s="18" t="s">
        <v>915</v>
      </c>
      <c r="C477" s="5">
        <v>622679.4</v>
      </c>
    </row>
    <row r="478" spans="1:3" x14ac:dyDescent="0.25">
      <c r="A478" s="19" t="s">
        <v>912</v>
      </c>
      <c r="C478" s="5">
        <v>622679.4</v>
      </c>
    </row>
    <row r="479" spans="1:3" x14ac:dyDescent="0.25">
      <c r="A479" s="18" t="s">
        <v>1125</v>
      </c>
      <c r="C479" s="5">
        <v>37725199.119999997</v>
      </c>
    </row>
    <row r="480" spans="1:3" x14ac:dyDescent="0.25">
      <c r="A480" s="19" t="s">
        <v>1122</v>
      </c>
      <c r="C480" s="5">
        <v>9431299.7799999993</v>
      </c>
    </row>
    <row r="481" spans="1:3" x14ac:dyDescent="0.25">
      <c r="A481" s="19" t="s">
        <v>1127</v>
      </c>
      <c r="C481" s="5">
        <v>9431299.7799999993</v>
      </c>
    </row>
    <row r="482" spans="1:3" x14ac:dyDescent="0.25">
      <c r="A482" s="19" t="s">
        <v>1130</v>
      </c>
      <c r="C482" s="5">
        <v>9431299.7799999993</v>
      </c>
    </row>
    <row r="483" spans="1:3" x14ac:dyDescent="0.25">
      <c r="A483" s="19" t="s">
        <v>1133</v>
      </c>
      <c r="C483" s="5">
        <v>9431299.7799999993</v>
      </c>
    </row>
    <row r="484" spans="1:3" x14ac:dyDescent="0.25">
      <c r="A484" s="18" t="s">
        <v>1065</v>
      </c>
      <c r="C484" s="5">
        <v>4663319.5999999996</v>
      </c>
    </row>
    <row r="485" spans="1:3" x14ac:dyDescent="0.25">
      <c r="A485" s="19" t="s">
        <v>1062</v>
      </c>
      <c r="C485" s="5">
        <v>4318319.5999999996</v>
      </c>
    </row>
    <row r="486" spans="1:3" x14ac:dyDescent="0.25">
      <c r="A486" s="19" t="s">
        <v>2394</v>
      </c>
      <c r="C486" s="5">
        <v>345000</v>
      </c>
    </row>
    <row r="487" spans="1:3" x14ac:dyDescent="0.25">
      <c r="A487" s="18" t="s">
        <v>3153</v>
      </c>
      <c r="C487" s="5">
        <v>110565.28</v>
      </c>
    </row>
    <row r="488" spans="1:3" x14ac:dyDescent="0.25">
      <c r="A488" s="19" t="s">
        <v>3150</v>
      </c>
      <c r="C488" s="5">
        <v>110565.28</v>
      </c>
    </row>
    <row r="489" spans="1:3" x14ac:dyDescent="0.25">
      <c r="A489" s="18" t="s">
        <v>3870</v>
      </c>
      <c r="C489" s="5">
        <v>1234355.99</v>
      </c>
    </row>
    <row r="490" spans="1:3" x14ac:dyDescent="0.25">
      <c r="A490" s="19" t="s">
        <v>3867</v>
      </c>
      <c r="C490" s="5">
        <v>1234355.99</v>
      </c>
    </row>
    <row r="491" spans="1:3" x14ac:dyDescent="0.25">
      <c r="A491" s="18" t="s">
        <v>633</v>
      </c>
      <c r="C491" s="5">
        <v>7126397.1100000003</v>
      </c>
    </row>
    <row r="492" spans="1:3" x14ac:dyDescent="0.25">
      <c r="A492" s="19" t="s">
        <v>630</v>
      </c>
      <c r="C492" s="5">
        <v>178500</v>
      </c>
    </row>
    <row r="493" spans="1:3" x14ac:dyDescent="0.25">
      <c r="A493" s="19" t="s">
        <v>729</v>
      </c>
      <c r="C493" s="5">
        <v>2892292.62</v>
      </c>
    </row>
    <row r="494" spans="1:3" x14ac:dyDescent="0.25">
      <c r="A494" s="19" t="s">
        <v>2029</v>
      </c>
      <c r="C494" s="5">
        <v>3432007.6</v>
      </c>
    </row>
    <row r="495" spans="1:3" x14ac:dyDescent="0.25">
      <c r="A495" s="19" t="s">
        <v>2265</v>
      </c>
      <c r="C495" s="5">
        <v>623596.89</v>
      </c>
    </row>
    <row r="496" spans="1:3" x14ac:dyDescent="0.25">
      <c r="A496" s="18" t="s">
        <v>3803</v>
      </c>
      <c r="C496" s="5">
        <v>3760400</v>
      </c>
    </row>
    <row r="497" spans="1:3" x14ac:dyDescent="0.25">
      <c r="A497" s="19" t="s">
        <v>3800</v>
      </c>
      <c r="C497" s="5">
        <v>3760400</v>
      </c>
    </row>
    <row r="498" spans="1:3" x14ac:dyDescent="0.25">
      <c r="A498" s="18" t="s">
        <v>709</v>
      </c>
      <c r="C498" s="5">
        <v>12146107.470000001</v>
      </c>
    </row>
    <row r="499" spans="1:3" x14ac:dyDescent="0.25">
      <c r="A499" s="19" t="s">
        <v>706</v>
      </c>
      <c r="C499" s="5">
        <v>12146107.470000001</v>
      </c>
    </row>
    <row r="500" spans="1:3" x14ac:dyDescent="0.25">
      <c r="A500" s="18" t="s">
        <v>936</v>
      </c>
      <c r="C500" s="5">
        <v>8164015.5</v>
      </c>
    </row>
    <row r="501" spans="1:3" x14ac:dyDescent="0.25">
      <c r="A501" s="19" t="s">
        <v>933</v>
      </c>
      <c r="C501" s="5">
        <v>5025370</v>
      </c>
    </row>
    <row r="502" spans="1:3" x14ac:dyDescent="0.25">
      <c r="A502" s="19" t="s">
        <v>2527</v>
      </c>
      <c r="C502" s="5">
        <v>3138645.5</v>
      </c>
    </row>
    <row r="503" spans="1:3" x14ac:dyDescent="0.25">
      <c r="A503" s="18" t="s">
        <v>1780</v>
      </c>
      <c r="C503" s="5">
        <v>1021806.66</v>
      </c>
    </row>
    <row r="504" spans="1:3" x14ac:dyDescent="0.25">
      <c r="A504" s="19" t="s">
        <v>1777</v>
      </c>
      <c r="C504" s="5">
        <v>135422.16</v>
      </c>
    </row>
    <row r="505" spans="1:3" x14ac:dyDescent="0.25">
      <c r="A505" s="19" t="s">
        <v>2211</v>
      </c>
      <c r="C505" s="5">
        <v>395972.5</v>
      </c>
    </row>
    <row r="506" spans="1:3" x14ac:dyDescent="0.25">
      <c r="A506" s="19" t="s">
        <v>2666</v>
      </c>
      <c r="C506" s="5">
        <v>74256</v>
      </c>
    </row>
    <row r="507" spans="1:3" x14ac:dyDescent="0.25">
      <c r="A507" s="19" t="s">
        <v>3274</v>
      </c>
      <c r="C507" s="5">
        <v>416156</v>
      </c>
    </row>
    <row r="508" spans="1:3" x14ac:dyDescent="0.25">
      <c r="A508" s="18" t="s">
        <v>3240</v>
      </c>
      <c r="C508" s="5">
        <v>421260</v>
      </c>
    </row>
    <row r="509" spans="1:3" x14ac:dyDescent="0.25">
      <c r="A509" s="19" t="s">
        <v>3237</v>
      </c>
      <c r="C509" s="5">
        <v>178500</v>
      </c>
    </row>
    <row r="510" spans="1:3" x14ac:dyDescent="0.25">
      <c r="A510" s="19" t="s">
        <v>4192</v>
      </c>
      <c r="C510" s="5">
        <v>242760</v>
      </c>
    </row>
    <row r="511" spans="1:3" x14ac:dyDescent="0.25">
      <c r="A511" s="18" t="s">
        <v>750</v>
      </c>
      <c r="C511" s="5">
        <v>5591600</v>
      </c>
    </row>
    <row r="512" spans="1:3" x14ac:dyDescent="0.25">
      <c r="A512" s="19" t="s">
        <v>747</v>
      </c>
      <c r="C512" s="5">
        <v>1954800</v>
      </c>
    </row>
    <row r="513" spans="1:3" x14ac:dyDescent="0.25">
      <c r="A513" s="19" t="s">
        <v>752</v>
      </c>
      <c r="C513" s="5">
        <v>3636800</v>
      </c>
    </row>
    <row r="514" spans="1:3" x14ac:dyDescent="0.25">
      <c r="A514" s="18" t="s">
        <v>1422</v>
      </c>
      <c r="C514" s="5">
        <v>27187216</v>
      </c>
    </row>
    <row r="515" spans="1:3" x14ac:dyDescent="0.25">
      <c r="A515" s="19" t="s">
        <v>1419</v>
      </c>
      <c r="C515" s="5">
        <v>5197920</v>
      </c>
    </row>
    <row r="516" spans="1:3" x14ac:dyDescent="0.25">
      <c r="A516" s="19" t="s">
        <v>1424</v>
      </c>
      <c r="C516" s="5">
        <v>339150</v>
      </c>
    </row>
    <row r="517" spans="1:3" x14ac:dyDescent="0.25">
      <c r="A517" s="19" t="s">
        <v>2191</v>
      </c>
      <c r="C517" s="5">
        <v>898450</v>
      </c>
    </row>
    <row r="518" spans="1:3" x14ac:dyDescent="0.25">
      <c r="A518" s="19" t="s">
        <v>2232</v>
      </c>
      <c r="C518" s="5">
        <v>11942840</v>
      </c>
    </row>
    <row r="519" spans="1:3" x14ac:dyDescent="0.25">
      <c r="A519" s="19" t="s">
        <v>2433</v>
      </c>
      <c r="C519" s="5">
        <v>7461300</v>
      </c>
    </row>
    <row r="520" spans="1:3" x14ac:dyDescent="0.25">
      <c r="A520" s="19" t="s">
        <v>3247</v>
      </c>
      <c r="C520" s="5">
        <v>1347556</v>
      </c>
    </row>
    <row r="521" spans="1:3" x14ac:dyDescent="0.25">
      <c r="A521" s="18" t="s">
        <v>1511</v>
      </c>
      <c r="C521" s="5">
        <v>10506380</v>
      </c>
    </row>
    <row r="522" spans="1:3" x14ac:dyDescent="0.25">
      <c r="A522" s="19" t="s">
        <v>1508</v>
      </c>
      <c r="C522" s="5">
        <v>3184440</v>
      </c>
    </row>
    <row r="523" spans="1:3" x14ac:dyDescent="0.25">
      <c r="A523" s="19" t="s">
        <v>2006</v>
      </c>
      <c r="C523" s="5">
        <v>90440</v>
      </c>
    </row>
    <row r="524" spans="1:3" x14ac:dyDescent="0.25">
      <c r="A524" s="19" t="s">
        <v>3346</v>
      </c>
      <c r="C524" s="5">
        <v>7231500</v>
      </c>
    </row>
    <row r="525" spans="1:3" x14ac:dyDescent="0.25">
      <c r="A525" s="18" t="s">
        <v>715</v>
      </c>
      <c r="C525" s="5">
        <v>2856787.7800000003</v>
      </c>
    </row>
    <row r="526" spans="1:3" x14ac:dyDescent="0.25">
      <c r="A526" s="19" t="s">
        <v>712</v>
      </c>
      <c r="C526" s="5">
        <v>381587.78</v>
      </c>
    </row>
    <row r="527" spans="1:3" x14ac:dyDescent="0.25">
      <c r="A527" s="19" t="s">
        <v>789</v>
      </c>
      <c r="C527" s="5">
        <v>2475200</v>
      </c>
    </row>
    <row r="528" spans="1:3" x14ac:dyDescent="0.25">
      <c r="A528" s="18" t="s">
        <v>2965</v>
      </c>
      <c r="C528" s="5">
        <v>316540</v>
      </c>
    </row>
    <row r="529" spans="1:3" x14ac:dyDescent="0.25">
      <c r="A529" s="19" t="s">
        <v>2962</v>
      </c>
      <c r="C529" s="5">
        <v>316540</v>
      </c>
    </row>
    <row r="530" spans="1:3" x14ac:dyDescent="0.25">
      <c r="A530" s="18" t="s">
        <v>3433</v>
      </c>
      <c r="C530" s="5">
        <v>1175835.5</v>
      </c>
    </row>
    <row r="531" spans="1:3" x14ac:dyDescent="0.25">
      <c r="A531" s="19" t="s">
        <v>3430</v>
      </c>
      <c r="C531" s="5">
        <v>349531</v>
      </c>
    </row>
    <row r="532" spans="1:3" x14ac:dyDescent="0.25">
      <c r="A532" s="19" t="s">
        <v>3497</v>
      </c>
      <c r="C532" s="5">
        <v>471376.5</v>
      </c>
    </row>
    <row r="533" spans="1:3" x14ac:dyDescent="0.25">
      <c r="A533" s="19" t="s">
        <v>3500</v>
      </c>
      <c r="C533" s="5">
        <v>354928</v>
      </c>
    </row>
    <row r="534" spans="1:3" x14ac:dyDescent="0.25">
      <c r="A534" s="18" t="s">
        <v>2129</v>
      </c>
      <c r="C534" s="5">
        <v>21196780.780000001</v>
      </c>
    </row>
    <row r="535" spans="1:3" x14ac:dyDescent="0.25">
      <c r="A535" s="19" t="s">
        <v>2126</v>
      </c>
      <c r="C535" s="5">
        <v>2954460.32</v>
      </c>
    </row>
    <row r="536" spans="1:3" x14ac:dyDescent="0.25">
      <c r="A536" s="19" t="s">
        <v>2453</v>
      </c>
      <c r="C536" s="5">
        <v>3592507.66</v>
      </c>
    </row>
    <row r="537" spans="1:3" x14ac:dyDescent="0.25">
      <c r="A537" s="19" t="s">
        <v>3567</v>
      </c>
      <c r="C537" s="5">
        <v>735064.05</v>
      </c>
    </row>
    <row r="538" spans="1:3" x14ac:dyDescent="0.25">
      <c r="A538" s="19" t="s">
        <v>3570</v>
      </c>
      <c r="C538" s="5">
        <v>9368493.75</v>
      </c>
    </row>
    <row r="539" spans="1:3" x14ac:dyDescent="0.25">
      <c r="A539" s="19" t="s">
        <v>3573</v>
      </c>
      <c r="C539" s="5">
        <v>1430475.2</v>
      </c>
    </row>
    <row r="540" spans="1:3" x14ac:dyDescent="0.25">
      <c r="A540" s="19" t="s">
        <v>3576</v>
      </c>
      <c r="C540" s="5">
        <v>1352012.55</v>
      </c>
    </row>
    <row r="541" spans="1:3" x14ac:dyDescent="0.25">
      <c r="A541" s="19" t="s">
        <v>3579</v>
      </c>
      <c r="C541" s="5">
        <v>555083.19999999995</v>
      </c>
    </row>
    <row r="542" spans="1:3" x14ac:dyDescent="0.25">
      <c r="A542" s="19" t="s">
        <v>3582</v>
      </c>
      <c r="C542" s="5">
        <v>1208684.05</v>
      </c>
    </row>
    <row r="543" spans="1:3" x14ac:dyDescent="0.25">
      <c r="A543" s="18" t="s">
        <v>184</v>
      </c>
      <c r="C543" s="5">
        <v>4005599.5</v>
      </c>
    </row>
    <row r="544" spans="1:3" x14ac:dyDescent="0.25">
      <c r="A544" s="19" t="s">
        <v>181</v>
      </c>
      <c r="C544" s="5">
        <v>249900</v>
      </c>
    </row>
    <row r="545" spans="1:3" x14ac:dyDescent="0.25">
      <c r="A545" s="19" t="s">
        <v>189</v>
      </c>
      <c r="C545" s="5">
        <v>1832600</v>
      </c>
    </row>
    <row r="546" spans="1:3" x14ac:dyDescent="0.25">
      <c r="A546" s="19" t="s">
        <v>2579</v>
      </c>
      <c r="C546" s="5">
        <v>423699.5</v>
      </c>
    </row>
    <row r="547" spans="1:3" x14ac:dyDescent="0.25">
      <c r="A547" s="19">
        <v>104655</v>
      </c>
      <c r="C547" s="5">
        <v>1499400</v>
      </c>
    </row>
    <row r="548" spans="1:3" x14ac:dyDescent="0.25">
      <c r="A548" s="18" t="s">
        <v>3953</v>
      </c>
      <c r="C548" s="5">
        <v>142800</v>
      </c>
    </row>
    <row r="549" spans="1:3" x14ac:dyDescent="0.25">
      <c r="A549" s="19" t="s">
        <v>3950</v>
      </c>
      <c r="C549" s="5">
        <v>142800</v>
      </c>
    </row>
    <row r="550" spans="1:3" x14ac:dyDescent="0.25">
      <c r="A550" s="18" t="s">
        <v>1774</v>
      </c>
      <c r="C550" s="5">
        <v>628873.35</v>
      </c>
    </row>
    <row r="551" spans="1:3" x14ac:dyDescent="0.25">
      <c r="A551" s="19" t="s">
        <v>1771</v>
      </c>
      <c r="C551" s="5">
        <v>74452.350000000006</v>
      </c>
    </row>
    <row r="552" spans="1:3" x14ac:dyDescent="0.25">
      <c r="A552" s="19" t="s">
        <v>2214</v>
      </c>
      <c r="C552" s="5">
        <v>35700</v>
      </c>
    </row>
    <row r="553" spans="1:3" x14ac:dyDescent="0.25">
      <c r="A553" s="19" t="s">
        <v>3268</v>
      </c>
      <c r="C553" s="5">
        <v>357000</v>
      </c>
    </row>
    <row r="554" spans="1:3" x14ac:dyDescent="0.25">
      <c r="A554" s="19" t="s">
        <v>3271</v>
      </c>
      <c r="C554" s="5">
        <v>35700</v>
      </c>
    </row>
    <row r="555" spans="1:3" x14ac:dyDescent="0.25">
      <c r="A555" s="19" t="s">
        <v>4126</v>
      </c>
      <c r="C555" s="5">
        <v>126021</v>
      </c>
    </row>
    <row r="556" spans="1:3" x14ac:dyDescent="0.25">
      <c r="A556" s="18" t="s">
        <v>68</v>
      </c>
      <c r="C556" s="5">
        <v>4542553.17</v>
      </c>
    </row>
    <row r="557" spans="1:3" x14ac:dyDescent="0.25">
      <c r="A557" s="19" t="s">
        <v>65</v>
      </c>
      <c r="C557" s="5">
        <v>2337439.65</v>
      </c>
    </row>
    <row r="558" spans="1:3" x14ac:dyDescent="0.25">
      <c r="A558" s="19" t="s">
        <v>71</v>
      </c>
      <c r="C558" s="5">
        <v>339796.17</v>
      </c>
    </row>
    <row r="559" spans="1:3" x14ac:dyDescent="0.25">
      <c r="A559" s="19" t="s">
        <v>74</v>
      </c>
      <c r="C559" s="5">
        <v>1865317.35</v>
      </c>
    </row>
    <row r="560" spans="1:3" x14ac:dyDescent="0.25">
      <c r="A560" s="18" t="s">
        <v>489</v>
      </c>
      <c r="C560" s="5">
        <v>3188720</v>
      </c>
    </row>
    <row r="561" spans="1:3" x14ac:dyDescent="0.25">
      <c r="A561" s="19" t="s">
        <v>486</v>
      </c>
      <c r="C561" s="5">
        <v>705670</v>
      </c>
    </row>
    <row r="562" spans="1:3" x14ac:dyDescent="0.25">
      <c r="A562" s="19" t="s">
        <v>491</v>
      </c>
      <c r="C562" s="5">
        <v>458150</v>
      </c>
    </row>
    <row r="563" spans="1:3" x14ac:dyDescent="0.25">
      <c r="A563" s="19" t="s">
        <v>494</v>
      </c>
      <c r="C563" s="5">
        <v>1180000</v>
      </c>
    </row>
    <row r="564" spans="1:3" x14ac:dyDescent="0.25">
      <c r="A564" s="19" t="s">
        <v>943</v>
      </c>
      <c r="C564" s="5">
        <v>368900</v>
      </c>
    </row>
    <row r="565" spans="1:3" x14ac:dyDescent="0.25">
      <c r="A565" s="19" t="s">
        <v>946</v>
      </c>
      <c r="C565" s="5">
        <v>119000</v>
      </c>
    </row>
    <row r="566" spans="1:3" x14ac:dyDescent="0.25">
      <c r="A566" s="19" t="s">
        <v>949</v>
      </c>
      <c r="C566" s="5">
        <v>119000</v>
      </c>
    </row>
    <row r="567" spans="1:3" x14ac:dyDescent="0.25">
      <c r="A567" s="19" t="s">
        <v>952</v>
      </c>
      <c r="C567" s="5">
        <v>238000</v>
      </c>
    </row>
    <row r="568" spans="1:3" x14ac:dyDescent="0.25">
      <c r="A568" s="18" t="s">
        <v>464</v>
      </c>
      <c r="C568" s="5">
        <v>2322880</v>
      </c>
    </row>
    <row r="569" spans="1:3" x14ac:dyDescent="0.25">
      <c r="A569" s="19" t="s">
        <v>461</v>
      </c>
      <c r="C569" s="5">
        <v>2203880</v>
      </c>
    </row>
    <row r="570" spans="1:3" x14ac:dyDescent="0.25">
      <c r="A570" s="19" t="s">
        <v>810</v>
      </c>
      <c r="C570" s="5">
        <v>119000</v>
      </c>
    </row>
    <row r="571" spans="1:3" x14ac:dyDescent="0.25">
      <c r="A571" s="18" t="s">
        <v>664</v>
      </c>
      <c r="C571" s="5">
        <v>543621.75</v>
      </c>
    </row>
    <row r="572" spans="1:3" x14ac:dyDescent="0.25">
      <c r="A572" s="19" t="s">
        <v>661</v>
      </c>
      <c r="C572" s="5">
        <v>23800</v>
      </c>
    </row>
    <row r="573" spans="1:3" x14ac:dyDescent="0.25">
      <c r="A573" s="19" t="s">
        <v>975</v>
      </c>
      <c r="C573" s="5">
        <v>519821.75</v>
      </c>
    </row>
    <row r="574" spans="1:3" x14ac:dyDescent="0.25">
      <c r="A574" s="18" t="s">
        <v>2022</v>
      </c>
      <c r="C574" s="5">
        <v>572687.5</v>
      </c>
    </row>
    <row r="575" spans="1:3" x14ac:dyDescent="0.25">
      <c r="A575" s="19" t="s">
        <v>2019</v>
      </c>
      <c r="C575" s="5">
        <v>572687.5</v>
      </c>
    </row>
    <row r="576" spans="1:3" x14ac:dyDescent="0.25">
      <c r="A576" s="18" t="s">
        <v>3860</v>
      </c>
      <c r="C576" s="5">
        <v>2217556.48</v>
      </c>
    </row>
    <row r="577" spans="1:3" x14ac:dyDescent="0.25">
      <c r="A577" s="19" t="s">
        <v>3857</v>
      </c>
      <c r="C577" s="5">
        <v>2217556.48</v>
      </c>
    </row>
    <row r="578" spans="1:3" x14ac:dyDescent="0.25">
      <c r="A578" s="18" t="s">
        <v>551</v>
      </c>
      <c r="C578" s="5">
        <v>6787879</v>
      </c>
    </row>
    <row r="579" spans="1:3" x14ac:dyDescent="0.25">
      <c r="A579" s="19" t="s">
        <v>548</v>
      </c>
      <c r="C579" s="5">
        <v>4714899</v>
      </c>
    </row>
    <row r="580" spans="1:3" x14ac:dyDescent="0.25">
      <c r="A580" s="19" t="s">
        <v>1836</v>
      </c>
      <c r="C580" s="5">
        <v>107433.2</v>
      </c>
    </row>
    <row r="581" spans="1:3" x14ac:dyDescent="0.25">
      <c r="A581" s="19" t="s">
        <v>2253</v>
      </c>
      <c r="C581" s="5">
        <v>38080</v>
      </c>
    </row>
    <row r="582" spans="1:3" x14ac:dyDescent="0.25">
      <c r="A582" s="19" t="s">
        <v>2256</v>
      </c>
      <c r="C582" s="5">
        <v>46648</v>
      </c>
    </row>
    <row r="583" spans="1:3" x14ac:dyDescent="0.25">
      <c r="A583" s="19" t="s">
        <v>2259</v>
      </c>
      <c r="C583" s="5">
        <v>196112</v>
      </c>
    </row>
    <row r="584" spans="1:3" x14ac:dyDescent="0.25">
      <c r="A584" s="19" t="s">
        <v>2262</v>
      </c>
      <c r="C584" s="5">
        <v>206346</v>
      </c>
    </row>
    <row r="585" spans="1:3" x14ac:dyDescent="0.25">
      <c r="A585" s="19" t="s">
        <v>2519</v>
      </c>
      <c r="C585" s="5">
        <v>84133</v>
      </c>
    </row>
    <row r="586" spans="1:3" x14ac:dyDescent="0.25">
      <c r="A586" s="19" t="s">
        <v>2650</v>
      </c>
      <c r="C586" s="5">
        <v>400577.8</v>
      </c>
    </row>
    <row r="587" spans="1:3" x14ac:dyDescent="0.25">
      <c r="A587" s="19" t="s">
        <v>4204</v>
      </c>
      <c r="C587" s="5">
        <v>993650</v>
      </c>
    </row>
    <row r="588" spans="1:3" x14ac:dyDescent="0.25">
      <c r="A588" s="18" t="s">
        <v>2248</v>
      </c>
      <c r="C588" s="5">
        <v>5414500</v>
      </c>
    </row>
    <row r="589" spans="1:3" x14ac:dyDescent="0.25">
      <c r="A589" s="19" t="s">
        <v>2245</v>
      </c>
      <c r="C589" s="5">
        <v>4879000</v>
      </c>
    </row>
    <row r="590" spans="1:3" x14ac:dyDescent="0.25">
      <c r="A590" s="19" t="s">
        <v>2250</v>
      </c>
      <c r="C590" s="5">
        <v>535500</v>
      </c>
    </row>
    <row r="591" spans="1:3" x14ac:dyDescent="0.25">
      <c r="A591" s="18" t="s">
        <v>1808</v>
      </c>
      <c r="C591" s="5">
        <v>9672000</v>
      </c>
    </row>
    <row r="592" spans="1:3" x14ac:dyDescent="0.25">
      <c r="A592" s="19" t="s">
        <v>1805</v>
      </c>
      <c r="C592" s="5">
        <v>9672000</v>
      </c>
    </row>
    <row r="593" spans="1:3" x14ac:dyDescent="0.25">
      <c r="A593" s="18" t="s">
        <v>3750</v>
      </c>
      <c r="C593" s="5">
        <v>1024540</v>
      </c>
    </row>
    <row r="594" spans="1:3" x14ac:dyDescent="0.25">
      <c r="A594" s="19" t="s">
        <v>3747</v>
      </c>
      <c r="C594" s="5">
        <v>550056</v>
      </c>
    </row>
    <row r="595" spans="1:3" x14ac:dyDescent="0.25">
      <c r="A595" s="19" t="s">
        <v>3752</v>
      </c>
      <c r="C595" s="5">
        <v>474484</v>
      </c>
    </row>
    <row r="596" spans="1:3" x14ac:dyDescent="0.25">
      <c r="A596" s="18" t="s">
        <v>1486</v>
      </c>
      <c r="C596" s="5">
        <v>13353143.51</v>
      </c>
    </row>
    <row r="597" spans="1:3" x14ac:dyDescent="0.25">
      <c r="A597" s="19" t="s">
        <v>1483</v>
      </c>
      <c r="C597" s="5">
        <v>7694540</v>
      </c>
    </row>
    <row r="598" spans="1:3" x14ac:dyDescent="0.25">
      <c r="A598" s="19" t="s">
        <v>4222</v>
      </c>
      <c r="C598" s="5">
        <v>5658603.5099999998</v>
      </c>
    </row>
    <row r="599" spans="1:3" x14ac:dyDescent="0.25">
      <c r="A599" s="18" t="s">
        <v>1086</v>
      </c>
      <c r="C599" s="5">
        <v>2970240</v>
      </c>
    </row>
    <row r="600" spans="1:3" x14ac:dyDescent="0.25">
      <c r="A600" s="19" t="s">
        <v>1083</v>
      </c>
      <c r="C600" s="5">
        <v>2970240</v>
      </c>
    </row>
    <row r="601" spans="1:3" x14ac:dyDescent="0.25">
      <c r="A601" s="18" t="s">
        <v>3388</v>
      </c>
      <c r="C601" s="5">
        <v>1386350</v>
      </c>
    </row>
    <row r="602" spans="1:3" x14ac:dyDescent="0.25">
      <c r="A602" s="19" t="s">
        <v>3385</v>
      </c>
      <c r="C602" s="5">
        <v>779450</v>
      </c>
    </row>
    <row r="603" spans="1:3" x14ac:dyDescent="0.25">
      <c r="A603" s="19" t="s">
        <v>4219</v>
      </c>
      <c r="C603" s="5">
        <v>606900</v>
      </c>
    </row>
    <row r="604" spans="1:3" x14ac:dyDescent="0.25">
      <c r="A604" s="18" t="s">
        <v>2936</v>
      </c>
      <c r="C604" s="5">
        <v>1945470.9</v>
      </c>
    </row>
    <row r="605" spans="1:3" x14ac:dyDescent="0.25">
      <c r="A605" s="19" t="s">
        <v>2933</v>
      </c>
      <c r="C605" s="5">
        <v>42600</v>
      </c>
    </row>
    <row r="606" spans="1:3" x14ac:dyDescent="0.25">
      <c r="A606" s="19" t="s">
        <v>2939</v>
      </c>
      <c r="C606" s="5">
        <v>86334.5</v>
      </c>
    </row>
    <row r="607" spans="1:3" x14ac:dyDescent="0.25">
      <c r="A607" s="19" t="s">
        <v>2944</v>
      </c>
      <c r="C607" s="5">
        <v>666330</v>
      </c>
    </row>
    <row r="608" spans="1:3" x14ac:dyDescent="0.25">
      <c r="A608" s="19" t="s">
        <v>2947</v>
      </c>
      <c r="C608" s="5">
        <v>265334.3</v>
      </c>
    </row>
    <row r="609" spans="1:3" x14ac:dyDescent="0.25">
      <c r="A609" s="19">
        <v>105303</v>
      </c>
      <c r="C609" s="5">
        <v>884872.1</v>
      </c>
    </row>
    <row r="610" spans="1:3" x14ac:dyDescent="0.25">
      <c r="A610" s="18" t="s">
        <v>1521</v>
      </c>
      <c r="C610" s="5">
        <v>94463.6</v>
      </c>
    </row>
    <row r="611" spans="1:3" x14ac:dyDescent="0.25">
      <c r="A611" s="19" t="s">
        <v>1518</v>
      </c>
      <c r="C611" s="5">
        <v>94463.6</v>
      </c>
    </row>
    <row r="612" spans="1:3" x14ac:dyDescent="0.25">
      <c r="A612" s="18" t="s">
        <v>920</v>
      </c>
      <c r="C612" s="5">
        <v>107320</v>
      </c>
    </row>
    <row r="613" spans="1:3" x14ac:dyDescent="0.25">
      <c r="A613" s="19" t="s">
        <v>917</v>
      </c>
      <c r="C613" s="5">
        <v>107320</v>
      </c>
    </row>
    <row r="614" spans="1:3" x14ac:dyDescent="0.25">
      <c r="A614" s="18" t="s">
        <v>4074</v>
      </c>
      <c r="C614" s="5">
        <v>2275270</v>
      </c>
    </row>
    <row r="615" spans="1:3" x14ac:dyDescent="0.25">
      <c r="A615" s="19" t="s">
        <v>4071</v>
      </c>
      <c r="C615" s="5">
        <v>885241</v>
      </c>
    </row>
    <row r="616" spans="1:3" x14ac:dyDescent="0.25">
      <c r="A616" s="19" t="s">
        <v>4076</v>
      </c>
      <c r="C616" s="5">
        <v>1390029</v>
      </c>
    </row>
    <row r="617" spans="1:3" x14ac:dyDescent="0.25">
      <c r="A617" s="18" t="s">
        <v>2747</v>
      </c>
      <c r="C617" s="5">
        <v>1606500</v>
      </c>
    </row>
    <row r="618" spans="1:3" x14ac:dyDescent="0.25">
      <c r="A618" s="19" t="s">
        <v>2744</v>
      </c>
      <c r="C618" s="5">
        <v>1606500</v>
      </c>
    </row>
    <row r="619" spans="1:3" x14ac:dyDescent="0.25">
      <c r="A619" s="18" t="s">
        <v>1944</v>
      </c>
      <c r="C619" s="5">
        <v>4874370.9000000004</v>
      </c>
    </row>
    <row r="620" spans="1:3" x14ac:dyDescent="0.25">
      <c r="A620" s="19" t="s">
        <v>1942</v>
      </c>
      <c r="C620" s="5">
        <v>1408365</v>
      </c>
    </row>
    <row r="621" spans="1:3" x14ac:dyDescent="0.25">
      <c r="A621" s="19" t="s">
        <v>1946</v>
      </c>
      <c r="C621" s="5">
        <v>582743</v>
      </c>
    </row>
    <row r="622" spans="1:3" x14ac:dyDescent="0.25">
      <c r="A622" s="19" t="s">
        <v>1948</v>
      </c>
      <c r="C622" s="5">
        <v>324870</v>
      </c>
    </row>
    <row r="623" spans="1:3" x14ac:dyDescent="0.25">
      <c r="A623" s="19" t="s">
        <v>1951</v>
      </c>
      <c r="C623" s="5">
        <v>2558392.9</v>
      </c>
    </row>
    <row r="624" spans="1:3" x14ac:dyDescent="0.25">
      <c r="A624" s="18" t="s">
        <v>4265</v>
      </c>
      <c r="C624" s="5">
        <v>249376.4</v>
      </c>
    </row>
    <row r="625" spans="1:3" x14ac:dyDescent="0.25">
      <c r="A625" s="19" t="s">
        <v>4262</v>
      </c>
      <c r="C625" s="5">
        <v>249376.4</v>
      </c>
    </row>
    <row r="626" spans="1:3" x14ac:dyDescent="0.25">
      <c r="A626" s="18" t="s">
        <v>2038</v>
      </c>
      <c r="C626" s="5">
        <v>1128251.6000000001</v>
      </c>
    </row>
    <row r="627" spans="1:3" x14ac:dyDescent="0.25">
      <c r="A627" s="19" t="s">
        <v>2035</v>
      </c>
      <c r="C627" s="5">
        <v>691294.8</v>
      </c>
    </row>
    <row r="628" spans="1:3" x14ac:dyDescent="0.25">
      <c r="A628" s="19" t="s">
        <v>2040</v>
      </c>
      <c r="C628" s="5">
        <v>436956.8</v>
      </c>
    </row>
    <row r="629" spans="1:3" x14ac:dyDescent="0.25">
      <c r="A629" s="18" t="s">
        <v>3253</v>
      </c>
      <c r="C629" s="5">
        <v>71400</v>
      </c>
    </row>
    <row r="630" spans="1:3" x14ac:dyDescent="0.25">
      <c r="A630" s="19" t="s">
        <v>3250</v>
      </c>
      <c r="C630" s="5">
        <v>71400</v>
      </c>
    </row>
    <row r="631" spans="1:3" x14ac:dyDescent="0.25">
      <c r="A631" s="18" t="s">
        <v>555</v>
      </c>
      <c r="C631" s="5">
        <v>309400</v>
      </c>
    </row>
    <row r="632" spans="1:3" x14ac:dyDescent="0.25">
      <c r="A632" s="19">
        <v>104734</v>
      </c>
      <c r="C632" s="5">
        <v>309400</v>
      </c>
    </row>
    <row r="633" spans="1:3" x14ac:dyDescent="0.25">
      <c r="A633" s="18" t="s">
        <v>262</v>
      </c>
      <c r="C633" s="5">
        <v>3867500</v>
      </c>
    </row>
    <row r="634" spans="1:3" x14ac:dyDescent="0.25">
      <c r="A634" s="19" t="s">
        <v>259</v>
      </c>
      <c r="C634" s="5">
        <v>3452190</v>
      </c>
    </row>
    <row r="635" spans="1:3" x14ac:dyDescent="0.25">
      <c r="A635" s="19" t="s">
        <v>270</v>
      </c>
      <c r="C635" s="5">
        <v>415310</v>
      </c>
    </row>
    <row r="636" spans="1:3" x14ac:dyDescent="0.25">
      <c r="A636" s="18" t="s">
        <v>899</v>
      </c>
      <c r="C636" s="5">
        <v>538566</v>
      </c>
    </row>
    <row r="637" spans="1:3" x14ac:dyDescent="0.25">
      <c r="A637" s="19" t="s">
        <v>896</v>
      </c>
      <c r="C637" s="5">
        <v>538566</v>
      </c>
    </row>
    <row r="638" spans="1:3" x14ac:dyDescent="0.25">
      <c r="A638" s="18" t="s">
        <v>3102</v>
      </c>
      <c r="C638" s="5">
        <v>32656536.939999998</v>
      </c>
    </row>
    <row r="639" spans="1:3" x14ac:dyDescent="0.25">
      <c r="A639" s="19" t="s">
        <v>3099</v>
      </c>
      <c r="C639" s="5">
        <v>4612454.4000000004</v>
      </c>
    </row>
    <row r="640" spans="1:3" x14ac:dyDescent="0.25">
      <c r="A640" s="19" t="s">
        <v>3113</v>
      </c>
      <c r="C640" s="5">
        <v>970906</v>
      </c>
    </row>
    <row r="641" spans="1:3" x14ac:dyDescent="0.25">
      <c r="A641" s="19" t="s">
        <v>3282</v>
      </c>
      <c r="C641" s="5">
        <v>982583</v>
      </c>
    </row>
    <row r="642" spans="1:3" x14ac:dyDescent="0.25">
      <c r="A642" s="19" t="s">
        <v>3291</v>
      </c>
      <c r="C642" s="5">
        <v>6078207.5499999998</v>
      </c>
    </row>
    <row r="643" spans="1:3" x14ac:dyDescent="0.25">
      <c r="A643" s="19" t="s">
        <v>3294</v>
      </c>
      <c r="C643" s="5">
        <v>20012385.989999998</v>
      </c>
    </row>
    <row r="644" spans="1:3" x14ac:dyDescent="0.25">
      <c r="A644" s="18" t="s">
        <v>1531</v>
      </c>
      <c r="C644" s="5">
        <v>268538.90000000002</v>
      </c>
    </row>
    <row r="645" spans="1:3" x14ac:dyDescent="0.25">
      <c r="A645" s="19" t="s">
        <v>1528</v>
      </c>
      <c r="C645" s="5">
        <v>268538.90000000002</v>
      </c>
    </row>
    <row r="646" spans="1:3" x14ac:dyDescent="0.25">
      <c r="A646" s="18" t="s">
        <v>3068</v>
      </c>
      <c r="C646" s="5">
        <v>381859.1</v>
      </c>
    </row>
    <row r="647" spans="1:3" x14ac:dyDescent="0.25">
      <c r="A647" s="19" t="s">
        <v>3065</v>
      </c>
      <c r="C647" s="5">
        <v>381859.1</v>
      </c>
    </row>
    <row r="648" spans="1:3" x14ac:dyDescent="0.25">
      <c r="A648" s="18" t="s">
        <v>1935</v>
      </c>
      <c r="C648" s="5">
        <v>717094</v>
      </c>
    </row>
    <row r="649" spans="1:3" x14ac:dyDescent="0.25">
      <c r="A649" s="19" t="s">
        <v>1932</v>
      </c>
      <c r="C649" s="5">
        <v>717094</v>
      </c>
    </row>
    <row r="650" spans="1:3" x14ac:dyDescent="0.25">
      <c r="A650" s="18" t="s">
        <v>3731</v>
      </c>
      <c r="C650" s="5">
        <v>935970.93</v>
      </c>
    </row>
    <row r="651" spans="1:3" x14ac:dyDescent="0.25">
      <c r="A651" s="19" t="s">
        <v>3727</v>
      </c>
      <c r="C651" s="5">
        <v>935970.93</v>
      </c>
    </row>
    <row r="652" spans="1:3" x14ac:dyDescent="0.25">
      <c r="A652" s="18" t="s">
        <v>574</v>
      </c>
      <c r="C652" s="5">
        <v>1978613</v>
      </c>
    </row>
    <row r="653" spans="1:3" x14ac:dyDescent="0.25">
      <c r="A653" s="19" t="s">
        <v>571</v>
      </c>
      <c r="C653" s="5">
        <v>1413125</v>
      </c>
    </row>
    <row r="654" spans="1:3" x14ac:dyDescent="0.25">
      <c r="A654" s="19" t="s">
        <v>1077</v>
      </c>
      <c r="C654" s="5">
        <v>565488</v>
      </c>
    </row>
    <row r="655" spans="1:3" x14ac:dyDescent="0.25">
      <c r="A655" s="18" t="s">
        <v>869</v>
      </c>
      <c r="B655">
        <v>1</v>
      </c>
      <c r="C655" s="5">
        <v>785043</v>
      </c>
    </row>
    <row r="656" spans="1:3" x14ac:dyDescent="0.25">
      <c r="A656" s="19" t="s">
        <v>866</v>
      </c>
      <c r="C656" s="5">
        <v>103768</v>
      </c>
    </row>
    <row r="657" spans="1:3" x14ac:dyDescent="0.25">
      <c r="A657" s="19" t="s">
        <v>2012</v>
      </c>
      <c r="C657" s="5">
        <v>181475</v>
      </c>
    </row>
    <row r="658" spans="1:3" x14ac:dyDescent="0.25">
      <c r="A658" s="19" t="s">
        <v>3700</v>
      </c>
      <c r="B658">
        <v>1</v>
      </c>
      <c r="C658" s="5">
        <v>249900</v>
      </c>
    </row>
    <row r="659" spans="1:3" x14ac:dyDescent="0.25">
      <c r="A659" s="19" t="s">
        <v>3907</v>
      </c>
      <c r="C659" s="5">
        <v>249900</v>
      </c>
    </row>
    <row r="660" spans="1:3" x14ac:dyDescent="0.25">
      <c r="A660" s="18" t="s">
        <v>1219</v>
      </c>
      <c r="C660" s="5">
        <v>4209207.3100000005</v>
      </c>
    </row>
    <row r="661" spans="1:3" x14ac:dyDescent="0.25">
      <c r="A661" s="19" t="s">
        <v>1216</v>
      </c>
      <c r="C661" s="5">
        <v>1438834.95</v>
      </c>
    </row>
    <row r="662" spans="1:3" x14ac:dyDescent="0.25">
      <c r="A662" s="19" t="s">
        <v>1501</v>
      </c>
      <c r="C662" s="5">
        <v>622422.36</v>
      </c>
    </row>
    <row r="663" spans="1:3" x14ac:dyDescent="0.25">
      <c r="A663" s="19" t="s">
        <v>2002</v>
      </c>
      <c r="C663" s="5">
        <v>446250</v>
      </c>
    </row>
    <row r="664" spans="1:3" x14ac:dyDescent="0.25">
      <c r="A664" s="19" t="s">
        <v>2676</v>
      </c>
      <c r="C664" s="5">
        <v>1701700</v>
      </c>
    </row>
    <row r="665" spans="1:3" x14ac:dyDescent="0.25">
      <c r="A665" s="18" t="s">
        <v>1978</v>
      </c>
      <c r="C665" s="5">
        <v>1416100</v>
      </c>
    </row>
    <row r="666" spans="1:3" x14ac:dyDescent="0.25">
      <c r="A666" s="19" t="s">
        <v>1975</v>
      </c>
      <c r="C666" s="5">
        <v>1416100</v>
      </c>
    </row>
    <row r="667" spans="1:3" x14ac:dyDescent="0.25">
      <c r="A667" s="18" t="s">
        <v>2729</v>
      </c>
      <c r="C667" s="5">
        <v>6019010</v>
      </c>
    </row>
    <row r="668" spans="1:3" x14ac:dyDescent="0.25">
      <c r="A668" s="19" t="s">
        <v>2726</v>
      </c>
      <c r="C668" s="5">
        <v>6019010</v>
      </c>
    </row>
    <row r="669" spans="1:3" x14ac:dyDescent="0.25">
      <c r="A669" s="18" t="s">
        <v>4106</v>
      </c>
      <c r="C669" s="5">
        <v>12741156.939999999</v>
      </c>
    </row>
    <row r="670" spans="1:3" x14ac:dyDescent="0.25">
      <c r="A670" s="19" t="s">
        <v>4103</v>
      </c>
      <c r="C670" s="5">
        <v>12741156.939999999</v>
      </c>
    </row>
    <row r="671" spans="1:3" x14ac:dyDescent="0.25">
      <c r="A671" s="18" t="s">
        <v>3079</v>
      </c>
      <c r="C671" s="5">
        <v>27515061</v>
      </c>
    </row>
    <row r="672" spans="1:3" x14ac:dyDescent="0.25">
      <c r="A672" s="19" t="s">
        <v>3076</v>
      </c>
      <c r="C672" s="5">
        <v>27515061</v>
      </c>
    </row>
    <row r="673" spans="1:3" x14ac:dyDescent="0.25">
      <c r="A673" s="18" t="s">
        <v>3087</v>
      </c>
      <c r="C673" s="5">
        <v>13924478.52</v>
      </c>
    </row>
    <row r="674" spans="1:3" x14ac:dyDescent="0.25">
      <c r="A674" s="19" t="s">
        <v>3084</v>
      </c>
      <c r="C674" s="5">
        <v>4889046.5199999996</v>
      </c>
    </row>
    <row r="675" spans="1:3" x14ac:dyDescent="0.25">
      <c r="A675" s="19" t="s">
        <v>3473</v>
      </c>
      <c r="C675" s="5">
        <v>9035432</v>
      </c>
    </row>
    <row r="676" spans="1:3" x14ac:dyDescent="0.25">
      <c r="A676" s="18" t="s">
        <v>721</v>
      </c>
      <c r="C676" s="5">
        <v>2703074.29</v>
      </c>
    </row>
    <row r="677" spans="1:3" x14ac:dyDescent="0.25">
      <c r="A677" s="19" t="s">
        <v>718</v>
      </c>
      <c r="C677" s="5">
        <v>2703074.29</v>
      </c>
    </row>
    <row r="678" spans="1:3" x14ac:dyDescent="0.25">
      <c r="A678" s="18" t="s">
        <v>894</v>
      </c>
      <c r="C678" s="5">
        <v>944709.5</v>
      </c>
    </row>
    <row r="679" spans="1:3" x14ac:dyDescent="0.25">
      <c r="A679" s="19" t="s">
        <v>891</v>
      </c>
      <c r="C679" s="5">
        <v>944709.5</v>
      </c>
    </row>
    <row r="680" spans="1:3" x14ac:dyDescent="0.25">
      <c r="A680" s="18" t="s">
        <v>907</v>
      </c>
      <c r="C680" s="5">
        <v>5868022.5600000005</v>
      </c>
    </row>
    <row r="681" spans="1:3" x14ac:dyDescent="0.25">
      <c r="A681" s="19" t="s">
        <v>904</v>
      </c>
      <c r="C681" s="5">
        <v>1675520</v>
      </c>
    </row>
    <row r="682" spans="1:3" x14ac:dyDescent="0.25">
      <c r="A682" s="19" t="s">
        <v>997</v>
      </c>
      <c r="C682" s="5">
        <v>851445</v>
      </c>
    </row>
    <row r="683" spans="1:3" x14ac:dyDescent="0.25">
      <c r="A683" s="19" t="s">
        <v>1596</v>
      </c>
      <c r="C683" s="5">
        <v>1201900</v>
      </c>
    </row>
    <row r="684" spans="1:3" x14ac:dyDescent="0.25">
      <c r="A684" s="19" t="s">
        <v>3408</v>
      </c>
      <c r="C684" s="5">
        <v>1003897.56</v>
      </c>
    </row>
    <row r="685" spans="1:3" x14ac:dyDescent="0.25">
      <c r="A685" s="19" t="s">
        <v>4028</v>
      </c>
      <c r="C685" s="5">
        <v>1135260</v>
      </c>
    </row>
    <row r="686" spans="1:3" x14ac:dyDescent="0.25">
      <c r="A686" s="18" t="s">
        <v>160</v>
      </c>
      <c r="C686" s="5">
        <v>4941739.18</v>
      </c>
    </row>
    <row r="687" spans="1:3" x14ac:dyDescent="0.25">
      <c r="A687" s="19" t="s">
        <v>157</v>
      </c>
      <c r="C687" s="5">
        <v>1703104.2</v>
      </c>
    </row>
    <row r="688" spans="1:3" x14ac:dyDescent="0.25">
      <c r="A688" s="19" t="s">
        <v>3297</v>
      </c>
      <c r="C688" s="5">
        <v>3238634.98</v>
      </c>
    </row>
    <row r="689" spans="1:3" x14ac:dyDescent="0.25">
      <c r="A689" s="18" t="s">
        <v>4132</v>
      </c>
      <c r="C689" s="5">
        <v>332010</v>
      </c>
    </row>
    <row r="690" spans="1:3" x14ac:dyDescent="0.25">
      <c r="A690" s="19" t="s">
        <v>4129</v>
      </c>
      <c r="C690" s="5">
        <v>332010</v>
      </c>
    </row>
    <row r="691" spans="1:3" x14ac:dyDescent="0.25">
      <c r="A691" s="18" t="s">
        <v>1526</v>
      </c>
      <c r="C691" s="5">
        <v>142326.1</v>
      </c>
    </row>
    <row r="692" spans="1:3" x14ac:dyDescent="0.25">
      <c r="A692" s="19" t="s">
        <v>1523</v>
      </c>
      <c r="C692" s="5">
        <v>142326.1</v>
      </c>
    </row>
    <row r="693" spans="1:3" x14ac:dyDescent="0.25">
      <c r="A693" s="18" t="s">
        <v>2225</v>
      </c>
      <c r="C693" s="5">
        <v>892500</v>
      </c>
    </row>
    <row r="694" spans="1:3" x14ac:dyDescent="0.25">
      <c r="A694" s="19" t="s">
        <v>2222</v>
      </c>
      <c r="C694" s="5">
        <v>892500</v>
      </c>
    </row>
    <row r="695" spans="1:3" x14ac:dyDescent="0.25">
      <c r="A695" s="18" t="s">
        <v>422</v>
      </c>
      <c r="C695" s="5">
        <v>8638686</v>
      </c>
    </row>
    <row r="696" spans="1:3" x14ac:dyDescent="0.25">
      <c r="A696" s="19" t="s">
        <v>419</v>
      </c>
      <c r="C696" s="5">
        <v>4319343</v>
      </c>
    </row>
    <row r="697" spans="1:3" x14ac:dyDescent="0.25">
      <c r="A697" s="19" t="s">
        <v>3532</v>
      </c>
      <c r="C697" s="5">
        <v>4319343</v>
      </c>
    </row>
    <row r="698" spans="1:3" x14ac:dyDescent="0.25">
      <c r="A698" s="18" t="s">
        <v>1834</v>
      </c>
      <c r="C698" s="5">
        <v>1085875</v>
      </c>
    </row>
    <row r="699" spans="1:3" x14ac:dyDescent="0.25">
      <c r="A699" s="19" t="s">
        <v>1831</v>
      </c>
      <c r="C699" s="5">
        <v>1085875</v>
      </c>
    </row>
    <row r="700" spans="1:3" x14ac:dyDescent="0.25">
      <c r="A700" s="18" t="s">
        <v>4304</v>
      </c>
      <c r="C700" s="5">
        <v>494373.6</v>
      </c>
    </row>
    <row r="701" spans="1:3" x14ac:dyDescent="0.25">
      <c r="A701" s="19" t="s">
        <v>4301</v>
      </c>
      <c r="C701" s="5">
        <v>494373.6</v>
      </c>
    </row>
    <row r="702" spans="1:3" x14ac:dyDescent="0.25">
      <c r="A702" s="18" t="s">
        <v>469</v>
      </c>
      <c r="C702" s="5">
        <v>8748880</v>
      </c>
    </row>
    <row r="703" spans="1:3" x14ac:dyDescent="0.25">
      <c r="A703" s="19" t="s">
        <v>466</v>
      </c>
      <c r="C703" s="5">
        <v>809200</v>
      </c>
    </row>
    <row r="704" spans="1:3" x14ac:dyDescent="0.25">
      <c r="A704" s="19" t="s">
        <v>471</v>
      </c>
      <c r="C704" s="5">
        <v>5057500</v>
      </c>
    </row>
    <row r="705" spans="1:3" x14ac:dyDescent="0.25">
      <c r="A705" s="19" t="s">
        <v>474</v>
      </c>
      <c r="C705" s="5">
        <v>85680</v>
      </c>
    </row>
    <row r="706" spans="1:3" x14ac:dyDescent="0.25">
      <c r="A706" s="19" t="s">
        <v>477</v>
      </c>
      <c r="C706" s="5">
        <v>2796500</v>
      </c>
    </row>
    <row r="707" spans="1:3" x14ac:dyDescent="0.25">
      <c r="A707" s="18" t="s">
        <v>4176</v>
      </c>
      <c r="C707" s="5">
        <v>13932000</v>
      </c>
    </row>
    <row r="708" spans="1:3" x14ac:dyDescent="0.25">
      <c r="A708" s="19" t="s">
        <v>4173</v>
      </c>
      <c r="C708" s="5">
        <v>13932000</v>
      </c>
    </row>
    <row r="709" spans="1:3" x14ac:dyDescent="0.25">
      <c r="A709" s="18" t="s">
        <v>1737</v>
      </c>
      <c r="C709" s="5">
        <v>13447000</v>
      </c>
    </row>
    <row r="710" spans="1:3" x14ac:dyDescent="0.25">
      <c r="A710" s="19" t="s">
        <v>1734</v>
      </c>
      <c r="C710" s="5">
        <v>13447000</v>
      </c>
    </row>
    <row r="711" spans="1:3" x14ac:dyDescent="0.25">
      <c r="A711" s="18" t="s">
        <v>3446</v>
      </c>
      <c r="B711">
        <v>1</v>
      </c>
      <c r="C711" s="5">
        <v>856800</v>
      </c>
    </row>
    <row r="712" spans="1:3" x14ac:dyDescent="0.25">
      <c r="A712" s="19" t="s">
        <v>3443</v>
      </c>
      <c r="B712">
        <v>1</v>
      </c>
      <c r="C712" s="5">
        <v>856800</v>
      </c>
    </row>
    <row r="713" spans="1:3" x14ac:dyDescent="0.25">
      <c r="A713" s="18" t="s">
        <v>2346</v>
      </c>
      <c r="C713" s="5">
        <v>2036692</v>
      </c>
    </row>
    <row r="714" spans="1:3" x14ac:dyDescent="0.25">
      <c r="A714" s="19" t="s">
        <v>2344</v>
      </c>
      <c r="C714" s="5">
        <v>730898</v>
      </c>
    </row>
    <row r="715" spans="1:3" x14ac:dyDescent="0.25">
      <c r="A715" s="19" t="s">
        <v>3110</v>
      </c>
      <c r="C715" s="5">
        <v>1305794</v>
      </c>
    </row>
    <row r="716" spans="1:3" x14ac:dyDescent="0.25">
      <c r="A716" s="18" t="s">
        <v>671</v>
      </c>
      <c r="C716" s="5">
        <v>990969</v>
      </c>
    </row>
    <row r="717" spans="1:3" x14ac:dyDescent="0.25">
      <c r="A717" s="19" t="s">
        <v>667</v>
      </c>
      <c r="C717" s="5">
        <v>288869</v>
      </c>
    </row>
    <row r="718" spans="1:3" x14ac:dyDescent="0.25">
      <c r="A718" s="19" t="s">
        <v>3655</v>
      </c>
      <c r="C718" s="5">
        <v>702100</v>
      </c>
    </row>
    <row r="719" spans="1:3" x14ac:dyDescent="0.25">
      <c r="A719" s="18" t="s">
        <v>1004</v>
      </c>
      <c r="C719" s="5">
        <v>486430</v>
      </c>
    </row>
    <row r="720" spans="1:3" x14ac:dyDescent="0.25">
      <c r="A720" s="19" t="s">
        <v>1000</v>
      </c>
      <c r="C720" s="5">
        <v>486430</v>
      </c>
    </row>
    <row r="721" spans="1:3" x14ac:dyDescent="0.25">
      <c r="A721" s="18" t="s">
        <v>363</v>
      </c>
      <c r="C721" s="5">
        <v>11708674.18</v>
      </c>
    </row>
    <row r="722" spans="1:3" x14ac:dyDescent="0.25">
      <c r="A722" s="19" t="s">
        <v>360</v>
      </c>
      <c r="C722" s="5">
        <v>11708674.18</v>
      </c>
    </row>
    <row r="723" spans="1:3" x14ac:dyDescent="0.25">
      <c r="A723" s="18" t="s">
        <v>3786</v>
      </c>
      <c r="B723">
        <v>1</v>
      </c>
      <c r="C723" s="5">
        <v>206822</v>
      </c>
    </row>
    <row r="724" spans="1:3" x14ac:dyDescent="0.25">
      <c r="A724" s="19" t="s">
        <v>3783</v>
      </c>
      <c r="B724">
        <v>1</v>
      </c>
      <c r="C724" s="5">
        <v>206822</v>
      </c>
    </row>
    <row r="725" spans="1:3" x14ac:dyDescent="0.25">
      <c r="A725" s="18" t="s">
        <v>1983</v>
      </c>
      <c r="C725" s="5">
        <v>38298960</v>
      </c>
    </row>
    <row r="726" spans="1:3" x14ac:dyDescent="0.25">
      <c r="A726" s="19" t="s">
        <v>1980</v>
      </c>
      <c r="C726" s="5">
        <v>38298960</v>
      </c>
    </row>
    <row r="727" spans="1:3" x14ac:dyDescent="0.25">
      <c r="A727" s="18" t="s">
        <v>704</v>
      </c>
      <c r="C727" s="5">
        <v>486721.9</v>
      </c>
    </row>
    <row r="728" spans="1:3" x14ac:dyDescent="0.25">
      <c r="A728" s="19" t="s">
        <v>701</v>
      </c>
      <c r="C728" s="5">
        <v>267750</v>
      </c>
    </row>
    <row r="729" spans="1:3" x14ac:dyDescent="0.25">
      <c r="A729" s="19" t="s">
        <v>4123</v>
      </c>
      <c r="C729" s="5">
        <v>218971.9</v>
      </c>
    </row>
    <row r="730" spans="1:3" x14ac:dyDescent="0.25">
      <c r="A730" s="18" t="s">
        <v>1915</v>
      </c>
      <c r="C730" s="5">
        <v>3534347.6</v>
      </c>
    </row>
    <row r="731" spans="1:3" x14ac:dyDescent="0.25">
      <c r="A731" s="19" t="s">
        <v>1913</v>
      </c>
      <c r="C731" s="5">
        <v>3534347.6</v>
      </c>
    </row>
    <row r="732" spans="1:3" x14ac:dyDescent="0.25">
      <c r="A732" s="18" t="s">
        <v>688</v>
      </c>
      <c r="C732" s="5">
        <v>2565620</v>
      </c>
    </row>
    <row r="733" spans="1:3" x14ac:dyDescent="0.25">
      <c r="A733" s="19" t="s">
        <v>685</v>
      </c>
      <c r="C733" s="5">
        <v>389130</v>
      </c>
    </row>
    <row r="734" spans="1:3" x14ac:dyDescent="0.25">
      <c r="A734" s="19" t="s">
        <v>744</v>
      </c>
      <c r="C734" s="5">
        <v>1107176</v>
      </c>
    </row>
    <row r="735" spans="1:3" x14ac:dyDescent="0.25">
      <c r="A735" s="19" t="s">
        <v>2956</v>
      </c>
      <c r="C735" s="5">
        <v>1069314</v>
      </c>
    </row>
    <row r="736" spans="1:3" x14ac:dyDescent="0.25">
      <c r="A736" s="18" t="s">
        <v>1243</v>
      </c>
      <c r="C736" s="5">
        <v>7894950</v>
      </c>
    </row>
    <row r="737" spans="1:3" x14ac:dyDescent="0.25">
      <c r="A737" s="19" t="s">
        <v>1240</v>
      </c>
      <c r="C737" s="5">
        <v>6764450</v>
      </c>
    </row>
    <row r="738" spans="1:3" x14ac:dyDescent="0.25">
      <c r="A738" s="19" t="s">
        <v>1245</v>
      </c>
      <c r="C738" s="5">
        <v>1130500</v>
      </c>
    </row>
    <row r="739" spans="1:3" x14ac:dyDescent="0.25">
      <c r="A739" s="18" t="s">
        <v>3594</v>
      </c>
      <c r="C739" s="5">
        <v>752080</v>
      </c>
    </row>
    <row r="740" spans="1:3" x14ac:dyDescent="0.25">
      <c r="A740" s="19" t="s">
        <v>3591</v>
      </c>
      <c r="C740" s="5">
        <v>752080</v>
      </c>
    </row>
    <row r="741" spans="1:3" x14ac:dyDescent="0.25">
      <c r="A741" s="18" t="s">
        <v>768</v>
      </c>
      <c r="C741" s="5">
        <v>20848420</v>
      </c>
    </row>
    <row r="742" spans="1:3" x14ac:dyDescent="0.25">
      <c r="A742" s="19" t="s">
        <v>765</v>
      </c>
      <c r="C742" s="5">
        <v>5071920</v>
      </c>
    </row>
    <row r="743" spans="1:3" x14ac:dyDescent="0.25">
      <c r="A743" s="19" t="s">
        <v>909</v>
      </c>
      <c r="C743" s="5">
        <v>15676540</v>
      </c>
    </row>
    <row r="744" spans="1:3" x14ac:dyDescent="0.25">
      <c r="A744" s="19" t="s">
        <v>2658</v>
      </c>
      <c r="C744" s="5">
        <v>99960</v>
      </c>
    </row>
    <row r="745" spans="1:3" x14ac:dyDescent="0.25">
      <c r="A745" s="18" t="s">
        <v>343</v>
      </c>
      <c r="C745" s="5">
        <v>622112.36</v>
      </c>
    </row>
    <row r="746" spans="1:3" x14ac:dyDescent="0.25">
      <c r="A746" s="19" t="s">
        <v>340</v>
      </c>
      <c r="C746" s="5">
        <v>622112.36</v>
      </c>
    </row>
    <row r="747" spans="1:3" x14ac:dyDescent="0.25">
      <c r="A747" s="18" t="s">
        <v>2369</v>
      </c>
      <c r="C747" s="5">
        <v>101150</v>
      </c>
    </row>
    <row r="748" spans="1:3" x14ac:dyDescent="0.25">
      <c r="A748" s="19" t="s">
        <v>2366</v>
      </c>
      <c r="C748" s="5">
        <v>101150</v>
      </c>
    </row>
    <row r="749" spans="1:3" x14ac:dyDescent="0.25">
      <c r="A749" s="18" t="s">
        <v>3677</v>
      </c>
      <c r="C749" s="5">
        <v>1434370</v>
      </c>
    </row>
    <row r="750" spans="1:3" x14ac:dyDescent="0.25">
      <c r="A750" s="19" t="s">
        <v>3674</v>
      </c>
      <c r="C750" s="5">
        <v>601370</v>
      </c>
    </row>
    <row r="751" spans="1:3" x14ac:dyDescent="0.25">
      <c r="A751" s="19" t="s">
        <v>3797</v>
      </c>
      <c r="C751" s="5">
        <v>833000</v>
      </c>
    </row>
    <row r="752" spans="1:3" x14ac:dyDescent="0.25">
      <c r="A752" s="18" t="s">
        <v>616</v>
      </c>
      <c r="C752" s="5">
        <v>410368.46</v>
      </c>
    </row>
    <row r="753" spans="1:3" x14ac:dyDescent="0.25">
      <c r="A753" s="19" t="s">
        <v>613</v>
      </c>
      <c r="C753" s="5">
        <v>410368.46</v>
      </c>
    </row>
    <row r="754" spans="1:3" x14ac:dyDescent="0.25">
      <c r="A754" s="18" t="s">
        <v>206</v>
      </c>
      <c r="C754" s="5">
        <v>24880925.789999999</v>
      </c>
    </row>
    <row r="755" spans="1:3" x14ac:dyDescent="0.25">
      <c r="A755" s="19" t="s">
        <v>203</v>
      </c>
      <c r="C755" s="5">
        <v>5300400.42</v>
      </c>
    </row>
    <row r="756" spans="1:3" x14ac:dyDescent="0.25">
      <c r="A756" s="19" t="s">
        <v>972</v>
      </c>
      <c r="C756" s="5">
        <v>5389212.5</v>
      </c>
    </row>
    <row r="757" spans="1:3" x14ac:dyDescent="0.25">
      <c r="A757" s="19" t="s">
        <v>3467</v>
      </c>
      <c r="C757" s="5">
        <v>952000</v>
      </c>
    </row>
    <row r="758" spans="1:3" x14ac:dyDescent="0.25">
      <c r="A758" s="19" t="s">
        <v>3644</v>
      </c>
      <c r="C758" s="5">
        <v>4489275</v>
      </c>
    </row>
    <row r="759" spans="1:3" x14ac:dyDescent="0.25">
      <c r="A759" s="19" t="s">
        <v>3647</v>
      </c>
      <c r="C759" s="5">
        <v>8750037.8699999992</v>
      </c>
    </row>
    <row r="760" spans="1:3" x14ac:dyDescent="0.25">
      <c r="A760" s="18" t="s">
        <v>427</v>
      </c>
      <c r="C760" s="5">
        <v>7045080</v>
      </c>
    </row>
    <row r="761" spans="1:3" x14ac:dyDescent="0.25">
      <c r="A761" s="19" t="s">
        <v>424</v>
      </c>
      <c r="C761" s="5">
        <v>7045080</v>
      </c>
    </row>
    <row r="762" spans="1:3" x14ac:dyDescent="0.25">
      <c r="A762" s="18" t="s">
        <v>1374</v>
      </c>
      <c r="C762" s="5">
        <v>8216399.0299999993</v>
      </c>
    </row>
    <row r="763" spans="1:3" x14ac:dyDescent="0.25">
      <c r="A763" s="19" t="s">
        <v>1371</v>
      </c>
      <c r="C763" s="5">
        <v>3563773.92</v>
      </c>
    </row>
    <row r="764" spans="1:3" x14ac:dyDescent="0.25">
      <c r="A764" s="19" t="s">
        <v>2412</v>
      </c>
      <c r="C764" s="5">
        <v>1883175</v>
      </c>
    </row>
    <row r="765" spans="1:3" x14ac:dyDescent="0.25">
      <c r="A765" s="19" t="s">
        <v>3691</v>
      </c>
      <c r="C765" s="5">
        <v>2769450.11</v>
      </c>
    </row>
    <row r="766" spans="1:3" x14ac:dyDescent="0.25">
      <c r="A766" s="18" t="s">
        <v>2591</v>
      </c>
      <c r="C766" s="5">
        <v>3942827</v>
      </c>
    </row>
    <row r="767" spans="1:3" x14ac:dyDescent="0.25">
      <c r="A767" s="19" t="s">
        <v>2588</v>
      </c>
      <c r="C767" s="5">
        <v>279650</v>
      </c>
    </row>
    <row r="768" spans="1:3" x14ac:dyDescent="0.25">
      <c r="A768" s="19" t="s">
        <v>3368</v>
      </c>
      <c r="C768" s="5">
        <v>2313360</v>
      </c>
    </row>
    <row r="769" spans="1:3" x14ac:dyDescent="0.25">
      <c r="A769" s="19" t="s">
        <v>3422</v>
      </c>
      <c r="C769" s="5">
        <v>250257</v>
      </c>
    </row>
    <row r="770" spans="1:3" x14ac:dyDescent="0.25">
      <c r="A770" s="19" t="s">
        <v>3767</v>
      </c>
      <c r="C770" s="5">
        <v>385560</v>
      </c>
    </row>
    <row r="771" spans="1:3" x14ac:dyDescent="0.25">
      <c r="A771" s="19" t="s">
        <v>3816</v>
      </c>
      <c r="C771" s="5">
        <v>714000</v>
      </c>
    </row>
    <row r="772" spans="1:3" x14ac:dyDescent="0.25">
      <c r="A772" s="18" t="s">
        <v>506</v>
      </c>
      <c r="C772" s="5">
        <v>4849420</v>
      </c>
    </row>
    <row r="773" spans="1:3" x14ac:dyDescent="0.25">
      <c r="A773" s="19" t="s">
        <v>503</v>
      </c>
      <c r="C773" s="5">
        <v>409360</v>
      </c>
    </row>
    <row r="774" spans="1:3" x14ac:dyDescent="0.25">
      <c r="A774" s="19" t="s">
        <v>2607</v>
      </c>
      <c r="C774" s="5">
        <v>4440060</v>
      </c>
    </row>
    <row r="775" spans="1:3" x14ac:dyDescent="0.25">
      <c r="A775" s="18" t="s">
        <v>3055</v>
      </c>
      <c r="C775" s="5">
        <v>4678485</v>
      </c>
    </row>
    <row r="776" spans="1:3" x14ac:dyDescent="0.25">
      <c r="A776" s="19" t="s">
        <v>3053</v>
      </c>
      <c r="C776" s="5">
        <v>4536875</v>
      </c>
    </row>
    <row r="777" spans="1:3" x14ac:dyDescent="0.25">
      <c r="A777" s="19" t="s">
        <v>3663</v>
      </c>
      <c r="C777" s="5">
        <v>141610</v>
      </c>
    </row>
    <row r="778" spans="1:3" x14ac:dyDescent="0.25">
      <c r="A778" s="18" t="s">
        <v>3352</v>
      </c>
      <c r="C778" s="5">
        <v>33793620</v>
      </c>
    </row>
    <row r="779" spans="1:3" x14ac:dyDescent="0.25">
      <c r="A779" s="19" t="s">
        <v>3349</v>
      </c>
      <c r="C779" s="5">
        <v>2156280</v>
      </c>
    </row>
    <row r="780" spans="1:3" x14ac:dyDescent="0.25">
      <c r="A780" s="19" t="s">
        <v>3354</v>
      </c>
      <c r="C780" s="5">
        <v>1120980</v>
      </c>
    </row>
    <row r="781" spans="1:3" x14ac:dyDescent="0.25">
      <c r="A781" s="19" t="s">
        <v>3357</v>
      </c>
      <c r="C781" s="5">
        <v>9639000</v>
      </c>
    </row>
    <row r="782" spans="1:3" x14ac:dyDescent="0.25">
      <c r="A782" s="19" t="s">
        <v>3625</v>
      </c>
      <c r="C782" s="5">
        <v>724710</v>
      </c>
    </row>
    <row r="783" spans="1:3" x14ac:dyDescent="0.25">
      <c r="A783" s="19" t="s">
        <v>3694</v>
      </c>
      <c r="C783" s="5">
        <v>2786980</v>
      </c>
    </row>
    <row r="784" spans="1:3" x14ac:dyDescent="0.25">
      <c r="A784" s="19" t="s">
        <v>3937</v>
      </c>
      <c r="C784" s="5">
        <v>17365670</v>
      </c>
    </row>
    <row r="785" spans="1:3" x14ac:dyDescent="0.25">
      <c r="A785" s="18" t="s">
        <v>653</v>
      </c>
      <c r="C785" s="5">
        <v>20337100</v>
      </c>
    </row>
    <row r="786" spans="1:3" x14ac:dyDescent="0.25">
      <c r="A786" s="19" t="s">
        <v>650</v>
      </c>
      <c r="C786" s="5">
        <v>892500</v>
      </c>
    </row>
    <row r="787" spans="1:3" x14ac:dyDescent="0.25">
      <c r="A787" s="19" t="s">
        <v>978</v>
      </c>
      <c r="C787" s="5">
        <v>975800</v>
      </c>
    </row>
    <row r="788" spans="1:3" x14ac:dyDescent="0.25">
      <c r="A788" s="19" t="s">
        <v>1504</v>
      </c>
      <c r="C788" s="5">
        <v>9543800</v>
      </c>
    </row>
    <row r="789" spans="1:3" x14ac:dyDescent="0.25">
      <c r="A789" s="19" t="s">
        <v>2371</v>
      </c>
      <c r="C789" s="5">
        <v>440300</v>
      </c>
    </row>
    <row r="790" spans="1:3" x14ac:dyDescent="0.25">
      <c r="A790" s="19" t="s">
        <v>2613</v>
      </c>
      <c r="C790" s="5">
        <v>309400</v>
      </c>
    </row>
    <row r="791" spans="1:3" x14ac:dyDescent="0.25">
      <c r="A791" s="19" t="s">
        <v>3040</v>
      </c>
      <c r="C791" s="5">
        <v>595000</v>
      </c>
    </row>
    <row r="792" spans="1:3" x14ac:dyDescent="0.25">
      <c r="A792" s="19" t="s">
        <v>3119</v>
      </c>
      <c r="C792" s="5">
        <v>1541050</v>
      </c>
    </row>
    <row r="793" spans="1:3" x14ac:dyDescent="0.25">
      <c r="A793" s="19" t="s">
        <v>4100</v>
      </c>
      <c r="C793" s="5">
        <v>773500</v>
      </c>
    </row>
    <row r="794" spans="1:3" x14ac:dyDescent="0.25">
      <c r="A794" s="19" t="s">
        <v>4134</v>
      </c>
      <c r="C794" s="5">
        <v>374850</v>
      </c>
    </row>
    <row r="795" spans="1:3" x14ac:dyDescent="0.25">
      <c r="A795" s="19" t="s">
        <v>4137</v>
      </c>
      <c r="C795" s="5">
        <v>57120</v>
      </c>
    </row>
    <row r="796" spans="1:3" x14ac:dyDescent="0.25">
      <c r="A796" s="19" t="s">
        <v>4156</v>
      </c>
      <c r="C796" s="5">
        <v>4833780</v>
      </c>
    </row>
    <row r="797" spans="1:3" x14ac:dyDescent="0.25">
      <c r="A797" s="18" t="s">
        <v>2596</v>
      </c>
      <c r="C797" s="5">
        <v>1956241</v>
      </c>
    </row>
    <row r="798" spans="1:3" x14ac:dyDescent="0.25">
      <c r="A798" s="19" t="s">
        <v>2593</v>
      </c>
      <c r="C798" s="5">
        <v>1040060</v>
      </c>
    </row>
    <row r="799" spans="1:3" x14ac:dyDescent="0.25">
      <c r="A799" s="19" t="s">
        <v>3377</v>
      </c>
      <c r="C799" s="5">
        <v>103411</v>
      </c>
    </row>
    <row r="800" spans="1:3" x14ac:dyDescent="0.25">
      <c r="A800" s="19" t="s">
        <v>3758</v>
      </c>
      <c r="C800" s="5">
        <v>749700</v>
      </c>
    </row>
    <row r="801" spans="1:3" x14ac:dyDescent="0.25">
      <c r="A801" s="19" t="s">
        <v>3761</v>
      </c>
      <c r="C801" s="5">
        <v>63070</v>
      </c>
    </row>
    <row r="802" spans="1:3" x14ac:dyDescent="0.25">
      <c r="A802" s="18" t="s">
        <v>1460</v>
      </c>
      <c r="C802" s="5">
        <v>1340414.81</v>
      </c>
    </row>
    <row r="803" spans="1:3" x14ac:dyDescent="0.25">
      <c r="A803" s="19" t="s">
        <v>1457</v>
      </c>
      <c r="C803" s="5">
        <v>1340414.81</v>
      </c>
    </row>
    <row r="804" spans="1:3" x14ac:dyDescent="0.25">
      <c r="A804" s="18" t="s">
        <v>4238</v>
      </c>
      <c r="C804" s="5">
        <v>2350000</v>
      </c>
    </row>
    <row r="805" spans="1:3" x14ac:dyDescent="0.25">
      <c r="A805" s="19" t="s">
        <v>4235</v>
      </c>
      <c r="C805" s="5">
        <v>2350000</v>
      </c>
    </row>
    <row r="806" spans="1:3" x14ac:dyDescent="0.25">
      <c r="A806" s="18" t="s">
        <v>3707</v>
      </c>
      <c r="C806" s="5">
        <v>7479150</v>
      </c>
    </row>
    <row r="807" spans="1:3" x14ac:dyDescent="0.25">
      <c r="A807" s="19" t="s">
        <v>3704</v>
      </c>
      <c r="C807" s="5">
        <v>7479150</v>
      </c>
    </row>
    <row r="808" spans="1:3" x14ac:dyDescent="0.25">
      <c r="A808" s="18" t="s">
        <v>1658</v>
      </c>
      <c r="C808" s="5">
        <v>9145031</v>
      </c>
    </row>
    <row r="809" spans="1:3" x14ac:dyDescent="0.25">
      <c r="A809" s="19" t="s">
        <v>1655</v>
      </c>
      <c r="C809" s="5">
        <v>203371</v>
      </c>
    </row>
    <row r="810" spans="1:3" x14ac:dyDescent="0.25">
      <c r="A810" s="19" t="s">
        <v>2821</v>
      </c>
      <c r="C810" s="5">
        <v>7968240</v>
      </c>
    </row>
    <row r="811" spans="1:3" x14ac:dyDescent="0.25">
      <c r="A811" s="19" t="s">
        <v>2959</v>
      </c>
      <c r="C811" s="5">
        <v>973420</v>
      </c>
    </row>
    <row r="812" spans="1:3" x14ac:dyDescent="0.25">
      <c r="A812" s="18" t="s">
        <v>580</v>
      </c>
      <c r="C812" s="5">
        <v>777070</v>
      </c>
    </row>
    <row r="813" spans="1:3" x14ac:dyDescent="0.25">
      <c r="A813" s="19" t="s">
        <v>577</v>
      </c>
      <c r="C813" s="5">
        <v>493850</v>
      </c>
    </row>
    <row r="814" spans="1:3" x14ac:dyDescent="0.25">
      <c r="A814" s="19" t="s">
        <v>582</v>
      </c>
      <c r="C814" s="5">
        <v>283220</v>
      </c>
    </row>
    <row r="815" spans="1:3" x14ac:dyDescent="0.25">
      <c r="A815" s="18" t="s">
        <v>2291</v>
      </c>
      <c r="C815" s="5">
        <v>174930</v>
      </c>
    </row>
    <row r="816" spans="1:3" x14ac:dyDescent="0.25">
      <c r="A816" s="19" t="s">
        <v>2288</v>
      </c>
      <c r="C816" s="5">
        <v>174930</v>
      </c>
    </row>
    <row r="817" spans="1:3" x14ac:dyDescent="0.25">
      <c r="A817" s="18" t="s">
        <v>989</v>
      </c>
      <c r="C817" s="5">
        <v>6598380.2999999998</v>
      </c>
    </row>
    <row r="818" spans="1:3" x14ac:dyDescent="0.25">
      <c r="A818" s="19" t="s">
        <v>986</v>
      </c>
      <c r="C818" s="5">
        <v>2730170.6</v>
      </c>
    </row>
    <row r="819" spans="1:3" x14ac:dyDescent="0.25">
      <c r="A819" s="19" t="s">
        <v>1539</v>
      </c>
      <c r="C819" s="5">
        <v>1643985</v>
      </c>
    </row>
    <row r="820" spans="1:3" x14ac:dyDescent="0.25">
      <c r="A820" s="19" t="s">
        <v>1577</v>
      </c>
      <c r="C820" s="5">
        <v>794325</v>
      </c>
    </row>
    <row r="821" spans="1:3" x14ac:dyDescent="0.25">
      <c r="A821" s="19" t="s">
        <v>1580</v>
      </c>
      <c r="C821" s="5">
        <v>518738.4</v>
      </c>
    </row>
    <row r="822" spans="1:3" x14ac:dyDescent="0.25">
      <c r="A822" s="19" t="s">
        <v>1726</v>
      </c>
      <c r="C822" s="5">
        <v>545781.6</v>
      </c>
    </row>
    <row r="823" spans="1:3" x14ac:dyDescent="0.25">
      <c r="A823" s="19" t="s">
        <v>1959</v>
      </c>
      <c r="C823" s="5">
        <v>365379.7</v>
      </c>
    </row>
    <row r="824" spans="1:3" x14ac:dyDescent="0.25">
      <c r="A824" s="18" t="s">
        <v>432</v>
      </c>
      <c r="C824" s="5">
        <v>1547000</v>
      </c>
    </row>
    <row r="825" spans="1:3" x14ac:dyDescent="0.25">
      <c r="A825" s="19" t="s">
        <v>429</v>
      </c>
      <c r="C825" s="5">
        <v>1547000</v>
      </c>
    </row>
    <row r="826" spans="1:3" x14ac:dyDescent="0.25">
      <c r="A826" s="18" t="s">
        <v>1075</v>
      </c>
      <c r="B826">
        <v>1</v>
      </c>
      <c r="C826" s="5">
        <v>4972293.7300000004</v>
      </c>
    </row>
    <row r="827" spans="1:3" x14ac:dyDescent="0.25">
      <c r="A827" s="19" t="s">
        <v>1072</v>
      </c>
      <c r="C827" s="5">
        <v>1943545</v>
      </c>
    </row>
    <row r="828" spans="1:3" x14ac:dyDescent="0.25">
      <c r="A828" s="19" t="s">
        <v>2456</v>
      </c>
      <c r="C828" s="5">
        <v>2131021.06</v>
      </c>
    </row>
    <row r="829" spans="1:3" x14ac:dyDescent="0.25">
      <c r="A829" s="19" t="s">
        <v>3641</v>
      </c>
      <c r="B829">
        <v>1</v>
      </c>
      <c r="C829" s="5">
        <v>897727.67</v>
      </c>
    </row>
    <row r="830" spans="1:3" x14ac:dyDescent="0.25">
      <c r="A830" s="18" t="s">
        <v>2664</v>
      </c>
      <c r="C830" s="5">
        <v>5724425</v>
      </c>
    </row>
    <row r="831" spans="1:3" x14ac:dyDescent="0.25">
      <c r="A831" s="19" t="s">
        <v>2661</v>
      </c>
      <c r="C831" s="5">
        <v>3980550</v>
      </c>
    </row>
    <row r="832" spans="1:3" x14ac:dyDescent="0.25">
      <c r="A832" s="19" t="s">
        <v>4213</v>
      </c>
      <c r="C832" s="5">
        <v>1743875</v>
      </c>
    </row>
    <row r="833" spans="1:3" x14ac:dyDescent="0.25">
      <c r="A833" s="18" t="s">
        <v>3139</v>
      </c>
      <c r="C833" s="5">
        <v>2913720.5</v>
      </c>
    </row>
    <row r="834" spans="1:3" x14ac:dyDescent="0.25">
      <c r="A834" s="19" t="s">
        <v>3136</v>
      </c>
      <c r="C834" s="5">
        <v>2512036</v>
      </c>
    </row>
    <row r="835" spans="1:3" x14ac:dyDescent="0.25">
      <c r="A835" s="19" t="s">
        <v>3491</v>
      </c>
      <c r="C835" s="5">
        <v>401684.5</v>
      </c>
    </row>
    <row r="836" spans="1:3" x14ac:dyDescent="0.25">
      <c r="A836" s="18" t="s">
        <v>2563</v>
      </c>
      <c r="C836" s="5">
        <v>16220500</v>
      </c>
    </row>
    <row r="837" spans="1:3" x14ac:dyDescent="0.25">
      <c r="A837" s="19" t="s">
        <v>2560</v>
      </c>
      <c r="C837" s="5">
        <v>9460500</v>
      </c>
    </row>
    <row r="838" spans="1:3" x14ac:dyDescent="0.25">
      <c r="A838" s="19" t="s">
        <v>2950</v>
      </c>
      <c r="C838" s="5">
        <v>6760000</v>
      </c>
    </row>
    <row r="839" spans="1:3" x14ac:dyDescent="0.25">
      <c r="A839" s="18" t="s">
        <v>1866</v>
      </c>
      <c r="C839" s="5">
        <v>17017000</v>
      </c>
    </row>
    <row r="840" spans="1:3" x14ac:dyDescent="0.25">
      <c r="A840" s="19" t="s">
        <v>1862</v>
      </c>
      <c r="C840" s="5">
        <v>17017000</v>
      </c>
    </row>
    <row r="841" spans="1:3" x14ac:dyDescent="0.25">
      <c r="A841" s="18" t="s">
        <v>2706</v>
      </c>
      <c r="C841" s="5">
        <v>4722515</v>
      </c>
    </row>
    <row r="842" spans="1:3" x14ac:dyDescent="0.25">
      <c r="A842" s="19" t="s">
        <v>2703</v>
      </c>
      <c r="C842" s="5">
        <v>4722515</v>
      </c>
    </row>
    <row r="843" spans="1:3" x14ac:dyDescent="0.25">
      <c r="A843" s="18" t="s">
        <v>1555</v>
      </c>
      <c r="C843" s="5">
        <v>4165000</v>
      </c>
    </row>
    <row r="844" spans="1:3" x14ac:dyDescent="0.25">
      <c r="A844" s="19" t="s">
        <v>1552</v>
      </c>
      <c r="C844" s="5">
        <v>4165000</v>
      </c>
    </row>
    <row r="845" spans="1:3" x14ac:dyDescent="0.25">
      <c r="A845" s="18" t="s">
        <v>1311</v>
      </c>
      <c r="C845" s="5">
        <v>2482407.83</v>
      </c>
    </row>
    <row r="846" spans="1:3" x14ac:dyDescent="0.25">
      <c r="A846" s="19" t="s">
        <v>1308</v>
      </c>
      <c r="C846" s="5">
        <v>1519541.94</v>
      </c>
    </row>
    <row r="847" spans="1:3" x14ac:dyDescent="0.25">
      <c r="A847" s="19" t="s">
        <v>1583</v>
      </c>
      <c r="C847" s="5">
        <v>123928.98</v>
      </c>
    </row>
    <row r="848" spans="1:3" x14ac:dyDescent="0.25">
      <c r="A848" s="19" t="s">
        <v>2015</v>
      </c>
      <c r="C848" s="5">
        <v>82939.429999999993</v>
      </c>
    </row>
    <row r="849" spans="1:3" x14ac:dyDescent="0.25">
      <c r="A849" s="19" t="s">
        <v>2074</v>
      </c>
      <c r="C849" s="5">
        <v>755997.48</v>
      </c>
    </row>
    <row r="850" spans="1:3" x14ac:dyDescent="0.25">
      <c r="A850" s="18" t="s">
        <v>404</v>
      </c>
      <c r="C850" s="5">
        <v>2549400</v>
      </c>
    </row>
    <row r="851" spans="1:3" x14ac:dyDescent="0.25">
      <c r="A851" s="19" t="s">
        <v>401</v>
      </c>
      <c r="C851" s="5">
        <v>2094400</v>
      </c>
    </row>
    <row r="852" spans="1:3" x14ac:dyDescent="0.25">
      <c r="A852" s="19" t="s">
        <v>2535</v>
      </c>
      <c r="C852" s="5">
        <v>455000</v>
      </c>
    </row>
    <row r="853" spans="1:3" x14ac:dyDescent="0.25">
      <c r="A853" s="18" t="s">
        <v>40</v>
      </c>
      <c r="C853" s="5">
        <v>2271479.14</v>
      </c>
    </row>
    <row r="854" spans="1:3" x14ac:dyDescent="0.25">
      <c r="A854" s="19" t="s">
        <v>33</v>
      </c>
      <c r="C854" s="5">
        <v>2271479.14</v>
      </c>
    </row>
    <row r="855" spans="1:3" x14ac:dyDescent="0.25">
      <c r="A855" s="18" t="s">
        <v>48</v>
      </c>
      <c r="C855" s="5">
        <v>19962970</v>
      </c>
    </row>
    <row r="856" spans="1:3" x14ac:dyDescent="0.25">
      <c r="A856" s="19" t="s">
        <v>45</v>
      </c>
      <c r="C856" s="5">
        <v>19962970</v>
      </c>
    </row>
    <row r="857" spans="1:3" x14ac:dyDescent="0.25">
      <c r="A857" s="18" t="s">
        <v>107</v>
      </c>
      <c r="C857" s="5">
        <v>2387145.9499999997</v>
      </c>
    </row>
    <row r="858" spans="1:3" x14ac:dyDescent="0.25">
      <c r="A858" s="19" t="s">
        <v>104</v>
      </c>
      <c r="C858" s="5">
        <v>2337439.65</v>
      </c>
    </row>
    <row r="859" spans="1:3" x14ac:dyDescent="0.25">
      <c r="A859" s="19" t="s">
        <v>1287</v>
      </c>
      <c r="C859" s="5">
        <v>49706.3</v>
      </c>
    </row>
    <row r="860" spans="1:3" x14ac:dyDescent="0.25">
      <c r="A860" s="18" t="s">
        <v>118</v>
      </c>
      <c r="C860" s="5">
        <v>224000.84</v>
      </c>
    </row>
    <row r="861" spans="1:3" x14ac:dyDescent="0.25">
      <c r="A861" s="19" t="s">
        <v>115</v>
      </c>
      <c r="C861" s="5">
        <v>224000.84</v>
      </c>
    </row>
    <row r="862" spans="1:3" x14ac:dyDescent="0.25">
      <c r="A862" s="18" t="s">
        <v>123</v>
      </c>
      <c r="C862" s="5">
        <v>2337439.65</v>
      </c>
    </row>
    <row r="863" spans="1:3" x14ac:dyDescent="0.25">
      <c r="A863" s="19" t="s">
        <v>120</v>
      </c>
      <c r="C863" s="5">
        <v>2337439.65</v>
      </c>
    </row>
    <row r="864" spans="1:3" x14ac:dyDescent="0.25">
      <c r="A864" s="18" t="s">
        <v>128</v>
      </c>
      <c r="C864" s="5">
        <v>4197080.16</v>
      </c>
    </row>
    <row r="865" spans="1:3" x14ac:dyDescent="0.25">
      <c r="A865" s="19" t="s">
        <v>125</v>
      </c>
      <c r="C865" s="5">
        <v>4197080.16</v>
      </c>
    </row>
    <row r="866" spans="1:3" x14ac:dyDescent="0.25">
      <c r="A866" s="18" t="s">
        <v>134</v>
      </c>
      <c r="C866" s="5">
        <v>361908.75</v>
      </c>
    </row>
    <row r="867" spans="1:3" x14ac:dyDescent="0.25">
      <c r="A867" s="19" t="s">
        <v>131</v>
      </c>
      <c r="C867" s="5">
        <v>361908.75</v>
      </c>
    </row>
    <row r="868" spans="1:3" x14ac:dyDescent="0.25">
      <c r="A868" s="18" t="s">
        <v>139</v>
      </c>
      <c r="C868" s="5">
        <v>9675849.5399999991</v>
      </c>
    </row>
    <row r="869" spans="1:3" x14ac:dyDescent="0.25">
      <c r="A869" s="19" t="s">
        <v>136</v>
      </c>
      <c r="C869" s="5">
        <v>326090.94</v>
      </c>
    </row>
    <row r="870" spans="1:3" x14ac:dyDescent="0.25">
      <c r="A870" s="19" t="s">
        <v>837</v>
      </c>
      <c r="C870" s="5">
        <v>2337439.65</v>
      </c>
    </row>
    <row r="871" spans="1:3" x14ac:dyDescent="0.25">
      <c r="A871" s="19" t="s">
        <v>1712</v>
      </c>
      <c r="C871" s="5">
        <v>2337439.65</v>
      </c>
    </row>
    <row r="872" spans="1:3" x14ac:dyDescent="0.25">
      <c r="A872" s="19" t="s">
        <v>3924</v>
      </c>
      <c r="C872" s="5">
        <v>4674879.3</v>
      </c>
    </row>
    <row r="873" spans="1:3" x14ac:dyDescent="0.25">
      <c r="A873" s="18" t="s">
        <v>152</v>
      </c>
      <c r="C873" s="5">
        <v>2923092.2</v>
      </c>
    </row>
    <row r="874" spans="1:3" x14ac:dyDescent="0.25">
      <c r="A874" s="19" t="s">
        <v>149</v>
      </c>
      <c r="C874" s="5">
        <v>2142000</v>
      </c>
    </row>
    <row r="875" spans="1:3" x14ac:dyDescent="0.25">
      <c r="A875" s="19" t="s">
        <v>154</v>
      </c>
      <c r="C875" s="5">
        <v>602592.19999999995</v>
      </c>
    </row>
    <row r="876" spans="1:3" x14ac:dyDescent="0.25">
      <c r="A876" s="19" t="s">
        <v>1717</v>
      </c>
      <c r="C876" s="5">
        <v>178500</v>
      </c>
    </row>
    <row r="877" spans="1:3" x14ac:dyDescent="0.25">
      <c r="A877" s="18" t="s">
        <v>166</v>
      </c>
      <c r="C877" s="5">
        <v>273711.90000000002</v>
      </c>
    </row>
    <row r="878" spans="1:3" x14ac:dyDescent="0.25">
      <c r="A878" s="19" t="s">
        <v>163</v>
      </c>
      <c r="C878" s="5">
        <v>273711.90000000002</v>
      </c>
    </row>
    <row r="879" spans="1:3" x14ac:dyDescent="0.25">
      <c r="A879" s="18" t="s">
        <v>178</v>
      </c>
      <c r="C879" s="5">
        <v>4105108</v>
      </c>
    </row>
    <row r="880" spans="1:3" x14ac:dyDescent="0.25">
      <c r="A880" s="19" t="s">
        <v>175</v>
      </c>
      <c r="C880" s="5">
        <v>4105108</v>
      </c>
    </row>
    <row r="881" spans="1:3" x14ac:dyDescent="0.25">
      <c r="A881" s="18" t="s">
        <v>194</v>
      </c>
      <c r="C881" s="5">
        <v>436968</v>
      </c>
    </row>
    <row r="882" spans="1:3" x14ac:dyDescent="0.25">
      <c r="A882" s="19" t="s">
        <v>901</v>
      </c>
      <c r="C882" s="5">
        <v>103768</v>
      </c>
    </row>
    <row r="883" spans="1:3" x14ac:dyDescent="0.25">
      <c r="A883" s="19">
        <v>104657</v>
      </c>
      <c r="C883" s="5">
        <v>333200</v>
      </c>
    </row>
    <row r="884" spans="1:3" x14ac:dyDescent="0.25">
      <c r="A884" s="18" t="s">
        <v>216</v>
      </c>
      <c r="B884">
        <v>1</v>
      </c>
      <c r="C884" s="5">
        <v>13101400</v>
      </c>
    </row>
    <row r="885" spans="1:3" x14ac:dyDescent="0.25">
      <c r="A885" s="19" t="s">
        <v>213</v>
      </c>
      <c r="B885">
        <v>1</v>
      </c>
      <c r="C885" s="5">
        <v>5854100</v>
      </c>
    </row>
    <row r="886" spans="1:3" x14ac:dyDescent="0.25">
      <c r="A886" s="19" t="s">
        <v>219</v>
      </c>
      <c r="C886" s="5">
        <v>464100</v>
      </c>
    </row>
    <row r="887" spans="1:3" x14ac:dyDescent="0.25">
      <c r="A887" s="19" t="s">
        <v>3541</v>
      </c>
      <c r="C887" s="5">
        <v>6783200</v>
      </c>
    </row>
    <row r="888" spans="1:3" x14ac:dyDescent="0.25">
      <c r="A888" s="18" t="s">
        <v>225</v>
      </c>
      <c r="C888" s="5">
        <v>5797680</v>
      </c>
    </row>
    <row r="889" spans="1:3" x14ac:dyDescent="0.25">
      <c r="A889" s="19" t="s">
        <v>222</v>
      </c>
      <c r="C889" s="5">
        <v>4867100</v>
      </c>
    </row>
    <row r="890" spans="1:3" x14ac:dyDescent="0.25">
      <c r="A890" s="19" t="s">
        <v>2557</v>
      </c>
      <c r="C890" s="5">
        <v>930580</v>
      </c>
    </row>
    <row r="891" spans="1:3" x14ac:dyDescent="0.25">
      <c r="A891" s="18" t="s">
        <v>231</v>
      </c>
      <c r="C891" s="5">
        <v>8925000</v>
      </c>
    </row>
    <row r="892" spans="1:3" x14ac:dyDescent="0.25">
      <c r="A892" s="19" t="s">
        <v>228</v>
      </c>
      <c r="C892" s="5">
        <v>8925000</v>
      </c>
    </row>
    <row r="893" spans="1:3" x14ac:dyDescent="0.25">
      <c r="A893" s="18" t="s">
        <v>236</v>
      </c>
      <c r="C893" s="5">
        <v>4005419.4600000004</v>
      </c>
    </row>
    <row r="894" spans="1:3" x14ac:dyDescent="0.25">
      <c r="A894" s="19" t="s">
        <v>233</v>
      </c>
      <c r="C894" s="5">
        <v>248197.6</v>
      </c>
    </row>
    <row r="895" spans="1:3" x14ac:dyDescent="0.25">
      <c r="A895" s="19" t="s">
        <v>239</v>
      </c>
      <c r="C895" s="5">
        <v>1368104.08</v>
      </c>
    </row>
    <row r="896" spans="1:3" x14ac:dyDescent="0.25">
      <c r="A896" s="19" t="s">
        <v>3508</v>
      </c>
      <c r="C896" s="5">
        <v>376983.6</v>
      </c>
    </row>
    <row r="897" spans="1:3" x14ac:dyDescent="0.25">
      <c r="A897" s="19" t="s">
        <v>3511</v>
      </c>
      <c r="C897" s="5">
        <v>357276.08</v>
      </c>
    </row>
    <row r="898" spans="1:3" x14ac:dyDescent="0.25">
      <c r="A898" s="19" t="s">
        <v>3514</v>
      </c>
      <c r="C898" s="5">
        <v>246817.9</v>
      </c>
    </row>
    <row r="899" spans="1:3" x14ac:dyDescent="0.25">
      <c r="A899" s="19" t="s">
        <v>3517</v>
      </c>
      <c r="C899" s="5">
        <v>554295</v>
      </c>
    </row>
    <row r="900" spans="1:3" x14ac:dyDescent="0.25">
      <c r="A900" s="19" t="s">
        <v>3520</v>
      </c>
      <c r="C900" s="5">
        <v>382144.7</v>
      </c>
    </row>
    <row r="901" spans="1:3" x14ac:dyDescent="0.25">
      <c r="A901" s="19" t="s">
        <v>4117</v>
      </c>
      <c r="C901" s="5">
        <v>471600.5</v>
      </c>
    </row>
    <row r="902" spans="1:3" x14ac:dyDescent="0.25">
      <c r="A902" s="18" t="s">
        <v>245</v>
      </c>
      <c r="C902" s="5">
        <v>1122429</v>
      </c>
    </row>
    <row r="903" spans="1:3" x14ac:dyDescent="0.25">
      <c r="A903" s="19" t="s">
        <v>242</v>
      </c>
      <c r="C903" s="5">
        <v>197337.7</v>
      </c>
    </row>
    <row r="904" spans="1:3" x14ac:dyDescent="0.25">
      <c r="A904" s="19" t="s">
        <v>247</v>
      </c>
      <c r="C904" s="5">
        <v>167694.79999999999</v>
      </c>
    </row>
    <row r="905" spans="1:3" x14ac:dyDescent="0.25">
      <c r="A905" s="19" t="s">
        <v>250</v>
      </c>
      <c r="C905" s="5">
        <v>141978.9</v>
      </c>
    </row>
    <row r="906" spans="1:3" x14ac:dyDescent="0.25">
      <c r="A906" s="19" t="s">
        <v>253</v>
      </c>
      <c r="C906" s="5">
        <v>141978.9</v>
      </c>
    </row>
    <row r="907" spans="1:3" x14ac:dyDescent="0.25">
      <c r="A907" s="19" t="s">
        <v>256</v>
      </c>
      <c r="C907" s="5">
        <v>187555.9</v>
      </c>
    </row>
    <row r="908" spans="1:3" x14ac:dyDescent="0.25">
      <c r="A908" s="19" t="s">
        <v>2095</v>
      </c>
      <c r="C908" s="5">
        <v>156675.4</v>
      </c>
    </row>
    <row r="909" spans="1:3" x14ac:dyDescent="0.25">
      <c r="A909" s="19" t="s">
        <v>3070</v>
      </c>
      <c r="C909" s="5">
        <v>129207.4</v>
      </c>
    </row>
    <row r="910" spans="1:3" x14ac:dyDescent="0.25">
      <c r="A910" s="18" t="s">
        <v>268</v>
      </c>
      <c r="C910" s="5">
        <v>8725794</v>
      </c>
    </row>
    <row r="911" spans="1:3" x14ac:dyDescent="0.25">
      <c r="A911" s="19" t="s">
        <v>265</v>
      </c>
      <c r="C911" s="5">
        <v>3622122</v>
      </c>
    </row>
    <row r="912" spans="1:3" x14ac:dyDescent="0.25">
      <c r="A912" s="19" t="s">
        <v>279</v>
      </c>
      <c r="C912" s="5">
        <v>2069410</v>
      </c>
    </row>
    <row r="913" spans="1:3" x14ac:dyDescent="0.25">
      <c r="A913" s="19" t="s">
        <v>352</v>
      </c>
      <c r="C913" s="5">
        <v>2240532</v>
      </c>
    </row>
    <row r="914" spans="1:3" x14ac:dyDescent="0.25">
      <c r="A914" s="19" t="s">
        <v>1454</v>
      </c>
      <c r="C914" s="5">
        <v>793730</v>
      </c>
    </row>
    <row r="915" spans="1:3" x14ac:dyDescent="0.25">
      <c r="A915" s="18" t="s">
        <v>285</v>
      </c>
      <c r="C915" s="5">
        <v>1864722.6</v>
      </c>
    </row>
    <row r="916" spans="1:3" x14ac:dyDescent="0.25">
      <c r="A916" s="19" t="s">
        <v>282</v>
      </c>
      <c r="C916" s="5">
        <v>789819.1</v>
      </c>
    </row>
    <row r="917" spans="1:3" x14ac:dyDescent="0.25">
      <c r="A917" s="19" t="s">
        <v>287</v>
      </c>
      <c r="C917" s="5">
        <v>1074903.5</v>
      </c>
    </row>
    <row r="918" spans="1:3" x14ac:dyDescent="0.25">
      <c r="A918" s="18" t="s">
        <v>299</v>
      </c>
      <c r="C918" s="5">
        <v>579773.94999999995</v>
      </c>
    </row>
    <row r="919" spans="1:3" x14ac:dyDescent="0.25">
      <c r="A919" s="19" t="s">
        <v>296</v>
      </c>
      <c r="C919" s="5">
        <v>335829.9</v>
      </c>
    </row>
    <row r="920" spans="1:3" x14ac:dyDescent="0.25">
      <c r="A920" s="19" t="s">
        <v>682</v>
      </c>
      <c r="C920" s="5">
        <v>243944.05</v>
      </c>
    </row>
    <row r="921" spans="1:3" x14ac:dyDescent="0.25">
      <c r="A921" s="18" t="s">
        <v>311</v>
      </c>
      <c r="C921" s="5">
        <v>85666910</v>
      </c>
    </row>
    <row r="922" spans="1:3" x14ac:dyDescent="0.25">
      <c r="A922" s="19" t="s">
        <v>308</v>
      </c>
      <c r="C922" s="5">
        <v>30568720</v>
      </c>
    </row>
    <row r="923" spans="1:3" x14ac:dyDescent="0.25">
      <c r="A923" s="19" t="s">
        <v>1859</v>
      </c>
      <c r="C923" s="5">
        <v>55098190</v>
      </c>
    </row>
    <row r="924" spans="1:3" x14ac:dyDescent="0.25">
      <c r="A924" s="18" t="s">
        <v>316</v>
      </c>
      <c r="C924" s="5">
        <v>414120</v>
      </c>
    </row>
    <row r="925" spans="1:3" x14ac:dyDescent="0.25">
      <c r="A925" s="19" t="s">
        <v>313</v>
      </c>
      <c r="C925" s="5">
        <v>414120</v>
      </c>
    </row>
    <row r="926" spans="1:3" x14ac:dyDescent="0.25">
      <c r="A926" s="18" t="s">
        <v>322</v>
      </c>
      <c r="C926" s="5">
        <v>8622740</v>
      </c>
    </row>
    <row r="927" spans="1:3" x14ac:dyDescent="0.25">
      <c r="A927" s="19" t="s">
        <v>319</v>
      </c>
      <c r="C927" s="5">
        <v>1021020</v>
      </c>
    </row>
    <row r="928" spans="1:3" x14ac:dyDescent="0.25">
      <c r="A928" s="19" t="s">
        <v>324</v>
      </c>
      <c r="C928" s="5">
        <v>5202680</v>
      </c>
    </row>
    <row r="929" spans="1:3" x14ac:dyDescent="0.25">
      <c r="A929" s="19" t="s">
        <v>327</v>
      </c>
      <c r="C929" s="5">
        <v>2399040</v>
      </c>
    </row>
    <row r="930" spans="1:3" x14ac:dyDescent="0.25">
      <c r="A930" s="18" t="s">
        <v>333</v>
      </c>
      <c r="C930" s="5">
        <v>622995.93999999994</v>
      </c>
    </row>
    <row r="931" spans="1:3" x14ac:dyDescent="0.25">
      <c r="A931" s="19" t="s">
        <v>330</v>
      </c>
      <c r="C931" s="5">
        <v>622995.93999999994</v>
      </c>
    </row>
    <row r="932" spans="1:3" x14ac:dyDescent="0.25">
      <c r="A932" s="18" t="s">
        <v>349</v>
      </c>
      <c r="C932" s="5">
        <v>240000</v>
      </c>
    </row>
    <row r="933" spans="1:3" x14ac:dyDescent="0.25">
      <c r="A933" s="19" t="s">
        <v>346</v>
      </c>
      <c r="C933" s="5">
        <v>240000</v>
      </c>
    </row>
    <row r="934" spans="1:3" x14ac:dyDescent="0.25">
      <c r="A934" s="18" t="s">
        <v>358</v>
      </c>
      <c r="C934" s="5">
        <v>11972766.119999999</v>
      </c>
    </row>
    <row r="935" spans="1:3" x14ac:dyDescent="0.25">
      <c r="A935" s="19" t="s">
        <v>355</v>
      </c>
      <c r="C935" s="5">
        <v>11972766.119999999</v>
      </c>
    </row>
    <row r="936" spans="1:3" x14ac:dyDescent="0.25">
      <c r="A936" s="18" t="s">
        <v>368</v>
      </c>
      <c r="C936" s="5">
        <v>1756440</v>
      </c>
    </row>
    <row r="937" spans="1:3" x14ac:dyDescent="0.25">
      <c r="A937" s="19" t="s">
        <v>365</v>
      </c>
      <c r="C937" s="5">
        <v>1756440</v>
      </c>
    </row>
    <row r="938" spans="1:3" x14ac:dyDescent="0.25">
      <c r="A938" s="18" t="s">
        <v>382</v>
      </c>
      <c r="C938" s="5">
        <v>428400</v>
      </c>
    </row>
    <row r="939" spans="1:3" x14ac:dyDescent="0.25">
      <c r="A939" s="19" t="s">
        <v>379</v>
      </c>
      <c r="C939" s="5">
        <v>428400</v>
      </c>
    </row>
    <row r="940" spans="1:3" x14ac:dyDescent="0.25">
      <c r="A940" s="18" t="s">
        <v>387</v>
      </c>
      <c r="C940" s="5">
        <v>882182.91</v>
      </c>
    </row>
    <row r="941" spans="1:3" x14ac:dyDescent="0.25">
      <c r="A941" s="19" t="s">
        <v>384</v>
      </c>
      <c r="C941" s="5">
        <v>882182.91</v>
      </c>
    </row>
    <row r="942" spans="1:3" x14ac:dyDescent="0.25">
      <c r="A942" s="18" t="s">
        <v>398</v>
      </c>
      <c r="C942" s="5">
        <v>7081050</v>
      </c>
    </row>
    <row r="943" spans="1:3" x14ac:dyDescent="0.25">
      <c r="A943" s="19" t="s">
        <v>395</v>
      </c>
      <c r="C943" s="5">
        <v>3526050</v>
      </c>
    </row>
    <row r="944" spans="1:3" x14ac:dyDescent="0.25">
      <c r="A944" s="19" t="s">
        <v>2472</v>
      </c>
      <c r="C944" s="5">
        <v>3555000</v>
      </c>
    </row>
    <row r="945" spans="1:3" x14ac:dyDescent="0.25">
      <c r="A945" s="18" t="s">
        <v>452</v>
      </c>
      <c r="C945" s="5">
        <v>571200</v>
      </c>
    </row>
    <row r="946" spans="1:3" x14ac:dyDescent="0.25">
      <c r="A946" s="19" t="s">
        <v>449</v>
      </c>
      <c r="C946" s="5">
        <v>571200</v>
      </c>
    </row>
    <row r="947" spans="1:3" x14ac:dyDescent="0.25">
      <c r="A947" s="18" t="s">
        <v>458</v>
      </c>
      <c r="C947" s="5">
        <v>4165000</v>
      </c>
    </row>
    <row r="948" spans="1:3" x14ac:dyDescent="0.25">
      <c r="A948" s="19" t="s">
        <v>455</v>
      </c>
      <c r="C948" s="5">
        <v>4165000</v>
      </c>
    </row>
    <row r="949" spans="1:3" x14ac:dyDescent="0.25">
      <c r="A949" s="18" t="s">
        <v>511</v>
      </c>
      <c r="C949" s="5">
        <v>15710292.9</v>
      </c>
    </row>
    <row r="950" spans="1:3" x14ac:dyDescent="0.25">
      <c r="A950" s="19" t="s">
        <v>508</v>
      </c>
      <c r="C950" s="5">
        <v>1462515.5</v>
      </c>
    </row>
    <row r="951" spans="1:3" x14ac:dyDescent="0.25">
      <c r="A951" s="19" t="s">
        <v>513</v>
      </c>
      <c r="C951" s="5">
        <v>7508900</v>
      </c>
    </row>
    <row r="952" spans="1:3" x14ac:dyDescent="0.25">
      <c r="A952" s="19" t="s">
        <v>515</v>
      </c>
      <c r="C952" s="5">
        <v>1981728</v>
      </c>
    </row>
    <row r="953" spans="1:3" x14ac:dyDescent="0.25">
      <c r="A953" s="19" t="s">
        <v>518</v>
      </c>
      <c r="C953" s="5">
        <v>3389239</v>
      </c>
    </row>
    <row r="954" spans="1:3" x14ac:dyDescent="0.25">
      <c r="A954" s="19" t="s">
        <v>2543</v>
      </c>
      <c r="C954" s="5">
        <v>1367910.3999999999</v>
      </c>
    </row>
    <row r="955" spans="1:3" x14ac:dyDescent="0.25">
      <c r="A955" s="18" t="s">
        <v>523</v>
      </c>
      <c r="C955" s="5">
        <v>5712000</v>
      </c>
    </row>
    <row r="956" spans="1:3" x14ac:dyDescent="0.25">
      <c r="A956" s="19">
        <v>104728</v>
      </c>
      <c r="C956" s="5">
        <v>5712000</v>
      </c>
    </row>
    <row r="957" spans="1:3" x14ac:dyDescent="0.25">
      <c r="A957" s="18" t="s">
        <v>535</v>
      </c>
      <c r="B957">
        <v>3</v>
      </c>
      <c r="C957" s="5">
        <v>10706641.9</v>
      </c>
    </row>
    <row r="958" spans="1:3" x14ac:dyDescent="0.25">
      <c r="A958" s="19" t="s">
        <v>532</v>
      </c>
      <c r="B958">
        <v>1</v>
      </c>
      <c r="C958" s="5">
        <v>1059293.97</v>
      </c>
    </row>
    <row r="959" spans="1:3" x14ac:dyDescent="0.25">
      <c r="A959" s="19" t="s">
        <v>562</v>
      </c>
      <c r="B959">
        <v>1</v>
      </c>
      <c r="C959" s="5">
        <v>6677249.46</v>
      </c>
    </row>
    <row r="960" spans="1:3" x14ac:dyDescent="0.25">
      <c r="A960" s="19" t="s">
        <v>3073</v>
      </c>
      <c r="B960">
        <v>1</v>
      </c>
      <c r="C960" s="5">
        <v>2970098.47</v>
      </c>
    </row>
    <row r="961" spans="1:3" x14ac:dyDescent="0.25">
      <c r="A961" s="18" t="s">
        <v>540</v>
      </c>
      <c r="C961" s="5">
        <v>319110.40000000002</v>
      </c>
    </row>
    <row r="962" spans="1:3" x14ac:dyDescent="0.25">
      <c r="A962" s="19" t="s">
        <v>537</v>
      </c>
      <c r="C962" s="5">
        <v>319110.40000000002</v>
      </c>
    </row>
    <row r="963" spans="1:3" x14ac:dyDescent="0.25">
      <c r="A963" s="18" t="s">
        <v>546</v>
      </c>
      <c r="C963" s="5">
        <v>48530853.700000003</v>
      </c>
    </row>
    <row r="964" spans="1:3" x14ac:dyDescent="0.25">
      <c r="A964" s="19" t="s">
        <v>543</v>
      </c>
      <c r="C964" s="5">
        <v>5213985</v>
      </c>
    </row>
    <row r="965" spans="1:3" x14ac:dyDescent="0.25">
      <c r="A965" s="19" t="s">
        <v>3885</v>
      </c>
      <c r="C965" s="5">
        <v>43316868.700000003</v>
      </c>
    </row>
    <row r="966" spans="1:3" x14ac:dyDescent="0.25">
      <c r="A966" s="18" t="s">
        <v>560</v>
      </c>
      <c r="C966" s="5">
        <v>739449.34</v>
      </c>
    </row>
    <row r="967" spans="1:3" x14ac:dyDescent="0.25">
      <c r="A967" s="19" t="s">
        <v>557</v>
      </c>
      <c r="C967" s="5">
        <v>739449.34</v>
      </c>
    </row>
    <row r="968" spans="1:3" x14ac:dyDescent="0.25">
      <c r="A968" s="18" t="s">
        <v>588</v>
      </c>
      <c r="C968" s="5">
        <v>8737370.9299999997</v>
      </c>
    </row>
    <row r="969" spans="1:3" x14ac:dyDescent="0.25">
      <c r="A969" s="19" t="s">
        <v>585</v>
      </c>
      <c r="C969" s="5">
        <v>6475980</v>
      </c>
    </row>
    <row r="970" spans="1:3" x14ac:dyDescent="0.25">
      <c r="A970" s="19" t="s">
        <v>2881</v>
      </c>
      <c r="C970" s="5">
        <v>195041</v>
      </c>
    </row>
    <row r="971" spans="1:3" x14ac:dyDescent="0.25">
      <c r="A971" s="19" t="s">
        <v>2884</v>
      </c>
      <c r="C971" s="5">
        <v>1182320.93</v>
      </c>
    </row>
    <row r="972" spans="1:3" x14ac:dyDescent="0.25">
      <c r="A972" s="19" t="s">
        <v>2887</v>
      </c>
      <c r="C972" s="5">
        <v>884029</v>
      </c>
    </row>
    <row r="973" spans="1:3" x14ac:dyDescent="0.25">
      <c r="A973" s="18" t="s">
        <v>621</v>
      </c>
      <c r="C973" s="5">
        <v>1728999.79</v>
      </c>
    </row>
    <row r="974" spans="1:3" x14ac:dyDescent="0.25">
      <c r="A974" s="19" t="s">
        <v>618</v>
      </c>
      <c r="C974" s="5">
        <v>1312499.79</v>
      </c>
    </row>
    <row r="975" spans="1:3" x14ac:dyDescent="0.25">
      <c r="A975" s="19" t="s">
        <v>2374</v>
      </c>
      <c r="C975" s="5">
        <v>416500</v>
      </c>
    </row>
    <row r="976" spans="1:3" x14ac:dyDescent="0.25">
      <c r="A976" s="18" t="s">
        <v>638</v>
      </c>
      <c r="C976" s="5">
        <v>16892698.550000001</v>
      </c>
    </row>
    <row r="977" spans="1:3" x14ac:dyDescent="0.25">
      <c r="A977" s="19" t="s">
        <v>635</v>
      </c>
      <c r="C977" s="5">
        <v>13875386.91</v>
      </c>
    </row>
    <row r="978" spans="1:3" x14ac:dyDescent="0.25">
      <c r="A978" s="19" t="s">
        <v>2673</v>
      </c>
      <c r="C978" s="5">
        <v>3017311.64</v>
      </c>
    </row>
    <row r="979" spans="1:3" x14ac:dyDescent="0.25">
      <c r="A979" s="18" t="s">
        <v>643</v>
      </c>
      <c r="B979">
        <v>1</v>
      </c>
      <c r="C979" s="5">
        <v>9226750</v>
      </c>
    </row>
    <row r="980" spans="1:3" x14ac:dyDescent="0.25">
      <c r="A980" s="19" t="s">
        <v>640</v>
      </c>
      <c r="C980" s="5">
        <v>220150</v>
      </c>
    </row>
    <row r="981" spans="1:3" x14ac:dyDescent="0.25">
      <c r="A981" s="19" t="s">
        <v>1212</v>
      </c>
      <c r="C981" s="5">
        <v>3653300</v>
      </c>
    </row>
    <row r="982" spans="1:3" x14ac:dyDescent="0.25">
      <c r="A982" s="19" t="s">
        <v>1802</v>
      </c>
      <c r="B982">
        <v>1</v>
      </c>
      <c r="C982" s="5">
        <v>3653300</v>
      </c>
    </row>
    <row r="983" spans="1:3" x14ac:dyDescent="0.25">
      <c r="A983" s="19" t="s">
        <v>2052</v>
      </c>
      <c r="C983" s="5">
        <v>1700000</v>
      </c>
    </row>
    <row r="984" spans="1:3" x14ac:dyDescent="0.25">
      <c r="A984" s="18" t="s">
        <v>675</v>
      </c>
      <c r="C984" s="5">
        <v>8306200</v>
      </c>
    </row>
    <row r="985" spans="1:3" x14ac:dyDescent="0.25">
      <c r="A985" s="19">
        <v>104760</v>
      </c>
      <c r="C985" s="5">
        <v>8306200</v>
      </c>
    </row>
    <row r="986" spans="1:3" x14ac:dyDescent="0.25">
      <c r="A986" s="18" t="s">
        <v>680</v>
      </c>
      <c r="C986" s="5">
        <v>649740</v>
      </c>
    </row>
    <row r="987" spans="1:3" x14ac:dyDescent="0.25">
      <c r="A987" s="19" t="s">
        <v>677</v>
      </c>
      <c r="C987" s="5">
        <v>649740</v>
      </c>
    </row>
    <row r="988" spans="1:3" x14ac:dyDescent="0.25">
      <c r="A988" s="18" t="s">
        <v>693</v>
      </c>
      <c r="C988" s="5">
        <v>401982</v>
      </c>
    </row>
    <row r="989" spans="1:3" x14ac:dyDescent="0.25">
      <c r="A989" s="19" t="s">
        <v>690</v>
      </c>
      <c r="C989" s="5">
        <v>401982</v>
      </c>
    </row>
    <row r="990" spans="1:3" x14ac:dyDescent="0.25">
      <c r="A990" s="18" t="s">
        <v>699</v>
      </c>
      <c r="C990" s="5">
        <v>5495063</v>
      </c>
    </row>
    <row r="991" spans="1:3" x14ac:dyDescent="0.25">
      <c r="A991" s="19" t="s">
        <v>696</v>
      </c>
      <c r="C991" s="5">
        <v>785043</v>
      </c>
    </row>
    <row r="992" spans="1:3" x14ac:dyDescent="0.25">
      <c r="A992" s="19" t="s">
        <v>3116</v>
      </c>
      <c r="C992" s="5">
        <v>4710020</v>
      </c>
    </row>
    <row r="993" spans="1:3" x14ac:dyDescent="0.25">
      <c r="A993" s="18" t="s">
        <v>736</v>
      </c>
      <c r="C993" s="5">
        <v>18111378.5</v>
      </c>
    </row>
    <row r="994" spans="1:3" x14ac:dyDescent="0.25">
      <c r="A994" s="19" t="s">
        <v>733</v>
      </c>
      <c r="C994" s="5">
        <v>8447988.5</v>
      </c>
    </row>
    <row r="995" spans="1:3" x14ac:dyDescent="0.25">
      <c r="A995" s="19" t="s">
        <v>3360</v>
      </c>
      <c r="C995" s="5">
        <v>1219150</v>
      </c>
    </row>
    <row r="996" spans="1:3" x14ac:dyDescent="0.25">
      <c r="A996" s="19" t="s">
        <v>3733</v>
      </c>
      <c r="C996" s="5">
        <v>8444240</v>
      </c>
    </row>
    <row r="997" spans="1:3" x14ac:dyDescent="0.25">
      <c r="A997" s="18" t="s">
        <v>741</v>
      </c>
      <c r="C997" s="5">
        <v>2551375</v>
      </c>
    </row>
    <row r="998" spans="1:3" x14ac:dyDescent="0.25">
      <c r="A998" s="19" t="s">
        <v>738</v>
      </c>
      <c r="C998" s="5">
        <v>515025</v>
      </c>
    </row>
    <row r="999" spans="1:3" x14ac:dyDescent="0.25">
      <c r="A999" s="19">
        <v>105197</v>
      </c>
      <c r="C999" s="5">
        <v>1721000</v>
      </c>
    </row>
    <row r="1000" spans="1:3" x14ac:dyDescent="0.25">
      <c r="A1000" s="19" t="s">
        <v>4034</v>
      </c>
      <c r="C1000" s="5">
        <v>315350</v>
      </c>
    </row>
    <row r="1001" spans="1:3" x14ac:dyDescent="0.25">
      <c r="A1001" s="18" t="s">
        <v>758</v>
      </c>
      <c r="C1001" s="5">
        <v>202833.12</v>
      </c>
    </row>
    <row r="1002" spans="1:3" x14ac:dyDescent="0.25">
      <c r="A1002" s="19" t="s">
        <v>755</v>
      </c>
      <c r="C1002" s="5">
        <v>202833.12</v>
      </c>
    </row>
    <row r="1003" spans="1:3" x14ac:dyDescent="0.25">
      <c r="A1003" s="18" t="s">
        <v>773</v>
      </c>
      <c r="C1003" s="5">
        <v>462553</v>
      </c>
    </row>
    <row r="1004" spans="1:3" x14ac:dyDescent="0.25">
      <c r="A1004" s="19" t="s">
        <v>770</v>
      </c>
      <c r="C1004" s="5">
        <v>462553</v>
      </c>
    </row>
    <row r="1005" spans="1:3" x14ac:dyDescent="0.25">
      <c r="A1005" s="18" t="s">
        <v>783</v>
      </c>
      <c r="C1005" s="5">
        <v>216363.42</v>
      </c>
    </row>
    <row r="1006" spans="1:3" x14ac:dyDescent="0.25">
      <c r="A1006" s="19" t="s">
        <v>780</v>
      </c>
      <c r="C1006" s="5">
        <v>108181.71</v>
      </c>
    </row>
    <row r="1007" spans="1:3" x14ac:dyDescent="0.25">
      <c r="A1007" s="19" t="s">
        <v>786</v>
      </c>
      <c r="C1007" s="5">
        <v>108181.71</v>
      </c>
    </row>
    <row r="1008" spans="1:3" x14ac:dyDescent="0.25">
      <c r="A1008" s="18" t="s">
        <v>796</v>
      </c>
      <c r="C1008" s="5">
        <v>1147452.74</v>
      </c>
    </row>
    <row r="1009" spans="1:3" x14ac:dyDescent="0.25">
      <c r="A1009" s="19" t="s">
        <v>793</v>
      </c>
      <c r="C1009" s="5">
        <v>1147452.74</v>
      </c>
    </row>
    <row r="1010" spans="1:3" x14ac:dyDescent="0.25">
      <c r="A1010" s="18" t="s">
        <v>800</v>
      </c>
      <c r="B1010">
        <v>2</v>
      </c>
      <c r="C1010" s="5">
        <v>10519600</v>
      </c>
    </row>
    <row r="1011" spans="1:3" x14ac:dyDescent="0.25">
      <c r="A1011" s="19" t="s">
        <v>802</v>
      </c>
      <c r="B1011">
        <v>1</v>
      </c>
      <c r="C1011" s="5">
        <v>1547000</v>
      </c>
    </row>
    <row r="1012" spans="1:3" x14ac:dyDescent="0.25">
      <c r="A1012" s="19">
        <v>104786</v>
      </c>
      <c r="B1012">
        <v>1</v>
      </c>
      <c r="C1012" s="5">
        <v>3712800</v>
      </c>
    </row>
    <row r="1013" spans="1:3" x14ac:dyDescent="0.25">
      <c r="A1013" s="19" t="s">
        <v>2065</v>
      </c>
      <c r="C1013" s="5">
        <v>5259800</v>
      </c>
    </row>
    <row r="1014" spans="1:3" x14ac:dyDescent="0.25">
      <c r="A1014" s="18" t="s">
        <v>815</v>
      </c>
      <c r="C1014" s="5">
        <v>1445425.4000000001</v>
      </c>
    </row>
    <row r="1015" spans="1:3" x14ac:dyDescent="0.25">
      <c r="A1015" s="19" t="s">
        <v>812</v>
      </c>
      <c r="C1015" s="5">
        <v>241510.1</v>
      </c>
    </row>
    <row r="1016" spans="1:3" x14ac:dyDescent="0.25">
      <c r="A1016" s="19" t="s">
        <v>818</v>
      </c>
      <c r="C1016" s="5">
        <v>1024760.8</v>
      </c>
    </row>
    <row r="1017" spans="1:3" x14ac:dyDescent="0.25">
      <c r="A1017" s="19" t="s">
        <v>1011</v>
      </c>
      <c r="C1017" s="5">
        <v>179154.5</v>
      </c>
    </row>
    <row r="1018" spans="1:3" x14ac:dyDescent="0.25">
      <c r="A1018" s="18" t="s">
        <v>823</v>
      </c>
      <c r="B1018">
        <v>3</v>
      </c>
      <c r="C1018" s="5">
        <v>1527424.5</v>
      </c>
    </row>
    <row r="1019" spans="1:3" x14ac:dyDescent="0.25">
      <c r="A1019" s="19">
        <v>104792</v>
      </c>
      <c r="B1019">
        <v>1</v>
      </c>
      <c r="C1019" s="5">
        <v>478380</v>
      </c>
    </row>
    <row r="1020" spans="1:3" x14ac:dyDescent="0.25">
      <c r="A1020" s="19" t="s">
        <v>1763</v>
      </c>
      <c r="B1020">
        <v>1</v>
      </c>
      <c r="C1020" s="5">
        <v>825324.5</v>
      </c>
    </row>
    <row r="1021" spans="1:3" x14ac:dyDescent="0.25">
      <c r="A1021" s="19" t="s">
        <v>3081</v>
      </c>
      <c r="B1021">
        <v>1</v>
      </c>
      <c r="C1021" s="5">
        <v>223720</v>
      </c>
    </row>
    <row r="1022" spans="1:3" x14ac:dyDescent="0.25">
      <c r="A1022" s="18" t="s">
        <v>859</v>
      </c>
      <c r="C1022" s="5">
        <v>14024637.899999999</v>
      </c>
    </row>
    <row r="1023" spans="1:3" x14ac:dyDescent="0.25">
      <c r="A1023" s="19" t="s">
        <v>856</v>
      </c>
      <c r="C1023" s="5">
        <v>4674879.3</v>
      </c>
    </row>
    <row r="1024" spans="1:3" x14ac:dyDescent="0.25">
      <c r="A1024" s="19" t="s">
        <v>1706</v>
      </c>
      <c r="C1024" s="5">
        <v>2337439.65</v>
      </c>
    </row>
    <row r="1025" spans="1:3" x14ac:dyDescent="0.25">
      <c r="A1025" s="19" t="s">
        <v>1709</v>
      </c>
      <c r="C1025" s="5">
        <v>2337439.65</v>
      </c>
    </row>
    <row r="1026" spans="1:3" x14ac:dyDescent="0.25">
      <c r="A1026" s="19">
        <v>105004</v>
      </c>
      <c r="C1026" s="5">
        <v>4674879.3</v>
      </c>
    </row>
    <row r="1027" spans="1:3" x14ac:dyDescent="0.25">
      <c r="A1027" s="18" t="s">
        <v>864</v>
      </c>
      <c r="C1027" s="5">
        <v>1586865</v>
      </c>
    </row>
    <row r="1028" spans="1:3" x14ac:dyDescent="0.25">
      <c r="A1028" s="19" t="s">
        <v>861</v>
      </c>
      <c r="C1028" s="5">
        <v>1586865</v>
      </c>
    </row>
    <row r="1029" spans="1:3" x14ac:dyDescent="0.25">
      <c r="A1029" s="18" t="s">
        <v>878</v>
      </c>
      <c r="C1029" s="5">
        <v>821949.06</v>
      </c>
    </row>
    <row r="1030" spans="1:3" x14ac:dyDescent="0.25">
      <c r="A1030" s="19" t="s">
        <v>875</v>
      </c>
      <c r="C1030" s="5">
        <v>344350</v>
      </c>
    </row>
    <row r="1031" spans="1:3" x14ac:dyDescent="0.25">
      <c r="A1031" s="19" t="s">
        <v>2601</v>
      </c>
      <c r="C1031" s="5">
        <v>393347.06</v>
      </c>
    </row>
    <row r="1032" spans="1:3" x14ac:dyDescent="0.25">
      <c r="A1032" s="19" t="s">
        <v>3794</v>
      </c>
      <c r="C1032" s="5">
        <v>84252</v>
      </c>
    </row>
    <row r="1033" spans="1:3" x14ac:dyDescent="0.25">
      <c r="A1033" s="18" t="s">
        <v>886</v>
      </c>
      <c r="C1033" s="5">
        <v>5450200</v>
      </c>
    </row>
    <row r="1034" spans="1:3" x14ac:dyDescent="0.25">
      <c r="A1034" s="19" t="s">
        <v>883</v>
      </c>
      <c r="C1034" s="5">
        <v>493850</v>
      </c>
    </row>
    <row r="1035" spans="1:3" x14ac:dyDescent="0.25">
      <c r="A1035" s="19" t="s">
        <v>888</v>
      </c>
      <c r="C1035" s="5">
        <v>4956350</v>
      </c>
    </row>
    <row r="1036" spans="1:3" x14ac:dyDescent="0.25">
      <c r="A1036" s="18" t="s">
        <v>931</v>
      </c>
      <c r="C1036" s="5">
        <v>6396250</v>
      </c>
    </row>
    <row r="1037" spans="1:3" x14ac:dyDescent="0.25">
      <c r="A1037" s="19" t="s">
        <v>928</v>
      </c>
      <c r="C1037" s="5">
        <v>1808800</v>
      </c>
    </row>
    <row r="1038" spans="1:3" x14ac:dyDescent="0.25">
      <c r="A1038" s="19" t="s">
        <v>3300</v>
      </c>
      <c r="C1038" s="5">
        <v>4587450</v>
      </c>
    </row>
    <row r="1039" spans="1:3" x14ac:dyDescent="0.25">
      <c r="A1039" s="18" t="s">
        <v>941</v>
      </c>
      <c r="C1039" s="5">
        <v>281435</v>
      </c>
    </row>
    <row r="1040" spans="1:3" x14ac:dyDescent="0.25">
      <c r="A1040" s="19" t="s">
        <v>938</v>
      </c>
      <c r="C1040" s="5">
        <v>124950</v>
      </c>
    </row>
    <row r="1041" spans="1:3" x14ac:dyDescent="0.25">
      <c r="A1041" s="19" t="s">
        <v>1642</v>
      </c>
      <c r="C1041" s="5">
        <v>78540</v>
      </c>
    </row>
    <row r="1042" spans="1:3" x14ac:dyDescent="0.25">
      <c r="A1042" s="19" t="s">
        <v>2986</v>
      </c>
      <c r="C1042" s="5">
        <v>77945</v>
      </c>
    </row>
    <row r="1043" spans="1:3" x14ac:dyDescent="0.25">
      <c r="A1043" s="18" t="s">
        <v>970</v>
      </c>
      <c r="C1043" s="5">
        <v>128024.96000000001</v>
      </c>
    </row>
    <row r="1044" spans="1:3" x14ac:dyDescent="0.25">
      <c r="A1044" s="19" t="s">
        <v>967</v>
      </c>
      <c r="C1044" s="5">
        <v>128024.96000000001</v>
      </c>
    </row>
    <row r="1045" spans="1:3" x14ac:dyDescent="0.25">
      <c r="A1045" s="18" t="s">
        <v>984</v>
      </c>
      <c r="C1045" s="5">
        <v>5896851.0300000003</v>
      </c>
    </row>
    <row r="1046" spans="1:3" x14ac:dyDescent="0.25">
      <c r="A1046" s="19" t="s">
        <v>981</v>
      </c>
      <c r="C1046" s="5">
        <v>5896851.0300000003</v>
      </c>
    </row>
    <row r="1047" spans="1:3" x14ac:dyDescent="0.25">
      <c r="A1047" s="18" t="s">
        <v>995</v>
      </c>
      <c r="C1047" s="5">
        <v>19117485.66</v>
      </c>
    </row>
    <row r="1048" spans="1:3" x14ac:dyDescent="0.25">
      <c r="A1048" s="19" t="s">
        <v>992</v>
      </c>
      <c r="C1048" s="5">
        <v>19117485.66</v>
      </c>
    </row>
    <row r="1049" spans="1:3" x14ac:dyDescent="0.25">
      <c r="A1049" s="18" t="s">
        <v>1009</v>
      </c>
      <c r="C1049" s="5">
        <v>923215</v>
      </c>
    </row>
    <row r="1050" spans="1:3" x14ac:dyDescent="0.25">
      <c r="A1050" s="19" t="s">
        <v>1006</v>
      </c>
      <c r="C1050" s="5">
        <v>923215</v>
      </c>
    </row>
    <row r="1051" spans="1:3" x14ac:dyDescent="0.25">
      <c r="A1051" s="18" t="s">
        <v>1029</v>
      </c>
      <c r="C1051" s="5">
        <v>487500</v>
      </c>
    </row>
    <row r="1052" spans="1:3" x14ac:dyDescent="0.25">
      <c r="A1052" s="19" t="s">
        <v>1026</v>
      </c>
      <c r="C1052" s="5">
        <v>487500</v>
      </c>
    </row>
    <row r="1053" spans="1:3" x14ac:dyDescent="0.25">
      <c r="A1053" s="18" t="s">
        <v>1034</v>
      </c>
      <c r="C1053" s="5">
        <v>314874</v>
      </c>
    </row>
    <row r="1054" spans="1:3" x14ac:dyDescent="0.25">
      <c r="A1054" s="19" t="s">
        <v>1031</v>
      </c>
      <c r="C1054" s="5">
        <v>314874</v>
      </c>
    </row>
    <row r="1055" spans="1:3" x14ac:dyDescent="0.25">
      <c r="A1055" s="18" t="s">
        <v>1048</v>
      </c>
      <c r="C1055" s="5">
        <v>291822.3</v>
      </c>
    </row>
    <row r="1056" spans="1:3" x14ac:dyDescent="0.25">
      <c r="A1056" s="19" t="s">
        <v>1045</v>
      </c>
      <c r="C1056" s="5">
        <v>291822.3</v>
      </c>
    </row>
    <row r="1057" spans="1:3" x14ac:dyDescent="0.25">
      <c r="A1057" s="18" t="s">
        <v>1054</v>
      </c>
      <c r="C1057" s="5">
        <v>11126228.68</v>
      </c>
    </row>
    <row r="1058" spans="1:3" x14ac:dyDescent="0.25">
      <c r="A1058" s="19" t="s">
        <v>1051</v>
      </c>
      <c r="C1058" s="5">
        <v>8059705.7800000003</v>
      </c>
    </row>
    <row r="1059" spans="1:3" x14ac:dyDescent="0.25">
      <c r="A1059" s="19" t="s">
        <v>1080</v>
      </c>
      <c r="C1059" s="5">
        <v>3066522.9</v>
      </c>
    </row>
    <row r="1060" spans="1:3" x14ac:dyDescent="0.25">
      <c r="A1060" s="18" t="s">
        <v>1059</v>
      </c>
      <c r="C1060" s="5">
        <v>689701.39</v>
      </c>
    </row>
    <row r="1061" spans="1:3" x14ac:dyDescent="0.25">
      <c r="A1061" s="19" t="s">
        <v>1056</v>
      </c>
      <c r="C1061" s="5">
        <v>689701.39</v>
      </c>
    </row>
    <row r="1062" spans="1:3" x14ac:dyDescent="0.25">
      <c r="A1062" s="18" t="s">
        <v>1091</v>
      </c>
      <c r="C1062" s="5">
        <v>191590</v>
      </c>
    </row>
    <row r="1063" spans="1:3" x14ac:dyDescent="0.25">
      <c r="A1063" s="19" t="s">
        <v>1088</v>
      </c>
      <c r="C1063" s="5">
        <v>191590</v>
      </c>
    </row>
    <row r="1064" spans="1:3" x14ac:dyDescent="0.25">
      <c r="A1064" s="18" t="s">
        <v>1096</v>
      </c>
      <c r="C1064" s="5">
        <v>16612400</v>
      </c>
    </row>
    <row r="1065" spans="1:3" x14ac:dyDescent="0.25">
      <c r="A1065" s="19" t="s">
        <v>1093</v>
      </c>
      <c r="C1065" s="5">
        <v>8306200</v>
      </c>
    </row>
    <row r="1066" spans="1:3" x14ac:dyDescent="0.25">
      <c r="A1066" s="19" t="s">
        <v>2009</v>
      </c>
      <c r="C1066" s="5">
        <v>8306200</v>
      </c>
    </row>
    <row r="1067" spans="1:3" x14ac:dyDescent="0.25">
      <c r="A1067" s="18" t="s">
        <v>1102</v>
      </c>
      <c r="C1067" s="5">
        <v>110908</v>
      </c>
    </row>
    <row r="1068" spans="1:3" x14ac:dyDescent="0.25">
      <c r="A1068" s="19" t="s">
        <v>1099</v>
      </c>
      <c r="C1068" s="5">
        <v>110908</v>
      </c>
    </row>
    <row r="1069" spans="1:3" x14ac:dyDescent="0.25">
      <c r="A1069" s="18" t="s">
        <v>1107</v>
      </c>
      <c r="C1069" s="5">
        <v>571200</v>
      </c>
    </row>
    <row r="1070" spans="1:3" x14ac:dyDescent="0.25">
      <c r="A1070" s="19" t="s">
        <v>1104</v>
      </c>
      <c r="C1070" s="5">
        <v>571200</v>
      </c>
    </row>
    <row r="1071" spans="1:3" x14ac:dyDescent="0.25">
      <c r="A1071" s="18" t="s">
        <v>1117</v>
      </c>
      <c r="C1071" s="5">
        <v>2556114.89</v>
      </c>
    </row>
    <row r="1072" spans="1:3" x14ac:dyDescent="0.25">
      <c r="A1072" s="19" t="s">
        <v>1114</v>
      </c>
      <c r="C1072" s="5">
        <v>474881.4</v>
      </c>
    </row>
    <row r="1073" spans="1:3" x14ac:dyDescent="0.25">
      <c r="A1073" s="19" t="s">
        <v>1119</v>
      </c>
      <c r="C1073" s="5">
        <v>67592</v>
      </c>
    </row>
    <row r="1074" spans="1:3" x14ac:dyDescent="0.25">
      <c r="A1074" s="19" t="s">
        <v>2092</v>
      </c>
      <c r="C1074" s="5">
        <v>527980.39</v>
      </c>
    </row>
    <row r="1075" spans="1:3" x14ac:dyDescent="0.25">
      <c r="A1075" s="19" t="s">
        <v>2268</v>
      </c>
      <c r="C1075" s="5">
        <v>1179825.5</v>
      </c>
    </row>
    <row r="1076" spans="1:3" x14ac:dyDescent="0.25">
      <c r="A1076" s="19" t="s">
        <v>3904</v>
      </c>
      <c r="C1076" s="5">
        <v>305835.59999999998</v>
      </c>
    </row>
    <row r="1077" spans="1:3" x14ac:dyDescent="0.25">
      <c r="A1077" s="18" t="s">
        <v>1139</v>
      </c>
      <c r="C1077" s="5">
        <v>1079330</v>
      </c>
    </row>
    <row r="1078" spans="1:3" x14ac:dyDescent="0.25">
      <c r="A1078" s="19" t="s">
        <v>1136</v>
      </c>
      <c r="C1078" s="5">
        <v>1079330</v>
      </c>
    </row>
    <row r="1079" spans="1:3" x14ac:dyDescent="0.25">
      <c r="A1079" s="18" t="s">
        <v>1161</v>
      </c>
      <c r="C1079" s="5">
        <v>10299385.74</v>
      </c>
    </row>
    <row r="1080" spans="1:3" x14ac:dyDescent="0.25">
      <c r="A1080" s="19" t="s">
        <v>1158</v>
      </c>
      <c r="C1080" s="5">
        <v>5694085.7400000002</v>
      </c>
    </row>
    <row r="1081" spans="1:3" x14ac:dyDescent="0.25">
      <c r="A1081" s="19" t="s">
        <v>3470</v>
      </c>
      <c r="C1081" s="5">
        <v>4605300</v>
      </c>
    </row>
    <row r="1082" spans="1:3" x14ac:dyDescent="0.25">
      <c r="A1082" s="18" t="s">
        <v>1176</v>
      </c>
      <c r="C1082" s="5">
        <v>715894.48</v>
      </c>
    </row>
    <row r="1083" spans="1:3" x14ac:dyDescent="0.25">
      <c r="A1083" s="19" t="s">
        <v>1173</v>
      </c>
      <c r="C1083" s="5">
        <v>715894.48</v>
      </c>
    </row>
    <row r="1084" spans="1:3" x14ac:dyDescent="0.25">
      <c r="A1084" s="18" t="s">
        <v>1189</v>
      </c>
      <c r="C1084" s="5">
        <v>95081</v>
      </c>
    </row>
    <row r="1085" spans="1:3" x14ac:dyDescent="0.25">
      <c r="A1085" s="19" t="s">
        <v>1186</v>
      </c>
      <c r="C1085" s="5">
        <v>95081</v>
      </c>
    </row>
    <row r="1086" spans="1:3" x14ac:dyDescent="0.25">
      <c r="A1086" s="18" t="s">
        <v>1195</v>
      </c>
      <c r="C1086" s="5">
        <v>39641.279999999999</v>
      </c>
    </row>
    <row r="1087" spans="1:3" x14ac:dyDescent="0.25">
      <c r="A1087" s="19" t="s">
        <v>1192</v>
      </c>
      <c r="C1087" s="5">
        <v>39641.279999999999</v>
      </c>
    </row>
    <row r="1088" spans="1:3" x14ac:dyDescent="0.25">
      <c r="A1088" s="18" t="s">
        <v>1200</v>
      </c>
      <c r="C1088" s="5">
        <v>111283.48</v>
      </c>
    </row>
    <row r="1089" spans="1:3" x14ac:dyDescent="0.25">
      <c r="A1089" s="19" t="s">
        <v>1197</v>
      </c>
      <c r="C1089" s="5">
        <v>111283.48</v>
      </c>
    </row>
    <row r="1090" spans="1:3" x14ac:dyDescent="0.25">
      <c r="A1090" s="18" t="s">
        <v>1205</v>
      </c>
      <c r="C1090" s="5">
        <v>3078782.47</v>
      </c>
    </row>
    <row r="1091" spans="1:3" x14ac:dyDescent="0.25">
      <c r="A1091" s="19" t="s">
        <v>1202</v>
      </c>
      <c r="C1091" s="5">
        <v>115906</v>
      </c>
    </row>
    <row r="1092" spans="1:3" x14ac:dyDescent="0.25">
      <c r="A1092" s="19" t="s">
        <v>1610</v>
      </c>
      <c r="C1092" s="5">
        <v>501061.59</v>
      </c>
    </row>
    <row r="1093" spans="1:3" x14ac:dyDescent="0.25">
      <c r="A1093" s="19" t="s">
        <v>2571</v>
      </c>
      <c r="C1093" s="5">
        <v>1448349</v>
      </c>
    </row>
    <row r="1094" spans="1:3" x14ac:dyDescent="0.25">
      <c r="A1094" s="19" t="s">
        <v>3849</v>
      </c>
      <c r="C1094" s="5">
        <v>1013465.88</v>
      </c>
    </row>
    <row r="1095" spans="1:3" x14ac:dyDescent="0.25">
      <c r="A1095" s="18" t="s">
        <v>1210</v>
      </c>
      <c r="C1095" s="5">
        <v>3258971</v>
      </c>
    </row>
    <row r="1096" spans="1:3" x14ac:dyDescent="0.25">
      <c r="A1096" s="19" t="s">
        <v>1207</v>
      </c>
      <c r="C1096" s="5">
        <v>3258971</v>
      </c>
    </row>
    <row r="1097" spans="1:3" x14ac:dyDescent="0.25">
      <c r="A1097" s="18" t="s">
        <v>1225</v>
      </c>
      <c r="C1097" s="5">
        <v>553269.35000000009</v>
      </c>
    </row>
    <row r="1098" spans="1:3" x14ac:dyDescent="0.25">
      <c r="A1098" s="19" t="s">
        <v>1221</v>
      </c>
      <c r="C1098" s="5">
        <v>343416.15</v>
      </c>
    </row>
    <row r="1099" spans="1:3" x14ac:dyDescent="0.25">
      <c r="A1099" s="19" t="s">
        <v>1227</v>
      </c>
      <c r="C1099" s="5">
        <v>209853.2</v>
      </c>
    </row>
    <row r="1100" spans="1:3" x14ac:dyDescent="0.25">
      <c r="A1100" s="18" t="s">
        <v>1233</v>
      </c>
      <c r="C1100" s="5">
        <v>7445235</v>
      </c>
    </row>
    <row r="1101" spans="1:3" x14ac:dyDescent="0.25">
      <c r="A1101" s="19" t="s">
        <v>1230</v>
      </c>
      <c r="C1101" s="5">
        <v>7445235</v>
      </c>
    </row>
    <row r="1102" spans="1:3" x14ac:dyDescent="0.25">
      <c r="A1102" s="18" t="s">
        <v>1238</v>
      </c>
      <c r="C1102" s="5">
        <v>1623755</v>
      </c>
    </row>
    <row r="1103" spans="1:3" x14ac:dyDescent="0.25">
      <c r="A1103" s="19" t="s">
        <v>1235</v>
      </c>
      <c r="C1103" s="5">
        <v>1623755</v>
      </c>
    </row>
    <row r="1104" spans="1:3" x14ac:dyDescent="0.25">
      <c r="A1104" s="18" t="s">
        <v>1251</v>
      </c>
      <c r="C1104" s="5">
        <v>10623491.76</v>
      </c>
    </row>
    <row r="1105" spans="1:3" x14ac:dyDescent="0.25">
      <c r="A1105" s="19" t="s">
        <v>1248</v>
      </c>
      <c r="C1105" s="5">
        <v>5311745.88</v>
      </c>
    </row>
    <row r="1106" spans="1:3" x14ac:dyDescent="0.25">
      <c r="A1106" s="19" t="s">
        <v>2459</v>
      </c>
      <c r="C1106" s="5">
        <v>5311745.88</v>
      </c>
    </row>
    <row r="1107" spans="1:3" x14ac:dyDescent="0.25">
      <c r="A1107" s="18" t="s">
        <v>1285</v>
      </c>
      <c r="C1107" s="5">
        <v>7099804.1799999997</v>
      </c>
    </row>
    <row r="1108" spans="1:3" x14ac:dyDescent="0.25">
      <c r="A1108" s="19" t="s">
        <v>1282</v>
      </c>
      <c r="C1108" s="5">
        <v>7099804.1799999997</v>
      </c>
    </row>
    <row r="1109" spans="1:3" x14ac:dyDescent="0.25">
      <c r="A1109" s="18" t="s">
        <v>1301</v>
      </c>
      <c r="C1109" s="5">
        <v>1690321.22</v>
      </c>
    </row>
    <row r="1110" spans="1:3" x14ac:dyDescent="0.25">
      <c r="A1110" s="19" t="s">
        <v>1298</v>
      </c>
      <c r="C1110" s="5">
        <v>1690321.22</v>
      </c>
    </row>
    <row r="1111" spans="1:3" x14ac:dyDescent="0.25">
      <c r="A1111" s="18" t="s">
        <v>1321</v>
      </c>
      <c r="C1111" s="5">
        <v>19565584.920000002</v>
      </c>
    </row>
    <row r="1112" spans="1:3" x14ac:dyDescent="0.25">
      <c r="A1112" s="19" t="s">
        <v>1318</v>
      </c>
      <c r="C1112" s="5">
        <v>117454.19</v>
      </c>
    </row>
    <row r="1113" spans="1:3" x14ac:dyDescent="0.25">
      <c r="A1113" s="19" t="s">
        <v>1323</v>
      </c>
      <c r="C1113" s="5">
        <v>294138.25</v>
      </c>
    </row>
    <row r="1114" spans="1:3" x14ac:dyDescent="0.25">
      <c r="A1114" s="19" t="s">
        <v>1326</v>
      </c>
      <c r="C1114" s="5">
        <v>473610.48</v>
      </c>
    </row>
    <row r="1115" spans="1:3" x14ac:dyDescent="0.25">
      <c r="A1115" s="19" t="s">
        <v>2501</v>
      </c>
      <c r="C1115" s="5">
        <v>18680382</v>
      </c>
    </row>
    <row r="1116" spans="1:3" x14ac:dyDescent="0.25">
      <c r="A1116" s="18" t="s">
        <v>1337</v>
      </c>
      <c r="C1116" s="5">
        <v>4475887.5</v>
      </c>
    </row>
    <row r="1117" spans="1:3" x14ac:dyDescent="0.25">
      <c r="A1117" s="19" t="s">
        <v>1334</v>
      </c>
      <c r="C1117" s="5">
        <v>4475887.5</v>
      </c>
    </row>
    <row r="1118" spans="1:3" x14ac:dyDescent="0.25">
      <c r="A1118" s="18" t="s">
        <v>1364</v>
      </c>
      <c r="C1118" s="5">
        <v>343433.54</v>
      </c>
    </row>
    <row r="1119" spans="1:3" x14ac:dyDescent="0.25">
      <c r="A1119" s="19" t="s">
        <v>1361</v>
      </c>
      <c r="C1119" s="5">
        <v>343433.54</v>
      </c>
    </row>
    <row r="1120" spans="1:3" x14ac:dyDescent="0.25">
      <c r="A1120" s="18" t="s">
        <v>1384</v>
      </c>
      <c r="C1120" s="5">
        <v>761600</v>
      </c>
    </row>
    <row r="1121" spans="1:3" x14ac:dyDescent="0.25">
      <c r="A1121" s="19" t="s">
        <v>1381</v>
      </c>
      <c r="C1121" s="5">
        <v>761600</v>
      </c>
    </row>
    <row r="1122" spans="1:3" x14ac:dyDescent="0.25">
      <c r="A1122" s="18" t="s">
        <v>1389</v>
      </c>
      <c r="C1122" s="5">
        <v>689248</v>
      </c>
    </row>
    <row r="1123" spans="1:3" x14ac:dyDescent="0.25">
      <c r="A1123" s="19" t="s">
        <v>1386</v>
      </c>
      <c r="C1123" s="5">
        <v>689248</v>
      </c>
    </row>
    <row r="1124" spans="1:3" x14ac:dyDescent="0.25">
      <c r="A1124" s="18" t="s">
        <v>1430</v>
      </c>
      <c r="C1124" s="5">
        <v>1785000</v>
      </c>
    </row>
    <row r="1125" spans="1:3" x14ac:dyDescent="0.25">
      <c r="A1125" s="19" t="s">
        <v>1427</v>
      </c>
      <c r="C1125" s="5">
        <v>499800</v>
      </c>
    </row>
    <row r="1126" spans="1:3" x14ac:dyDescent="0.25">
      <c r="A1126" s="19" t="s">
        <v>1868</v>
      </c>
      <c r="C1126" s="5">
        <v>1285200</v>
      </c>
    </row>
    <row r="1127" spans="1:3" x14ac:dyDescent="0.25">
      <c r="A1127" s="18" t="s">
        <v>1452</v>
      </c>
      <c r="C1127" s="5">
        <v>15301091.4</v>
      </c>
    </row>
    <row r="1128" spans="1:3" x14ac:dyDescent="0.25">
      <c r="A1128" s="19" t="s">
        <v>1449</v>
      </c>
      <c r="C1128" s="5">
        <v>15301091.4</v>
      </c>
    </row>
    <row r="1129" spans="1:3" x14ac:dyDescent="0.25">
      <c r="A1129" s="18" t="s">
        <v>1465</v>
      </c>
      <c r="C1129" s="5">
        <v>237762</v>
      </c>
    </row>
    <row r="1130" spans="1:3" x14ac:dyDescent="0.25">
      <c r="A1130" s="19" t="s">
        <v>1462</v>
      </c>
      <c r="C1130" s="5">
        <v>237762</v>
      </c>
    </row>
    <row r="1131" spans="1:3" x14ac:dyDescent="0.25">
      <c r="A1131" s="18" t="s">
        <v>1470</v>
      </c>
      <c r="C1131" s="5">
        <v>357000</v>
      </c>
    </row>
    <row r="1132" spans="1:3" x14ac:dyDescent="0.25">
      <c r="A1132" s="19" t="s">
        <v>1467</v>
      </c>
      <c r="C1132" s="5">
        <v>357000</v>
      </c>
    </row>
    <row r="1133" spans="1:3" x14ac:dyDescent="0.25">
      <c r="A1133" s="18" t="s">
        <v>1545</v>
      </c>
      <c r="C1133" s="5">
        <v>1356600</v>
      </c>
    </row>
    <row r="1134" spans="1:3" x14ac:dyDescent="0.25">
      <c r="A1134" s="19" t="s">
        <v>1542</v>
      </c>
      <c r="C1134" s="5">
        <v>1356600</v>
      </c>
    </row>
    <row r="1135" spans="1:3" x14ac:dyDescent="0.25">
      <c r="A1135" s="18" t="s">
        <v>1550</v>
      </c>
      <c r="C1135" s="5">
        <v>32844</v>
      </c>
    </row>
    <row r="1136" spans="1:3" x14ac:dyDescent="0.25">
      <c r="A1136" s="19" t="s">
        <v>1547</v>
      </c>
      <c r="C1136" s="5">
        <v>32844</v>
      </c>
    </row>
    <row r="1137" spans="1:3" x14ac:dyDescent="0.25">
      <c r="A1137" s="18" t="s">
        <v>1560</v>
      </c>
      <c r="C1137" s="5">
        <v>16865572.5</v>
      </c>
    </row>
    <row r="1138" spans="1:3" x14ac:dyDescent="0.25">
      <c r="A1138" s="19" t="s">
        <v>1557</v>
      </c>
      <c r="C1138" s="5">
        <v>14951160</v>
      </c>
    </row>
    <row r="1139" spans="1:3" x14ac:dyDescent="0.25">
      <c r="A1139" s="19" t="s">
        <v>2032</v>
      </c>
      <c r="C1139" s="5">
        <v>1914412.5</v>
      </c>
    </row>
    <row r="1140" spans="1:3" x14ac:dyDescent="0.25">
      <c r="A1140" s="18" t="s">
        <v>1565</v>
      </c>
      <c r="C1140" s="5">
        <v>175000</v>
      </c>
    </row>
    <row r="1141" spans="1:3" x14ac:dyDescent="0.25">
      <c r="A1141" s="19" t="s">
        <v>1562</v>
      </c>
      <c r="C1141" s="5">
        <v>175000</v>
      </c>
    </row>
    <row r="1142" spans="1:3" x14ac:dyDescent="0.25">
      <c r="A1142" s="18" t="s">
        <v>1602</v>
      </c>
      <c r="C1142" s="5">
        <v>679980.4</v>
      </c>
    </row>
    <row r="1143" spans="1:3" x14ac:dyDescent="0.25">
      <c r="A1143" s="19" t="s">
        <v>1599</v>
      </c>
      <c r="C1143" s="5">
        <v>679980.4</v>
      </c>
    </row>
    <row r="1144" spans="1:3" x14ac:dyDescent="0.25">
      <c r="A1144" s="18" t="s">
        <v>1617</v>
      </c>
      <c r="C1144" s="5">
        <v>4343559.5</v>
      </c>
    </row>
    <row r="1145" spans="1:3" x14ac:dyDescent="0.25">
      <c r="A1145" s="19" t="s">
        <v>1613</v>
      </c>
      <c r="C1145" s="5">
        <v>4343559.5</v>
      </c>
    </row>
    <row r="1146" spans="1:3" x14ac:dyDescent="0.25">
      <c r="A1146" s="18" t="s">
        <v>1640</v>
      </c>
      <c r="C1146" s="5">
        <v>4066300</v>
      </c>
    </row>
    <row r="1147" spans="1:3" x14ac:dyDescent="0.25">
      <c r="A1147" s="19" t="s">
        <v>1637</v>
      </c>
      <c r="C1147" s="5">
        <v>321300</v>
      </c>
    </row>
    <row r="1148" spans="1:3" x14ac:dyDescent="0.25">
      <c r="A1148" s="19" t="s">
        <v>3538</v>
      </c>
      <c r="C1148" s="5">
        <v>3210000</v>
      </c>
    </row>
    <row r="1149" spans="1:3" x14ac:dyDescent="0.25">
      <c r="A1149" s="19" t="s">
        <v>3554</v>
      </c>
      <c r="C1149" s="5">
        <v>535000</v>
      </c>
    </row>
    <row r="1150" spans="1:3" x14ac:dyDescent="0.25">
      <c r="A1150" s="18" t="s">
        <v>1648</v>
      </c>
      <c r="C1150" s="5">
        <v>6854400</v>
      </c>
    </row>
    <row r="1151" spans="1:3" x14ac:dyDescent="0.25">
      <c r="A1151" s="19" t="s">
        <v>1645</v>
      </c>
      <c r="C1151" s="5">
        <v>6854400</v>
      </c>
    </row>
    <row r="1152" spans="1:3" x14ac:dyDescent="0.25">
      <c r="A1152" s="18" t="s">
        <v>1671</v>
      </c>
      <c r="B1152">
        <v>1</v>
      </c>
      <c r="C1152" s="5">
        <v>23256408</v>
      </c>
    </row>
    <row r="1153" spans="1:3" x14ac:dyDescent="0.25">
      <c r="A1153" s="19" t="s">
        <v>1668</v>
      </c>
      <c r="C1153" s="5">
        <v>8751022</v>
      </c>
    </row>
    <row r="1154" spans="1:3" x14ac:dyDescent="0.25">
      <c r="A1154" s="19" t="s">
        <v>1673</v>
      </c>
      <c r="C1154" s="5">
        <v>1656361</v>
      </c>
    </row>
    <row r="1155" spans="1:3" x14ac:dyDescent="0.25">
      <c r="A1155" s="19" t="s">
        <v>2355</v>
      </c>
      <c r="C1155" s="5">
        <v>12137405</v>
      </c>
    </row>
    <row r="1156" spans="1:3" x14ac:dyDescent="0.25">
      <c r="A1156" s="19">
        <v>105157</v>
      </c>
      <c r="B1156">
        <v>1</v>
      </c>
      <c r="C1156" s="5">
        <v>711620</v>
      </c>
    </row>
    <row r="1157" spans="1:3" x14ac:dyDescent="0.25">
      <c r="A1157" s="18" t="s">
        <v>1680</v>
      </c>
      <c r="C1157" s="5">
        <v>1517059.6</v>
      </c>
    </row>
    <row r="1158" spans="1:3" x14ac:dyDescent="0.25">
      <c r="A1158" s="19" t="s">
        <v>1677</v>
      </c>
      <c r="C1158" s="5">
        <v>1517059.6</v>
      </c>
    </row>
    <row r="1159" spans="1:3" x14ac:dyDescent="0.25">
      <c r="A1159" s="18" t="s">
        <v>1724</v>
      </c>
      <c r="C1159" s="5">
        <v>1124550</v>
      </c>
    </row>
    <row r="1160" spans="1:3" x14ac:dyDescent="0.25">
      <c r="A1160" s="19" t="s">
        <v>1721</v>
      </c>
      <c r="C1160" s="5">
        <v>1124550</v>
      </c>
    </row>
    <row r="1161" spans="1:3" x14ac:dyDescent="0.25">
      <c r="A1161" s="18" t="s">
        <v>1732</v>
      </c>
      <c r="C1161" s="5">
        <v>15323699.02</v>
      </c>
    </row>
    <row r="1162" spans="1:3" x14ac:dyDescent="0.25">
      <c r="A1162" s="19" t="s">
        <v>1729</v>
      </c>
      <c r="C1162" s="5">
        <v>2082500</v>
      </c>
    </row>
    <row r="1163" spans="1:3" x14ac:dyDescent="0.25">
      <c r="A1163" s="19" t="s">
        <v>1985</v>
      </c>
      <c r="C1163" s="5">
        <v>3722389.02</v>
      </c>
    </row>
    <row r="1164" spans="1:3" x14ac:dyDescent="0.25">
      <c r="A1164" s="19" t="s">
        <v>2610</v>
      </c>
      <c r="C1164" s="5">
        <v>9518810</v>
      </c>
    </row>
    <row r="1165" spans="1:3" x14ac:dyDescent="0.25">
      <c r="A1165" s="18" t="s">
        <v>1742</v>
      </c>
      <c r="C1165" s="5">
        <v>18564000</v>
      </c>
    </row>
    <row r="1166" spans="1:3" x14ac:dyDescent="0.25">
      <c r="A1166" s="19" t="s">
        <v>1739</v>
      </c>
      <c r="C1166" s="5">
        <v>18564000</v>
      </c>
    </row>
    <row r="1167" spans="1:3" x14ac:dyDescent="0.25">
      <c r="A1167" s="18" t="s">
        <v>1747</v>
      </c>
      <c r="C1167" s="5">
        <v>904400</v>
      </c>
    </row>
    <row r="1168" spans="1:3" x14ac:dyDescent="0.25">
      <c r="A1168" s="19" t="s">
        <v>1744</v>
      </c>
      <c r="C1168" s="5">
        <v>904400</v>
      </c>
    </row>
    <row r="1169" spans="1:3" x14ac:dyDescent="0.25">
      <c r="A1169" s="18" t="s">
        <v>1755</v>
      </c>
      <c r="C1169" s="5">
        <v>3177300</v>
      </c>
    </row>
    <row r="1170" spans="1:3" x14ac:dyDescent="0.25">
      <c r="A1170" s="19" t="s">
        <v>1752</v>
      </c>
      <c r="C1170" s="5">
        <v>1588650</v>
      </c>
    </row>
    <row r="1171" spans="1:3" x14ac:dyDescent="0.25">
      <c r="A1171" s="19" t="s">
        <v>1757</v>
      </c>
      <c r="C1171" s="5">
        <v>1588650</v>
      </c>
    </row>
    <row r="1172" spans="1:3" x14ac:dyDescent="0.25">
      <c r="A1172" s="18" t="s">
        <v>1769</v>
      </c>
      <c r="C1172" s="5">
        <v>1408293.6</v>
      </c>
    </row>
    <row r="1173" spans="1:3" x14ac:dyDescent="0.25">
      <c r="A1173" s="19" t="s">
        <v>1766</v>
      </c>
      <c r="C1173" s="5">
        <v>1408293.6</v>
      </c>
    </row>
    <row r="1174" spans="1:3" x14ac:dyDescent="0.25">
      <c r="A1174" s="18" t="s">
        <v>1785</v>
      </c>
      <c r="C1174" s="5">
        <v>2337439.65</v>
      </c>
    </row>
    <row r="1175" spans="1:3" x14ac:dyDescent="0.25">
      <c r="A1175" s="19" t="s">
        <v>1782</v>
      </c>
      <c r="C1175" s="5">
        <v>2337439.65</v>
      </c>
    </row>
    <row r="1176" spans="1:3" x14ac:dyDescent="0.25">
      <c r="A1176" s="18" t="s">
        <v>1789</v>
      </c>
      <c r="C1176" s="5">
        <v>3120890.73</v>
      </c>
    </row>
    <row r="1177" spans="1:3" x14ac:dyDescent="0.25">
      <c r="A1177" s="19">
        <v>105021</v>
      </c>
      <c r="C1177" s="5">
        <v>3120890.73</v>
      </c>
    </row>
    <row r="1178" spans="1:3" x14ac:dyDescent="0.25">
      <c r="A1178" s="18" t="s">
        <v>1794</v>
      </c>
      <c r="C1178" s="5">
        <v>19199514.739999998</v>
      </c>
    </row>
    <row r="1179" spans="1:3" x14ac:dyDescent="0.25">
      <c r="A1179" s="19" t="s">
        <v>1791</v>
      </c>
      <c r="C1179" s="5">
        <v>6611111.6399999997</v>
      </c>
    </row>
    <row r="1180" spans="1:3" x14ac:dyDescent="0.25">
      <c r="A1180" s="19" t="s">
        <v>1796</v>
      </c>
      <c r="C1180" s="5">
        <v>6611111.6399999997</v>
      </c>
    </row>
    <row r="1181" spans="1:3" x14ac:dyDescent="0.25">
      <c r="A1181" s="19" t="s">
        <v>1820</v>
      </c>
      <c r="C1181" s="5">
        <v>5977291.46</v>
      </c>
    </row>
    <row r="1182" spans="1:3" x14ac:dyDescent="0.25">
      <c r="A1182" s="18" t="s">
        <v>1818</v>
      </c>
      <c r="C1182" s="5">
        <v>2434809.02</v>
      </c>
    </row>
    <row r="1183" spans="1:3" x14ac:dyDescent="0.25">
      <c r="A1183" s="19" t="s">
        <v>1815</v>
      </c>
      <c r="C1183" s="5">
        <v>2434809.02</v>
      </c>
    </row>
    <row r="1184" spans="1:3" x14ac:dyDescent="0.25">
      <c r="A1184" s="18" t="s">
        <v>1826</v>
      </c>
      <c r="C1184" s="5">
        <v>364140</v>
      </c>
    </row>
    <row r="1185" spans="1:3" x14ac:dyDescent="0.25">
      <c r="A1185" s="19" t="s">
        <v>1823</v>
      </c>
      <c r="C1185" s="5">
        <v>364140</v>
      </c>
    </row>
    <row r="1186" spans="1:3" x14ac:dyDescent="0.25">
      <c r="A1186" s="18" t="s">
        <v>1847</v>
      </c>
      <c r="C1186" s="5">
        <v>22066170</v>
      </c>
    </row>
    <row r="1187" spans="1:3" x14ac:dyDescent="0.25">
      <c r="A1187" s="19" t="s">
        <v>1844</v>
      </c>
      <c r="C1187" s="5">
        <v>22066170</v>
      </c>
    </row>
    <row r="1188" spans="1:3" x14ac:dyDescent="0.25">
      <c r="A1188" s="18" t="s">
        <v>1857</v>
      </c>
      <c r="C1188" s="5">
        <v>34347251.530000001</v>
      </c>
    </row>
    <row r="1189" spans="1:3" x14ac:dyDescent="0.25">
      <c r="A1189" s="19" t="s">
        <v>1854</v>
      </c>
      <c r="C1189" s="5">
        <v>13276258.800000001</v>
      </c>
    </row>
    <row r="1190" spans="1:3" x14ac:dyDescent="0.25">
      <c r="A1190" s="19" t="s">
        <v>2136</v>
      </c>
      <c r="C1190" s="5">
        <v>6234172</v>
      </c>
    </row>
    <row r="1191" spans="1:3" x14ac:dyDescent="0.25">
      <c r="A1191" s="19" t="s">
        <v>4037</v>
      </c>
      <c r="C1191" s="5">
        <v>13955685.23</v>
      </c>
    </row>
    <row r="1192" spans="1:3" x14ac:dyDescent="0.25">
      <c r="A1192" s="19" t="s">
        <v>4097</v>
      </c>
      <c r="C1192" s="5">
        <v>881135.5</v>
      </c>
    </row>
    <row r="1193" spans="1:3" x14ac:dyDescent="0.25">
      <c r="A1193" s="18" t="s">
        <v>1874</v>
      </c>
      <c r="C1193" s="5">
        <v>42674718.460000001</v>
      </c>
    </row>
    <row r="1194" spans="1:3" x14ac:dyDescent="0.25">
      <c r="A1194" s="19" t="s">
        <v>1871</v>
      </c>
      <c r="C1194" s="5">
        <v>6527047.8700000001</v>
      </c>
    </row>
    <row r="1195" spans="1:3" x14ac:dyDescent="0.25">
      <c r="A1195" s="19" t="s">
        <v>1876</v>
      </c>
      <c r="C1195" s="5">
        <v>5471398.6600000001</v>
      </c>
    </row>
    <row r="1196" spans="1:3" x14ac:dyDescent="0.25">
      <c r="A1196" s="19" t="s">
        <v>1879</v>
      </c>
      <c r="C1196" s="5">
        <v>20495312.579999998</v>
      </c>
    </row>
    <row r="1197" spans="1:3" x14ac:dyDescent="0.25">
      <c r="A1197" s="19" t="s">
        <v>1996</v>
      </c>
      <c r="C1197" s="5">
        <v>2014311.88</v>
      </c>
    </row>
    <row r="1198" spans="1:3" x14ac:dyDescent="0.25">
      <c r="A1198" s="19" t="s">
        <v>1999</v>
      </c>
      <c r="C1198" s="5">
        <v>8166647.4699999997</v>
      </c>
    </row>
    <row r="1199" spans="1:3" x14ac:dyDescent="0.25">
      <c r="A1199" s="18" t="s">
        <v>1890</v>
      </c>
      <c r="C1199" s="5">
        <v>5109270.95</v>
      </c>
    </row>
    <row r="1200" spans="1:3" x14ac:dyDescent="0.25">
      <c r="A1200" s="19" t="s">
        <v>1887</v>
      </c>
      <c r="C1200" s="5">
        <v>5109270.95</v>
      </c>
    </row>
    <row r="1201" spans="1:3" x14ac:dyDescent="0.25">
      <c r="A1201" s="18" t="s">
        <v>1920</v>
      </c>
      <c r="C1201" s="5">
        <v>3370903.48</v>
      </c>
    </row>
    <row r="1202" spans="1:3" x14ac:dyDescent="0.25">
      <c r="A1202" s="19" t="s">
        <v>1917</v>
      </c>
      <c r="C1202" s="5">
        <v>3370903.48</v>
      </c>
    </row>
    <row r="1203" spans="1:3" x14ac:dyDescent="0.25">
      <c r="A1203" s="18" t="s">
        <v>1925</v>
      </c>
      <c r="C1203" s="5">
        <v>2180784.48</v>
      </c>
    </row>
    <row r="1204" spans="1:3" x14ac:dyDescent="0.25">
      <c r="A1204" s="19" t="s">
        <v>1922</v>
      </c>
      <c r="C1204" s="5">
        <v>1852344.48</v>
      </c>
    </row>
    <row r="1205" spans="1:3" x14ac:dyDescent="0.25">
      <c r="A1205" s="19" t="s">
        <v>4259</v>
      </c>
      <c r="C1205" s="5">
        <v>328440</v>
      </c>
    </row>
    <row r="1206" spans="1:3" x14ac:dyDescent="0.25">
      <c r="A1206" s="18" t="s">
        <v>1930</v>
      </c>
      <c r="C1206" s="5">
        <v>175126.35</v>
      </c>
    </row>
    <row r="1207" spans="1:3" x14ac:dyDescent="0.25">
      <c r="A1207" s="19" t="s">
        <v>1927</v>
      </c>
      <c r="C1207" s="5">
        <v>87465</v>
      </c>
    </row>
    <row r="1208" spans="1:3" x14ac:dyDescent="0.25">
      <c r="A1208" s="19" t="s">
        <v>3585</v>
      </c>
      <c r="C1208" s="5">
        <v>87661.35</v>
      </c>
    </row>
    <row r="1209" spans="1:3" x14ac:dyDescent="0.25">
      <c r="A1209" s="18" t="s">
        <v>1940</v>
      </c>
      <c r="C1209" s="5">
        <v>303450</v>
      </c>
    </row>
    <row r="1210" spans="1:3" x14ac:dyDescent="0.25">
      <c r="A1210" s="19" t="s">
        <v>1937</v>
      </c>
      <c r="C1210" s="5">
        <v>303450</v>
      </c>
    </row>
    <row r="1211" spans="1:3" x14ac:dyDescent="0.25">
      <c r="A1211" s="18" t="s">
        <v>1957</v>
      </c>
      <c r="C1211" s="5">
        <v>2856000</v>
      </c>
    </row>
    <row r="1212" spans="1:3" x14ac:dyDescent="0.25">
      <c r="A1212" s="19" t="s">
        <v>1954</v>
      </c>
      <c r="C1212" s="5">
        <v>2856000</v>
      </c>
    </row>
    <row r="1213" spans="1:3" x14ac:dyDescent="0.25">
      <c r="A1213" s="18" t="s">
        <v>1991</v>
      </c>
      <c r="C1213" s="5">
        <v>9418160.4600000009</v>
      </c>
    </row>
    <row r="1214" spans="1:3" x14ac:dyDescent="0.25">
      <c r="A1214" s="19" t="s">
        <v>1988</v>
      </c>
      <c r="C1214" s="5">
        <v>9418160.4600000009</v>
      </c>
    </row>
    <row r="1215" spans="1:3" x14ac:dyDescent="0.25">
      <c r="A1215" s="18" t="s">
        <v>2058</v>
      </c>
      <c r="C1215" s="5">
        <v>2457350</v>
      </c>
    </row>
    <row r="1216" spans="1:3" x14ac:dyDescent="0.25">
      <c r="A1216" s="19" t="s">
        <v>2055</v>
      </c>
      <c r="C1216" s="5">
        <v>1731450</v>
      </c>
    </row>
    <row r="1217" spans="1:3" x14ac:dyDescent="0.25">
      <c r="A1217" s="19" t="s">
        <v>2511</v>
      </c>
      <c r="C1217" s="5">
        <v>362950</v>
      </c>
    </row>
    <row r="1218" spans="1:3" x14ac:dyDescent="0.25">
      <c r="A1218" s="19" t="s">
        <v>3697</v>
      </c>
      <c r="C1218" s="5">
        <v>362950</v>
      </c>
    </row>
    <row r="1219" spans="1:3" x14ac:dyDescent="0.25">
      <c r="A1219" s="18" t="s">
        <v>2063</v>
      </c>
      <c r="C1219" s="5">
        <v>831249.51</v>
      </c>
    </row>
    <row r="1220" spans="1:3" x14ac:dyDescent="0.25">
      <c r="A1220" s="19" t="s">
        <v>2060</v>
      </c>
      <c r="C1220" s="5">
        <v>831249.51</v>
      </c>
    </row>
    <row r="1221" spans="1:3" x14ac:dyDescent="0.25">
      <c r="A1221" s="18" t="s">
        <v>2071</v>
      </c>
      <c r="C1221" s="5">
        <v>7621950</v>
      </c>
    </row>
    <row r="1222" spans="1:3" x14ac:dyDescent="0.25">
      <c r="A1222" s="19" t="s">
        <v>2068</v>
      </c>
      <c r="C1222" s="5">
        <v>7621950</v>
      </c>
    </row>
    <row r="1223" spans="1:3" x14ac:dyDescent="0.25">
      <c r="A1223" s="18" t="s">
        <v>2080</v>
      </c>
      <c r="C1223" s="5">
        <v>392938</v>
      </c>
    </row>
    <row r="1224" spans="1:3" x14ac:dyDescent="0.25">
      <c r="A1224" s="19" t="s">
        <v>2077</v>
      </c>
      <c r="C1224" s="5">
        <v>392938</v>
      </c>
    </row>
    <row r="1225" spans="1:3" x14ac:dyDescent="0.25">
      <c r="A1225" s="18" t="s">
        <v>2085</v>
      </c>
      <c r="C1225" s="5">
        <v>3183547.5</v>
      </c>
    </row>
    <row r="1226" spans="1:3" x14ac:dyDescent="0.25">
      <c r="A1226" s="19" t="s">
        <v>2082</v>
      </c>
      <c r="C1226" s="5">
        <v>3183547.5</v>
      </c>
    </row>
    <row r="1227" spans="1:3" x14ac:dyDescent="0.25">
      <c r="A1227" s="18" t="s">
        <v>2101</v>
      </c>
      <c r="C1227" s="5">
        <v>322490</v>
      </c>
    </row>
    <row r="1228" spans="1:3" x14ac:dyDescent="0.25">
      <c r="A1228" s="19" t="s">
        <v>2098</v>
      </c>
      <c r="C1228" s="5">
        <v>322490</v>
      </c>
    </row>
    <row r="1229" spans="1:3" x14ac:dyDescent="0.25">
      <c r="A1229" s="18" t="s">
        <v>2111</v>
      </c>
      <c r="C1229" s="5">
        <v>4998000</v>
      </c>
    </row>
    <row r="1230" spans="1:3" x14ac:dyDescent="0.25">
      <c r="A1230" s="19" t="s">
        <v>2108</v>
      </c>
      <c r="C1230" s="5">
        <v>4998000</v>
      </c>
    </row>
    <row r="1231" spans="1:3" x14ac:dyDescent="0.25">
      <c r="A1231" s="18" t="s">
        <v>2116</v>
      </c>
      <c r="C1231" s="5">
        <v>2007902.47</v>
      </c>
    </row>
    <row r="1232" spans="1:3" x14ac:dyDescent="0.25">
      <c r="A1232" s="19" t="s">
        <v>2113</v>
      </c>
      <c r="C1232" s="5">
        <v>997461.57</v>
      </c>
    </row>
    <row r="1233" spans="1:3" x14ac:dyDescent="0.25">
      <c r="A1233" s="19" t="s">
        <v>2118</v>
      </c>
      <c r="C1233" s="5">
        <v>1010440.9</v>
      </c>
    </row>
    <row r="1234" spans="1:3" x14ac:dyDescent="0.25">
      <c r="A1234" s="18" t="s">
        <v>2134</v>
      </c>
      <c r="C1234" s="5">
        <v>238000</v>
      </c>
    </row>
    <row r="1235" spans="1:3" x14ac:dyDescent="0.25">
      <c r="A1235" s="19" t="s">
        <v>2131</v>
      </c>
      <c r="C1235" s="5">
        <v>238000</v>
      </c>
    </row>
    <row r="1236" spans="1:3" x14ac:dyDescent="0.25">
      <c r="A1236" s="18" t="s">
        <v>2147</v>
      </c>
      <c r="C1236" s="5">
        <v>13012421.52</v>
      </c>
    </row>
    <row r="1237" spans="1:3" x14ac:dyDescent="0.25">
      <c r="A1237" s="19" t="s">
        <v>2144</v>
      </c>
      <c r="C1237" s="5">
        <v>7287169.6799999997</v>
      </c>
    </row>
    <row r="1238" spans="1:3" x14ac:dyDescent="0.25">
      <c r="A1238" s="19" t="s">
        <v>2154</v>
      </c>
      <c r="C1238" s="5">
        <v>5725251.8399999999</v>
      </c>
    </row>
    <row r="1239" spans="1:3" x14ac:dyDescent="0.25">
      <c r="A1239" s="18" t="s">
        <v>2163</v>
      </c>
      <c r="C1239" s="5">
        <v>315945</v>
      </c>
    </row>
    <row r="1240" spans="1:3" x14ac:dyDescent="0.25">
      <c r="A1240" s="19" t="s">
        <v>2160</v>
      </c>
      <c r="C1240" s="5">
        <v>210630</v>
      </c>
    </row>
    <row r="1241" spans="1:3" x14ac:dyDescent="0.25">
      <c r="A1241" s="19" t="s">
        <v>2953</v>
      </c>
      <c r="C1241" s="5">
        <v>105315</v>
      </c>
    </row>
    <row r="1242" spans="1:3" x14ac:dyDescent="0.25">
      <c r="A1242" s="18" t="s">
        <v>2168</v>
      </c>
      <c r="C1242" s="5">
        <v>65381325.100000001</v>
      </c>
    </row>
    <row r="1243" spans="1:3" x14ac:dyDescent="0.25">
      <c r="A1243" s="19" t="s">
        <v>2165</v>
      </c>
      <c r="C1243" s="5">
        <v>65381325.100000001</v>
      </c>
    </row>
    <row r="1244" spans="1:3" x14ac:dyDescent="0.25">
      <c r="A1244" s="18" t="s">
        <v>2173</v>
      </c>
      <c r="C1244" s="5">
        <v>1423240</v>
      </c>
    </row>
    <row r="1245" spans="1:3" x14ac:dyDescent="0.25">
      <c r="A1245" s="19" t="s">
        <v>2170</v>
      </c>
      <c r="C1245" s="5">
        <v>1423240</v>
      </c>
    </row>
    <row r="1246" spans="1:3" x14ac:dyDescent="0.25">
      <c r="A1246" s="18" t="s">
        <v>2183</v>
      </c>
      <c r="C1246" s="5">
        <v>603925</v>
      </c>
    </row>
    <row r="1247" spans="1:3" x14ac:dyDescent="0.25">
      <c r="A1247" s="19" t="s">
        <v>2180</v>
      </c>
      <c r="C1247" s="5">
        <v>603925</v>
      </c>
    </row>
    <row r="1248" spans="1:3" x14ac:dyDescent="0.25">
      <c r="A1248" s="18" t="s">
        <v>2189</v>
      </c>
      <c r="C1248" s="5">
        <v>4539850</v>
      </c>
    </row>
    <row r="1249" spans="1:3" x14ac:dyDescent="0.25">
      <c r="A1249" s="19" t="s">
        <v>2186</v>
      </c>
      <c r="C1249" s="5">
        <v>4539850</v>
      </c>
    </row>
    <row r="1250" spans="1:3" x14ac:dyDescent="0.25">
      <c r="A1250" s="18" t="s">
        <v>2204</v>
      </c>
      <c r="C1250" s="5">
        <v>523481</v>
      </c>
    </row>
    <row r="1251" spans="1:3" x14ac:dyDescent="0.25">
      <c r="A1251" s="19" t="s">
        <v>2201</v>
      </c>
      <c r="C1251" s="5">
        <v>523481</v>
      </c>
    </row>
    <row r="1252" spans="1:3" x14ac:dyDescent="0.25">
      <c r="A1252" s="18" t="s">
        <v>2209</v>
      </c>
      <c r="C1252" s="5">
        <v>737151.8</v>
      </c>
    </row>
    <row r="1253" spans="1:3" x14ac:dyDescent="0.25">
      <c r="A1253" s="19" t="s">
        <v>2206</v>
      </c>
      <c r="C1253" s="5">
        <v>737151.8</v>
      </c>
    </row>
    <row r="1254" spans="1:3" x14ac:dyDescent="0.25">
      <c r="A1254" s="18" t="s">
        <v>2220</v>
      </c>
      <c r="C1254" s="5">
        <v>535500</v>
      </c>
    </row>
    <row r="1255" spans="1:3" x14ac:dyDescent="0.25">
      <c r="A1255" s="19" t="s">
        <v>2217</v>
      </c>
      <c r="C1255" s="5">
        <v>535500</v>
      </c>
    </row>
    <row r="1256" spans="1:3" x14ac:dyDescent="0.25">
      <c r="A1256" s="18" t="s">
        <v>2230</v>
      </c>
      <c r="C1256" s="5">
        <v>2380000</v>
      </c>
    </row>
    <row r="1257" spans="1:3" x14ac:dyDescent="0.25">
      <c r="A1257" s="19" t="s">
        <v>2227</v>
      </c>
      <c r="C1257" s="5">
        <v>2380000</v>
      </c>
    </row>
    <row r="1258" spans="1:3" x14ac:dyDescent="0.25">
      <c r="A1258" s="18" t="s">
        <v>2238</v>
      </c>
      <c r="C1258" s="5">
        <v>3213000</v>
      </c>
    </row>
    <row r="1259" spans="1:3" x14ac:dyDescent="0.25">
      <c r="A1259" s="19" t="s">
        <v>2235</v>
      </c>
      <c r="C1259" s="5">
        <v>3213000</v>
      </c>
    </row>
    <row r="1260" spans="1:3" x14ac:dyDescent="0.25">
      <c r="A1260" s="18" t="s">
        <v>2277</v>
      </c>
      <c r="C1260" s="5">
        <v>523600</v>
      </c>
    </row>
    <row r="1261" spans="1:3" x14ac:dyDescent="0.25">
      <c r="A1261" s="19" t="s">
        <v>2274</v>
      </c>
      <c r="C1261" s="5">
        <v>523600</v>
      </c>
    </row>
    <row r="1262" spans="1:3" x14ac:dyDescent="0.25">
      <c r="A1262" s="18" t="s">
        <v>2296</v>
      </c>
      <c r="C1262" s="5">
        <v>1094058.6299999999</v>
      </c>
    </row>
    <row r="1263" spans="1:3" x14ac:dyDescent="0.25">
      <c r="A1263" s="19" t="s">
        <v>2293</v>
      </c>
      <c r="C1263" s="5">
        <v>377678.63</v>
      </c>
    </row>
    <row r="1264" spans="1:3" x14ac:dyDescent="0.25">
      <c r="A1264" s="19" t="s">
        <v>4020</v>
      </c>
      <c r="C1264" s="5">
        <v>716380</v>
      </c>
    </row>
    <row r="1265" spans="1:3" x14ac:dyDescent="0.25">
      <c r="A1265" s="18" t="s">
        <v>2309</v>
      </c>
      <c r="C1265" s="5">
        <v>1071000</v>
      </c>
    </row>
    <row r="1266" spans="1:3" x14ac:dyDescent="0.25">
      <c r="A1266" s="19" t="s">
        <v>2306</v>
      </c>
      <c r="C1266" s="5">
        <v>1071000</v>
      </c>
    </row>
    <row r="1267" spans="1:3" x14ac:dyDescent="0.25">
      <c r="A1267" s="18" t="s">
        <v>2314</v>
      </c>
      <c r="C1267" s="5">
        <v>368900</v>
      </c>
    </row>
    <row r="1268" spans="1:3" x14ac:dyDescent="0.25">
      <c r="A1268" s="19" t="s">
        <v>2311</v>
      </c>
      <c r="C1268" s="5">
        <v>368900</v>
      </c>
    </row>
    <row r="1269" spans="1:3" x14ac:dyDescent="0.25">
      <c r="A1269" s="18" t="s">
        <v>2319</v>
      </c>
      <c r="C1269" s="5">
        <v>6104700</v>
      </c>
    </row>
    <row r="1270" spans="1:3" x14ac:dyDescent="0.25">
      <c r="A1270" s="19" t="s">
        <v>2316</v>
      </c>
      <c r="C1270" s="5">
        <v>6104700</v>
      </c>
    </row>
    <row r="1271" spans="1:3" x14ac:dyDescent="0.25">
      <c r="A1271" s="18" t="s">
        <v>2327</v>
      </c>
      <c r="C1271" s="5">
        <v>57762.6</v>
      </c>
    </row>
    <row r="1272" spans="1:3" x14ac:dyDescent="0.25">
      <c r="A1272" s="19" t="s">
        <v>2324</v>
      </c>
      <c r="C1272" s="5">
        <v>57762.6</v>
      </c>
    </row>
    <row r="1273" spans="1:3" x14ac:dyDescent="0.25">
      <c r="A1273" s="18" t="s">
        <v>2332</v>
      </c>
      <c r="C1273" s="5">
        <v>55311.199999999997</v>
      </c>
    </row>
    <row r="1274" spans="1:3" x14ac:dyDescent="0.25">
      <c r="A1274" s="19" t="s">
        <v>2329</v>
      </c>
      <c r="C1274" s="5">
        <v>55311.199999999997</v>
      </c>
    </row>
    <row r="1275" spans="1:3" x14ac:dyDescent="0.25">
      <c r="A1275" s="18" t="s">
        <v>2337</v>
      </c>
      <c r="C1275" s="5">
        <v>95128.6</v>
      </c>
    </row>
    <row r="1276" spans="1:3" x14ac:dyDescent="0.25">
      <c r="A1276" s="19" t="s">
        <v>2334</v>
      </c>
      <c r="C1276" s="5">
        <v>95128.6</v>
      </c>
    </row>
    <row r="1277" spans="1:3" x14ac:dyDescent="0.25">
      <c r="A1277" s="18" t="s">
        <v>2342</v>
      </c>
      <c r="C1277" s="5">
        <v>54029094</v>
      </c>
    </row>
    <row r="1278" spans="1:3" x14ac:dyDescent="0.25">
      <c r="A1278" s="19" t="s">
        <v>2339</v>
      </c>
      <c r="C1278" s="5">
        <v>54029094</v>
      </c>
    </row>
    <row r="1279" spans="1:3" x14ac:dyDescent="0.25">
      <c r="A1279" s="18" t="s">
        <v>2351</v>
      </c>
      <c r="C1279" s="5">
        <v>6658050</v>
      </c>
    </row>
    <row r="1280" spans="1:3" x14ac:dyDescent="0.25">
      <c r="A1280" s="19" t="s">
        <v>2348</v>
      </c>
      <c r="C1280" s="5">
        <v>3604510</v>
      </c>
    </row>
    <row r="1281" spans="1:3" x14ac:dyDescent="0.25">
      <c r="A1281" s="19" t="s">
        <v>2498</v>
      </c>
      <c r="C1281" s="5">
        <v>3053540</v>
      </c>
    </row>
    <row r="1282" spans="1:3" x14ac:dyDescent="0.25">
      <c r="A1282" s="18" t="s">
        <v>2361</v>
      </c>
      <c r="C1282" s="5">
        <v>878770</v>
      </c>
    </row>
    <row r="1283" spans="1:3" x14ac:dyDescent="0.25">
      <c r="A1283" s="19" t="s">
        <v>2358</v>
      </c>
      <c r="C1283" s="5">
        <v>700270</v>
      </c>
    </row>
    <row r="1284" spans="1:3" x14ac:dyDescent="0.25">
      <c r="A1284" s="19" t="s">
        <v>3288</v>
      </c>
      <c r="C1284" s="5">
        <v>178500</v>
      </c>
    </row>
    <row r="1285" spans="1:3" x14ac:dyDescent="0.25">
      <c r="A1285" s="18" t="s">
        <v>2392</v>
      </c>
      <c r="C1285" s="5">
        <v>8187200</v>
      </c>
    </row>
    <row r="1286" spans="1:3" x14ac:dyDescent="0.25">
      <c r="A1286" s="19" t="s">
        <v>2389</v>
      </c>
      <c r="C1286" s="5">
        <v>8187200</v>
      </c>
    </row>
    <row r="1287" spans="1:3" x14ac:dyDescent="0.25">
      <c r="A1287" s="18" t="s">
        <v>2405</v>
      </c>
      <c r="C1287" s="5">
        <v>386750</v>
      </c>
    </row>
    <row r="1288" spans="1:3" x14ac:dyDescent="0.25">
      <c r="A1288" s="19" t="s">
        <v>2402</v>
      </c>
      <c r="C1288" s="5">
        <v>386750</v>
      </c>
    </row>
    <row r="1289" spans="1:3" x14ac:dyDescent="0.25">
      <c r="A1289" s="18" t="s">
        <v>2410</v>
      </c>
      <c r="C1289" s="5">
        <v>9758000</v>
      </c>
    </row>
    <row r="1290" spans="1:3" x14ac:dyDescent="0.25">
      <c r="A1290" s="19" t="s">
        <v>2407</v>
      </c>
      <c r="C1290" s="5">
        <v>9758000</v>
      </c>
    </row>
    <row r="1291" spans="1:3" x14ac:dyDescent="0.25">
      <c r="A1291" s="18" t="s">
        <v>2418</v>
      </c>
      <c r="C1291" s="5">
        <v>16439003.01</v>
      </c>
    </row>
    <row r="1292" spans="1:3" x14ac:dyDescent="0.25">
      <c r="A1292" s="19" t="s">
        <v>2415</v>
      </c>
      <c r="C1292" s="5">
        <v>5479667.6699999999</v>
      </c>
    </row>
    <row r="1293" spans="1:3" x14ac:dyDescent="0.25">
      <c r="A1293" s="19" t="s">
        <v>2420</v>
      </c>
      <c r="C1293" s="5">
        <v>5479667.6699999999</v>
      </c>
    </row>
    <row r="1294" spans="1:3" x14ac:dyDescent="0.25">
      <c r="A1294" s="19" t="s">
        <v>3337</v>
      </c>
      <c r="C1294" s="5">
        <v>5479667.6699999999</v>
      </c>
    </row>
    <row r="1295" spans="1:3" x14ac:dyDescent="0.25">
      <c r="A1295" s="18" t="s">
        <v>2426</v>
      </c>
      <c r="C1295" s="5">
        <v>5198776.2</v>
      </c>
    </row>
    <row r="1296" spans="1:3" x14ac:dyDescent="0.25">
      <c r="A1296" s="19" t="s">
        <v>2423</v>
      </c>
      <c r="C1296" s="5">
        <v>505000</v>
      </c>
    </row>
    <row r="1297" spans="1:3" x14ac:dyDescent="0.25">
      <c r="A1297" s="19" t="s">
        <v>3780</v>
      </c>
      <c r="C1297" s="5">
        <v>4693776.2</v>
      </c>
    </row>
    <row r="1298" spans="1:3" x14ac:dyDescent="0.25">
      <c r="A1298" s="18" t="s">
        <v>2431</v>
      </c>
      <c r="C1298" s="5">
        <v>65226061.100000001</v>
      </c>
    </row>
    <row r="1299" spans="1:3" x14ac:dyDescent="0.25">
      <c r="A1299" s="19" t="s">
        <v>2428</v>
      </c>
      <c r="C1299" s="5">
        <v>45466527.600000001</v>
      </c>
    </row>
    <row r="1300" spans="1:3" x14ac:dyDescent="0.25">
      <c r="A1300" s="19" t="s">
        <v>4207</v>
      </c>
      <c r="C1300" s="5">
        <v>19759533.5</v>
      </c>
    </row>
    <row r="1301" spans="1:3" x14ac:dyDescent="0.25">
      <c r="A1301" s="18" t="s">
        <v>2439</v>
      </c>
      <c r="C1301" s="5">
        <v>453830.23</v>
      </c>
    </row>
    <row r="1302" spans="1:3" x14ac:dyDescent="0.25">
      <c r="A1302" s="19" t="s">
        <v>2436</v>
      </c>
      <c r="C1302" s="5">
        <v>453830.23</v>
      </c>
    </row>
    <row r="1303" spans="1:3" x14ac:dyDescent="0.25">
      <c r="A1303" s="18" t="s">
        <v>2465</v>
      </c>
      <c r="C1303" s="5">
        <v>333200</v>
      </c>
    </row>
    <row r="1304" spans="1:3" x14ac:dyDescent="0.25">
      <c r="A1304" s="19" t="s">
        <v>2462</v>
      </c>
      <c r="C1304" s="5">
        <v>333200</v>
      </c>
    </row>
    <row r="1305" spans="1:3" x14ac:dyDescent="0.25">
      <c r="A1305" s="18" t="s">
        <v>2490</v>
      </c>
      <c r="C1305" s="5">
        <v>42364514.079999998</v>
      </c>
    </row>
    <row r="1306" spans="1:3" x14ac:dyDescent="0.25">
      <c r="A1306" s="19" t="s">
        <v>2487</v>
      </c>
      <c r="C1306" s="5">
        <v>21122500</v>
      </c>
    </row>
    <row r="1307" spans="1:3" x14ac:dyDescent="0.25">
      <c r="A1307" s="19" t="s">
        <v>3411</v>
      </c>
      <c r="C1307" s="5">
        <v>21242014.079999998</v>
      </c>
    </row>
    <row r="1308" spans="1:3" x14ac:dyDescent="0.25">
      <c r="A1308" s="18" t="s">
        <v>2507</v>
      </c>
      <c r="C1308" s="5">
        <v>21685471.149999999</v>
      </c>
    </row>
    <row r="1309" spans="1:3" x14ac:dyDescent="0.25">
      <c r="A1309" s="19" t="s">
        <v>2504</v>
      </c>
      <c r="C1309" s="5">
        <v>21245070</v>
      </c>
    </row>
    <row r="1310" spans="1:3" x14ac:dyDescent="0.25">
      <c r="A1310" s="19" t="s">
        <v>3599</v>
      </c>
      <c r="C1310" s="5">
        <v>370090</v>
      </c>
    </row>
    <row r="1311" spans="1:3" x14ac:dyDescent="0.25">
      <c r="A1311" s="19" t="s">
        <v>4159</v>
      </c>
      <c r="C1311" s="5">
        <v>70311.149999999994</v>
      </c>
    </row>
    <row r="1312" spans="1:3" x14ac:dyDescent="0.25">
      <c r="A1312" s="18" t="s">
        <v>2517</v>
      </c>
      <c r="C1312" s="5">
        <v>161432.06</v>
      </c>
    </row>
    <row r="1313" spans="1:3" x14ac:dyDescent="0.25">
      <c r="A1313" s="19" t="s">
        <v>2514</v>
      </c>
      <c r="C1313" s="5">
        <v>161432.06</v>
      </c>
    </row>
    <row r="1314" spans="1:3" x14ac:dyDescent="0.25">
      <c r="A1314" s="18" t="s">
        <v>2525</v>
      </c>
      <c r="C1314" s="5">
        <v>174168.4</v>
      </c>
    </row>
    <row r="1315" spans="1:3" x14ac:dyDescent="0.25">
      <c r="A1315" s="19" t="s">
        <v>2522</v>
      </c>
      <c r="C1315" s="5">
        <v>174168.4</v>
      </c>
    </row>
    <row r="1316" spans="1:3" x14ac:dyDescent="0.25">
      <c r="A1316" s="18" t="s">
        <v>2533</v>
      </c>
      <c r="C1316" s="5">
        <v>4920650</v>
      </c>
    </row>
    <row r="1317" spans="1:3" x14ac:dyDescent="0.25">
      <c r="A1317" s="19" t="s">
        <v>2530</v>
      </c>
      <c r="C1317" s="5">
        <v>4920650</v>
      </c>
    </row>
    <row r="1318" spans="1:3" x14ac:dyDescent="0.25">
      <c r="A1318" s="18" t="s">
        <v>2541</v>
      </c>
      <c r="C1318" s="5">
        <v>4206650</v>
      </c>
    </row>
    <row r="1319" spans="1:3" x14ac:dyDescent="0.25">
      <c r="A1319" s="19" t="s">
        <v>2538</v>
      </c>
      <c r="C1319" s="5">
        <v>4206650</v>
      </c>
    </row>
    <row r="1320" spans="1:3" x14ac:dyDescent="0.25">
      <c r="A1320" s="18" t="s">
        <v>2550</v>
      </c>
      <c r="C1320" s="5">
        <v>321300</v>
      </c>
    </row>
    <row r="1321" spans="1:3" x14ac:dyDescent="0.25">
      <c r="A1321" s="19" t="s">
        <v>2547</v>
      </c>
      <c r="C1321" s="5">
        <v>321300</v>
      </c>
    </row>
    <row r="1322" spans="1:3" x14ac:dyDescent="0.25">
      <c r="A1322" s="18" t="s">
        <v>2555</v>
      </c>
      <c r="C1322" s="5">
        <v>1707084.16</v>
      </c>
    </row>
    <row r="1323" spans="1:3" x14ac:dyDescent="0.25">
      <c r="A1323" s="19" t="s">
        <v>2552</v>
      </c>
      <c r="C1323" s="5">
        <v>1707084.16</v>
      </c>
    </row>
    <row r="1324" spans="1:3" x14ac:dyDescent="0.25">
      <c r="A1324" s="18" t="s">
        <v>2585</v>
      </c>
      <c r="C1324" s="5">
        <v>846090</v>
      </c>
    </row>
    <row r="1325" spans="1:3" x14ac:dyDescent="0.25">
      <c r="A1325" s="19" t="s">
        <v>2582</v>
      </c>
      <c r="C1325" s="5">
        <v>846090</v>
      </c>
    </row>
    <row r="1326" spans="1:3" x14ac:dyDescent="0.25">
      <c r="A1326" s="18" t="s">
        <v>2619</v>
      </c>
      <c r="C1326" s="5">
        <v>709240</v>
      </c>
    </row>
    <row r="1327" spans="1:3" x14ac:dyDescent="0.25">
      <c r="A1327" s="19" t="s">
        <v>2616</v>
      </c>
      <c r="C1327" s="5">
        <v>709240</v>
      </c>
    </row>
    <row r="1328" spans="1:3" x14ac:dyDescent="0.25">
      <c r="A1328" s="18" t="s">
        <v>2627</v>
      </c>
      <c r="C1328" s="5">
        <v>2743429.81</v>
      </c>
    </row>
    <row r="1329" spans="1:3" x14ac:dyDescent="0.25">
      <c r="A1329" s="19" t="s">
        <v>2624</v>
      </c>
      <c r="C1329" s="5">
        <v>665962.07999999996</v>
      </c>
    </row>
    <row r="1330" spans="1:3" x14ac:dyDescent="0.25">
      <c r="A1330" s="19" t="s">
        <v>3435</v>
      </c>
      <c r="C1330" s="5">
        <v>2077467.73</v>
      </c>
    </row>
    <row r="1331" spans="1:3" x14ac:dyDescent="0.25">
      <c r="A1331" s="18" t="s">
        <v>2632</v>
      </c>
      <c r="C1331" s="5">
        <v>2215655.7200000002</v>
      </c>
    </row>
    <row r="1332" spans="1:3" x14ac:dyDescent="0.25">
      <c r="A1332" s="19" t="s">
        <v>2629</v>
      </c>
      <c r="C1332" s="5">
        <v>2215655.7200000002</v>
      </c>
    </row>
    <row r="1333" spans="1:3" x14ac:dyDescent="0.25">
      <c r="A1333" s="18" t="s">
        <v>2637</v>
      </c>
      <c r="C1333" s="5">
        <v>2344499.65</v>
      </c>
    </row>
    <row r="1334" spans="1:3" x14ac:dyDescent="0.25">
      <c r="A1334" s="19" t="s">
        <v>2634</v>
      </c>
      <c r="C1334" s="5">
        <v>2344499.65</v>
      </c>
    </row>
    <row r="1335" spans="1:3" x14ac:dyDescent="0.25">
      <c r="A1335" s="18" t="s">
        <v>2645</v>
      </c>
      <c r="C1335" s="5">
        <v>370222.09</v>
      </c>
    </row>
    <row r="1336" spans="1:3" x14ac:dyDescent="0.25">
      <c r="A1336" s="19" t="s">
        <v>2642</v>
      </c>
      <c r="C1336" s="5">
        <v>370222.09</v>
      </c>
    </row>
    <row r="1337" spans="1:3" x14ac:dyDescent="0.25">
      <c r="A1337" s="18" t="s">
        <v>2682</v>
      </c>
      <c r="C1337" s="5">
        <v>758387</v>
      </c>
    </row>
    <row r="1338" spans="1:3" x14ac:dyDescent="0.25">
      <c r="A1338" s="19" t="s">
        <v>2679</v>
      </c>
      <c r="C1338" s="5">
        <v>758387</v>
      </c>
    </row>
    <row r="1339" spans="1:3" x14ac:dyDescent="0.25">
      <c r="A1339" s="18" t="s">
        <v>2690</v>
      </c>
      <c r="C1339" s="5">
        <v>13662729.15</v>
      </c>
    </row>
    <row r="1340" spans="1:3" x14ac:dyDescent="0.25">
      <c r="A1340" s="19" t="s">
        <v>2687</v>
      </c>
      <c r="C1340" s="5">
        <v>13662729.15</v>
      </c>
    </row>
    <row r="1341" spans="1:3" x14ac:dyDescent="0.25">
      <c r="A1341" s="18" t="s">
        <v>2701</v>
      </c>
      <c r="C1341" s="5">
        <v>9508695</v>
      </c>
    </row>
    <row r="1342" spans="1:3" x14ac:dyDescent="0.25">
      <c r="A1342" s="19" t="s">
        <v>2698</v>
      </c>
      <c r="C1342" s="5">
        <v>9508695</v>
      </c>
    </row>
    <row r="1343" spans="1:3" x14ac:dyDescent="0.25">
      <c r="A1343" s="18" t="s">
        <v>2716</v>
      </c>
      <c r="C1343" s="5">
        <v>1265565</v>
      </c>
    </row>
    <row r="1344" spans="1:3" x14ac:dyDescent="0.25">
      <c r="A1344" s="19" t="s">
        <v>2713</v>
      </c>
      <c r="C1344" s="5">
        <v>1265565</v>
      </c>
    </row>
    <row r="1345" spans="1:3" x14ac:dyDescent="0.25">
      <c r="A1345" s="18" t="s">
        <v>2758</v>
      </c>
      <c r="C1345" s="5">
        <v>1504776.4</v>
      </c>
    </row>
    <row r="1346" spans="1:3" x14ac:dyDescent="0.25">
      <c r="A1346" s="19" t="s">
        <v>2754</v>
      </c>
      <c r="C1346" s="5">
        <v>1504776.4</v>
      </c>
    </row>
    <row r="1347" spans="1:3" x14ac:dyDescent="0.25">
      <c r="A1347" s="18" t="s">
        <v>2774</v>
      </c>
      <c r="C1347" s="5">
        <v>3716215.3</v>
      </c>
    </row>
    <row r="1348" spans="1:3" x14ac:dyDescent="0.25">
      <c r="A1348" s="19" t="s">
        <v>2771</v>
      </c>
      <c r="C1348" s="5">
        <v>3716215.3</v>
      </c>
    </row>
    <row r="1349" spans="1:3" x14ac:dyDescent="0.25">
      <c r="A1349" s="18" t="s">
        <v>2814</v>
      </c>
      <c r="C1349" s="5">
        <v>8092000</v>
      </c>
    </row>
    <row r="1350" spans="1:3" x14ac:dyDescent="0.25">
      <c r="A1350" s="19" t="s">
        <v>2811</v>
      </c>
      <c r="C1350" s="5">
        <v>8092000</v>
      </c>
    </row>
    <row r="1351" spans="1:3" x14ac:dyDescent="0.25">
      <c r="A1351" s="18" t="s">
        <v>2819</v>
      </c>
      <c r="C1351" s="5">
        <v>988533</v>
      </c>
    </row>
    <row r="1352" spans="1:3" x14ac:dyDescent="0.25">
      <c r="A1352" s="19" t="s">
        <v>2816</v>
      </c>
      <c r="C1352" s="5">
        <v>988533</v>
      </c>
    </row>
    <row r="1353" spans="1:3" x14ac:dyDescent="0.25">
      <c r="A1353" s="18" t="s">
        <v>2843</v>
      </c>
      <c r="C1353" s="5">
        <v>1561280</v>
      </c>
    </row>
    <row r="1354" spans="1:3" x14ac:dyDescent="0.25">
      <c r="A1354" s="19" t="s">
        <v>2840</v>
      </c>
      <c r="C1354" s="5">
        <v>1561280</v>
      </c>
    </row>
    <row r="1355" spans="1:3" x14ac:dyDescent="0.25">
      <c r="A1355" s="18" t="s">
        <v>2848</v>
      </c>
      <c r="C1355" s="5">
        <v>6872250</v>
      </c>
    </row>
    <row r="1356" spans="1:3" x14ac:dyDescent="0.25">
      <c r="A1356" s="19" t="s">
        <v>2845</v>
      </c>
      <c r="C1356" s="5">
        <v>1814750</v>
      </c>
    </row>
    <row r="1357" spans="1:3" x14ac:dyDescent="0.25">
      <c r="A1357" s="19" t="s">
        <v>2850</v>
      </c>
      <c r="C1357" s="5">
        <v>1041250</v>
      </c>
    </row>
    <row r="1358" spans="1:3" x14ac:dyDescent="0.25">
      <c r="A1358" s="19" t="s">
        <v>2853</v>
      </c>
      <c r="C1358" s="5">
        <v>1071000</v>
      </c>
    </row>
    <row r="1359" spans="1:3" x14ac:dyDescent="0.25">
      <c r="A1359" s="19" t="s">
        <v>2921</v>
      </c>
      <c r="C1359" s="5">
        <v>2945250</v>
      </c>
    </row>
    <row r="1360" spans="1:3" x14ac:dyDescent="0.25">
      <c r="A1360" s="18" t="s">
        <v>2859</v>
      </c>
      <c r="C1360" s="5">
        <v>170170</v>
      </c>
    </row>
    <row r="1361" spans="1:3" x14ac:dyDescent="0.25">
      <c r="A1361" s="19" t="s">
        <v>2856</v>
      </c>
      <c r="C1361" s="5">
        <v>170170</v>
      </c>
    </row>
    <row r="1362" spans="1:3" x14ac:dyDescent="0.25">
      <c r="A1362" s="18" t="s">
        <v>2864</v>
      </c>
      <c r="C1362" s="5">
        <v>216037.5</v>
      </c>
    </row>
    <row r="1363" spans="1:3" x14ac:dyDescent="0.25">
      <c r="A1363" s="19" t="s">
        <v>2861</v>
      </c>
      <c r="C1363" s="5">
        <v>216037.5</v>
      </c>
    </row>
    <row r="1364" spans="1:3" x14ac:dyDescent="0.25">
      <c r="A1364" s="18" t="s">
        <v>2869</v>
      </c>
      <c r="C1364" s="5">
        <v>800652.23</v>
      </c>
    </row>
    <row r="1365" spans="1:3" x14ac:dyDescent="0.25">
      <c r="A1365" s="19" t="s">
        <v>2866</v>
      </c>
      <c r="C1365" s="5">
        <v>800652.23</v>
      </c>
    </row>
    <row r="1366" spans="1:3" x14ac:dyDescent="0.25">
      <c r="A1366" s="18" t="s">
        <v>2874</v>
      </c>
      <c r="C1366" s="5">
        <v>797300</v>
      </c>
    </row>
    <row r="1367" spans="1:3" x14ac:dyDescent="0.25">
      <c r="A1367" s="19" t="s">
        <v>2871</v>
      </c>
      <c r="C1367" s="5">
        <v>797300</v>
      </c>
    </row>
    <row r="1368" spans="1:3" x14ac:dyDescent="0.25">
      <c r="A1368" s="18" t="s">
        <v>2879</v>
      </c>
      <c r="C1368" s="5">
        <v>1942080</v>
      </c>
    </row>
    <row r="1369" spans="1:3" x14ac:dyDescent="0.25">
      <c r="A1369" s="19" t="s">
        <v>2876</v>
      </c>
      <c r="C1369" s="5">
        <v>1942080</v>
      </c>
    </row>
    <row r="1370" spans="1:3" x14ac:dyDescent="0.25">
      <c r="A1370" s="18" t="s">
        <v>2893</v>
      </c>
      <c r="C1370" s="5">
        <v>1696940</v>
      </c>
    </row>
    <row r="1371" spans="1:3" x14ac:dyDescent="0.25">
      <c r="A1371" s="19" t="s">
        <v>2890</v>
      </c>
      <c r="C1371" s="5">
        <v>1696940</v>
      </c>
    </row>
    <row r="1372" spans="1:3" x14ac:dyDescent="0.25">
      <c r="A1372" s="18" t="s">
        <v>2898</v>
      </c>
      <c r="C1372" s="5">
        <v>6272940</v>
      </c>
    </row>
    <row r="1373" spans="1:3" x14ac:dyDescent="0.25">
      <c r="A1373" s="19" t="s">
        <v>2895</v>
      </c>
      <c r="C1373" s="5">
        <v>6272940</v>
      </c>
    </row>
    <row r="1374" spans="1:3" x14ac:dyDescent="0.25">
      <c r="A1374" s="18" t="s">
        <v>2908</v>
      </c>
      <c r="C1374" s="5">
        <v>462910</v>
      </c>
    </row>
    <row r="1375" spans="1:3" x14ac:dyDescent="0.25">
      <c r="A1375" s="19" t="s">
        <v>2905</v>
      </c>
      <c r="C1375" s="5">
        <v>462910</v>
      </c>
    </row>
    <row r="1376" spans="1:3" x14ac:dyDescent="0.25">
      <c r="A1376" s="18" t="s">
        <v>2913</v>
      </c>
      <c r="C1376" s="5">
        <v>666400</v>
      </c>
    </row>
    <row r="1377" spans="1:3" x14ac:dyDescent="0.25">
      <c r="A1377" s="19" t="s">
        <v>2910</v>
      </c>
      <c r="C1377" s="5">
        <v>666400</v>
      </c>
    </row>
    <row r="1378" spans="1:3" x14ac:dyDescent="0.25">
      <c r="A1378" s="18" t="s">
        <v>2976</v>
      </c>
      <c r="C1378" s="5">
        <v>14836241.699999999</v>
      </c>
    </row>
    <row r="1379" spans="1:3" x14ac:dyDescent="0.25">
      <c r="A1379" s="19" t="s">
        <v>2973</v>
      </c>
      <c r="C1379" s="5">
        <v>12234033</v>
      </c>
    </row>
    <row r="1380" spans="1:3" x14ac:dyDescent="0.25">
      <c r="A1380" s="19" t="s">
        <v>2978</v>
      </c>
      <c r="C1380" s="5">
        <v>2602208.7000000002</v>
      </c>
    </row>
    <row r="1381" spans="1:3" x14ac:dyDescent="0.25">
      <c r="A1381" s="18" t="s">
        <v>2984</v>
      </c>
      <c r="C1381" s="5">
        <v>3015950</v>
      </c>
    </row>
    <row r="1382" spans="1:3" x14ac:dyDescent="0.25">
      <c r="A1382" s="19" t="s">
        <v>2981</v>
      </c>
      <c r="C1382" s="5">
        <v>3015950</v>
      </c>
    </row>
    <row r="1383" spans="1:3" x14ac:dyDescent="0.25">
      <c r="A1383" s="18" t="s">
        <v>2992</v>
      </c>
      <c r="C1383" s="5">
        <v>12495881.789999999</v>
      </c>
    </row>
    <row r="1384" spans="1:3" x14ac:dyDescent="0.25">
      <c r="A1384" s="19" t="s">
        <v>2989</v>
      </c>
      <c r="C1384" s="5">
        <v>12495881.789999999</v>
      </c>
    </row>
    <row r="1385" spans="1:3" x14ac:dyDescent="0.25">
      <c r="A1385" s="18" t="s">
        <v>2997</v>
      </c>
      <c r="C1385" s="5">
        <v>671486.4</v>
      </c>
    </row>
    <row r="1386" spans="1:3" x14ac:dyDescent="0.25">
      <c r="A1386" s="19" t="s">
        <v>2994</v>
      </c>
      <c r="C1386" s="5">
        <v>671486.4</v>
      </c>
    </row>
    <row r="1387" spans="1:3" x14ac:dyDescent="0.25">
      <c r="A1387" s="18" t="s">
        <v>3002</v>
      </c>
      <c r="C1387" s="5">
        <v>1597998.64</v>
      </c>
    </row>
    <row r="1388" spans="1:3" x14ac:dyDescent="0.25">
      <c r="A1388" s="19" t="s">
        <v>2999</v>
      </c>
      <c r="C1388" s="5">
        <v>1597998.64</v>
      </c>
    </row>
    <row r="1389" spans="1:3" x14ac:dyDescent="0.25">
      <c r="A1389" s="18" t="s">
        <v>3007</v>
      </c>
      <c r="C1389" s="5">
        <v>82407.5</v>
      </c>
    </row>
    <row r="1390" spans="1:3" x14ac:dyDescent="0.25">
      <c r="A1390" s="19" t="s">
        <v>3004</v>
      </c>
      <c r="C1390" s="5">
        <v>82407.5</v>
      </c>
    </row>
    <row r="1391" spans="1:3" x14ac:dyDescent="0.25">
      <c r="A1391" s="18" t="s">
        <v>3012</v>
      </c>
      <c r="C1391" s="5">
        <v>7289940</v>
      </c>
    </row>
    <row r="1392" spans="1:3" x14ac:dyDescent="0.25">
      <c r="A1392" s="19" t="s">
        <v>3009</v>
      </c>
      <c r="C1392" s="5">
        <v>7289940</v>
      </c>
    </row>
    <row r="1393" spans="1:3" x14ac:dyDescent="0.25">
      <c r="A1393" s="18" t="s">
        <v>3020</v>
      </c>
      <c r="C1393" s="5">
        <v>1219620</v>
      </c>
    </row>
    <row r="1394" spans="1:3" x14ac:dyDescent="0.25">
      <c r="A1394" s="19" t="s">
        <v>3017</v>
      </c>
      <c r="C1394" s="5">
        <v>1219620</v>
      </c>
    </row>
    <row r="1395" spans="1:3" x14ac:dyDescent="0.25">
      <c r="A1395" s="18" t="s">
        <v>3025</v>
      </c>
      <c r="C1395" s="5">
        <v>406473.06</v>
      </c>
    </row>
    <row r="1396" spans="1:3" x14ac:dyDescent="0.25">
      <c r="A1396" s="19" t="s">
        <v>3022</v>
      </c>
      <c r="C1396" s="5">
        <v>406473.06</v>
      </c>
    </row>
    <row r="1397" spans="1:3" x14ac:dyDescent="0.25">
      <c r="A1397" s="18" t="s">
        <v>3050</v>
      </c>
      <c r="C1397" s="5">
        <v>220150</v>
      </c>
    </row>
    <row r="1398" spans="1:3" x14ac:dyDescent="0.25">
      <c r="A1398" s="19" t="s">
        <v>3047</v>
      </c>
      <c r="C1398" s="5">
        <v>220150</v>
      </c>
    </row>
    <row r="1399" spans="1:3" x14ac:dyDescent="0.25">
      <c r="A1399" s="18" t="s">
        <v>3060</v>
      </c>
      <c r="C1399" s="5">
        <v>33954865</v>
      </c>
    </row>
    <row r="1400" spans="1:3" x14ac:dyDescent="0.25">
      <c r="A1400" s="19" t="s">
        <v>3057</v>
      </c>
      <c r="C1400" s="5">
        <v>27314665</v>
      </c>
    </row>
    <row r="1401" spans="1:3" x14ac:dyDescent="0.25">
      <c r="A1401" s="19" t="s">
        <v>3265</v>
      </c>
      <c r="C1401" s="5">
        <v>6640200</v>
      </c>
    </row>
    <row r="1402" spans="1:3" x14ac:dyDescent="0.25">
      <c r="A1402" s="18" t="s">
        <v>3125</v>
      </c>
      <c r="C1402" s="5">
        <v>1336636.1399999999</v>
      </c>
    </row>
    <row r="1403" spans="1:3" x14ac:dyDescent="0.25">
      <c r="A1403" s="19" t="s">
        <v>3122</v>
      </c>
      <c r="C1403" s="5">
        <v>906649.1</v>
      </c>
    </row>
    <row r="1404" spans="1:3" x14ac:dyDescent="0.25">
      <c r="A1404" s="19" t="s">
        <v>3128</v>
      </c>
      <c r="C1404" s="5">
        <v>429987.04</v>
      </c>
    </row>
    <row r="1405" spans="1:3" x14ac:dyDescent="0.25">
      <c r="A1405" s="18" t="s">
        <v>3134</v>
      </c>
      <c r="C1405" s="5">
        <v>731433.5</v>
      </c>
    </row>
    <row r="1406" spans="1:3" x14ac:dyDescent="0.25">
      <c r="A1406" s="19" t="s">
        <v>3131</v>
      </c>
      <c r="C1406" s="5">
        <v>731433.5</v>
      </c>
    </row>
    <row r="1407" spans="1:3" x14ac:dyDescent="0.25">
      <c r="A1407" s="18" t="s">
        <v>3158</v>
      </c>
      <c r="C1407" s="5">
        <v>2521338.19</v>
      </c>
    </row>
    <row r="1408" spans="1:3" x14ac:dyDescent="0.25">
      <c r="A1408" s="19" t="s">
        <v>3155</v>
      </c>
      <c r="C1408" s="5">
        <v>2521338.19</v>
      </c>
    </row>
    <row r="1409" spans="1:3" x14ac:dyDescent="0.25">
      <c r="A1409" s="18" t="s">
        <v>3168</v>
      </c>
      <c r="C1409" s="5">
        <v>542269.81000000006</v>
      </c>
    </row>
    <row r="1410" spans="1:3" x14ac:dyDescent="0.25">
      <c r="A1410" s="19" t="s">
        <v>3165</v>
      </c>
      <c r="C1410" s="5">
        <v>542269.81000000006</v>
      </c>
    </row>
    <row r="1411" spans="1:3" x14ac:dyDescent="0.25">
      <c r="A1411" s="18" t="s">
        <v>3188</v>
      </c>
      <c r="C1411" s="5">
        <v>19992000</v>
      </c>
    </row>
    <row r="1412" spans="1:3" x14ac:dyDescent="0.25">
      <c r="A1412" s="19" t="s">
        <v>3185</v>
      </c>
      <c r="C1412" s="5">
        <v>19992000</v>
      </c>
    </row>
    <row r="1413" spans="1:3" x14ac:dyDescent="0.25">
      <c r="A1413" s="18" t="s">
        <v>3193</v>
      </c>
      <c r="C1413" s="5">
        <v>140599.72</v>
      </c>
    </row>
    <row r="1414" spans="1:3" x14ac:dyDescent="0.25">
      <c r="A1414" s="19" t="s">
        <v>3190</v>
      </c>
      <c r="C1414" s="5">
        <v>140599.72</v>
      </c>
    </row>
    <row r="1415" spans="1:3" x14ac:dyDescent="0.25">
      <c r="A1415" s="18" t="s">
        <v>3202</v>
      </c>
      <c r="C1415" s="5">
        <v>1960730.38</v>
      </c>
    </row>
    <row r="1416" spans="1:3" x14ac:dyDescent="0.25">
      <c r="A1416" s="19" t="s">
        <v>3198</v>
      </c>
      <c r="C1416" s="5">
        <v>1960730.38</v>
      </c>
    </row>
    <row r="1417" spans="1:3" x14ac:dyDescent="0.25">
      <c r="A1417" s="18" t="s">
        <v>3225</v>
      </c>
      <c r="C1417" s="5">
        <v>20765500</v>
      </c>
    </row>
    <row r="1418" spans="1:3" x14ac:dyDescent="0.25">
      <c r="A1418" s="19" t="s">
        <v>3222</v>
      </c>
      <c r="C1418" s="5">
        <v>20765500</v>
      </c>
    </row>
    <row r="1419" spans="1:3" x14ac:dyDescent="0.25">
      <c r="A1419" s="18" t="s">
        <v>3235</v>
      </c>
      <c r="C1419" s="5">
        <v>3425772</v>
      </c>
    </row>
    <row r="1420" spans="1:3" x14ac:dyDescent="0.25">
      <c r="A1420" s="19" t="s">
        <v>3232</v>
      </c>
      <c r="C1420" s="5">
        <v>3425772</v>
      </c>
    </row>
    <row r="1421" spans="1:3" x14ac:dyDescent="0.25">
      <c r="A1421" s="18" t="s">
        <v>3263</v>
      </c>
      <c r="C1421" s="5">
        <v>472826</v>
      </c>
    </row>
    <row r="1422" spans="1:3" x14ac:dyDescent="0.25">
      <c r="A1422" s="19" t="s">
        <v>3260</v>
      </c>
      <c r="C1422" s="5">
        <v>472826</v>
      </c>
    </row>
    <row r="1423" spans="1:3" x14ac:dyDescent="0.25">
      <c r="A1423" s="18" t="s">
        <v>3306</v>
      </c>
      <c r="C1423" s="5">
        <v>597618</v>
      </c>
    </row>
    <row r="1424" spans="1:3" x14ac:dyDescent="0.25">
      <c r="A1424" s="19" t="s">
        <v>3303</v>
      </c>
      <c r="C1424" s="5">
        <v>597618</v>
      </c>
    </row>
    <row r="1425" spans="1:3" x14ac:dyDescent="0.25">
      <c r="A1425" s="18" t="s">
        <v>3325</v>
      </c>
      <c r="C1425" s="5">
        <v>39889875.43</v>
      </c>
    </row>
    <row r="1426" spans="1:3" x14ac:dyDescent="0.25">
      <c r="A1426" s="19" t="s">
        <v>3322</v>
      </c>
      <c r="C1426" s="5">
        <v>11119012.02</v>
      </c>
    </row>
    <row r="1427" spans="1:3" x14ac:dyDescent="0.25">
      <c r="A1427" s="19" t="s">
        <v>3960</v>
      </c>
      <c r="C1427" s="5">
        <v>9668868.3800000008</v>
      </c>
    </row>
    <row r="1428" spans="1:3" x14ac:dyDescent="0.25">
      <c r="A1428" s="19" t="s">
        <v>3982</v>
      </c>
      <c r="C1428" s="5">
        <v>19101995.030000001</v>
      </c>
    </row>
    <row r="1429" spans="1:3" x14ac:dyDescent="0.25">
      <c r="A1429" s="18" t="s">
        <v>3330</v>
      </c>
      <c r="C1429" s="5">
        <v>23127.279999999999</v>
      </c>
    </row>
    <row r="1430" spans="1:3" x14ac:dyDescent="0.25">
      <c r="A1430" s="19" t="s">
        <v>3327</v>
      </c>
      <c r="C1430" s="5">
        <v>23127.279999999999</v>
      </c>
    </row>
    <row r="1431" spans="1:3" x14ac:dyDescent="0.25">
      <c r="A1431" s="18" t="s">
        <v>3335</v>
      </c>
      <c r="C1431" s="5">
        <v>7064968.9199999999</v>
      </c>
    </row>
    <row r="1432" spans="1:3" x14ac:dyDescent="0.25">
      <c r="A1432" s="19" t="s">
        <v>3332</v>
      </c>
      <c r="C1432" s="5">
        <v>7064968.9199999999</v>
      </c>
    </row>
    <row r="1433" spans="1:3" x14ac:dyDescent="0.25">
      <c r="A1433" s="18" t="s">
        <v>3366</v>
      </c>
      <c r="C1433" s="5">
        <v>484080.1</v>
      </c>
    </row>
    <row r="1434" spans="1:3" x14ac:dyDescent="0.25">
      <c r="A1434" s="19" t="s">
        <v>3363</v>
      </c>
      <c r="C1434" s="5">
        <v>484080.1</v>
      </c>
    </row>
    <row r="1435" spans="1:3" x14ac:dyDescent="0.25">
      <c r="A1435" s="18" t="s">
        <v>3375</v>
      </c>
      <c r="C1435" s="5">
        <v>798490</v>
      </c>
    </row>
    <row r="1436" spans="1:3" x14ac:dyDescent="0.25">
      <c r="A1436" s="19" t="s">
        <v>3372</v>
      </c>
      <c r="C1436" s="5">
        <v>48790</v>
      </c>
    </row>
    <row r="1437" spans="1:3" x14ac:dyDescent="0.25">
      <c r="A1437" s="19" t="s">
        <v>3755</v>
      </c>
      <c r="C1437" s="5">
        <v>749700</v>
      </c>
    </row>
    <row r="1438" spans="1:3" x14ac:dyDescent="0.25">
      <c r="A1438" s="18" t="s">
        <v>3383</v>
      </c>
      <c r="C1438" s="5">
        <v>171895.5</v>
      </c>
    </row>
    <row r="1439" spans="1:3" x14ac:dyDescent="0.25">
      <c r="A1439" s="19" t="s">
        <v>3380</v>
      </c>
      <c r="C1439" s="5">
        <v>171895.5</v>
      </c>
    </row>
    <row r="1440" spans="1:3" x14ac:dyDescent="0.25">
      <c r="A1440" s="18" t="s">
        <v>3401</v>
      </c>
      <c r="C1440" s="5">
        <v>327488</v>
      </c>
    </row>
    <row r="1441" spans="1:3" x14ac:dyDescent="0.25">
      <c r="A1441" s="19" t="s">
        <v>3398</v>
      </c>
      <c r="C1441" s="5">
        <v>327488</v>
      </c>
    </row>
    <row r="1442" spans="1:3" x14ac:dyDescent="0.25">
      <c r="A1442" s="18" t="s">
        <v>3406</v>
      </c>
      <c r="C1442" s="5">
        <v>476535.95</v>
      </c>
    </row>
    <row r="1443" spans="1:3" x14ac:dyDescent="0.25">
      <c r="A1443" s="19" t="s">
        <v>3403</v>
      </c>
      <c r="C1443" s="5">
        <v>476535.95</v>
      </c>
    </row>
    <row r="1444" spans="1:3" x14ac:dyDescent="0.25">
      <c r="A1444" s="18" t="s">
        <v>3428</v>
      </c>
      <c r="C1444" s="5">
        <v>2578730</v>
      </c>
    </row>
    <row r="1445" spans="1:3" x14ac:dyDescent="0.25">
      <c r="A1445" s="19" t="s">
        <v>3425</v>
      </c>
      <c r="C1445" s="5">
        <v>2578730</v>
      </c>
    </row>
    <row r="1446" spans="1:3" x14ac:dyDescent="0.25">
      <c r="A1446" s="18" t="s">
        <v>3441</v>
      </c>
      <c r="C1446" s="5">
        <v>51509150</v>
      </c>
    </row>
    <row r="1447" spans="1:3" x14ac:dyDescent="0.25">
      <c r="A1447" s="19" t="s">
        <v>3438</v>
      </c>
      <c r="C1447" s="5">
        <v>51509150</v>
      </c>
    </row>
    <row r="1448" spans="1:3" x14ac:dyDescent="0.25">
      <c r="A1448" s="18" t="s">
        <v>3479</v>
      </c>
      <c r="C1448" s="5">
        <v>4971126.58</v>
      </c>
    </row>
    <row r="1449" spans="1:3" x14ac:dyDescent="0.25">
      <c r="A1449" s="19" t="s">
        <v>3476</v>
      </c>
      <c r="C1449" s="5">
        <v>351645</v>
      </c>
    </row>
    <row r="1450" spans="1:3" x14ac:dyDescent="0.25">
      <c r="A1450" s="19" t="s">
        <v>3588</v>
      </c>
      <c r="C1450" s="5">
        <v>3058796.58</v>
      </c>
    </row>
    <row r="1451" spans="1:3" x14ac:dyDescent="0.25">
      <c r="A1451" s="19" t="s">
        <v>3684</v>
      </c>
      <c r="C1451" s="5">
        <v>527884</v>
      </c>
    </row>
    <row r="1452" spans="1:3" x14ac:dyDescent="0.25">
      <c r="A1452" s="19" t="s">
        <v>3788</v>
      </c>
      <c r="C1452" s="5">
        <v>172193</v>
      </c>
    </row>
    <row r="1453" spans="1:3" x14ac:dyDescent="0.25">
      <c r="A1453" s="19" t="s">
        <v>3791</v>
      </c>
      <c r="C1453" s="5">
        <v>586908</v>
      </c>
    </row>
    <row r="1454" spans="1:3" x14ac:dyDescent="0.25">
      <c r="A1454" s="19" t="s">
        <v>3888</v>
      </c>
      <c r="C1454" s="5">
        <v>273700</v>
      </c>
    </row>
    <row r="1455" spans="1:3" x14ac:dyDescent="0.25">
      <c r="A1455" s="18" t="s">
        <v>3484</v>
      </c>
      <c r="C1455" s="5">
        <v>1225700</v>
      </c>
    </row>
    <row r="1456" spans="1:3" x14ac:dyDescent="0.25">
      <c r="A1456" s="19" t="s">
        <v>3481</v>
      </c>
      <c r="C1456" s="5">
        <v>1225700</v>
      </c>
    </row>
    <row r="1457" spans="1:3" x14ac:dyDescent="0.25">
      <c r="A1457" s="18" t="s">
        <v>3506</v>
      </c>
      <c r="C1457" s="5">
        <v>616700.69999999995</v>
      </c>
    </row>
    <row r="1458" spans="1:3" x14ac:dyDescent="0.25">
      <c r="A1458" s="19" t="s">
        <v>3503</v>
      </c>
      <c r="C1458" s="5">
        <v>616700.69999999995</v>
      </c>
    </row>
    <row r="1459" spans="1:3" x14ac:dyDescent="0.25">
      <c r="A1459" s="18" t="s">
        <v>3563</v>
      </c>
      <c r="C1459" s="5">
        <v>528086.30000000005</v>
      </c>
    </row>
    <row r="1460" spans="1:3" x14ac:dyDescent="0.25">
      <c r="A1460" s="19" t="s">
        <v>3560</v>
      </c>
      <c r="C1460" s="5">
        <v>399298.55</v>
      </c>
    </row>
    <row r="1461" spans="1:3" x14ac:dyDescent="0.25">
      <c r="A1461" s="19" t="s">
        <v>3565</v>
      </c>
      <c r="C1461" s="5">
        <v>128787.75</v>
      </c>
    </row>
    <row r="1462" spans="1:3" x14ac:dyDescent="0.25">
      <c r="A1462" s="18" t="s">
        <v>3613</v>
      </c>
      <c r="C1462" s="5">
        <v>346052</v>
      </c>
    </row>
    <row r="1463" spans="1:3" x14ac:dyDescent="0.25">
      <c r="A1463" s="19" t="s">
        <v>3610</v>
      </c>
      <c r="C1463" s="5">
        <v>346052</v>
      </c>
    </row>
    <row r="1464" spans="1:3" x14ac:dyDescent="0.25">
      <c r="A1464" s="18" t="s">
        <v>3618</v>
      </c>
      <c r="C1464" s="5">
        <v>1137140.2</v>
      </c>
    </row>
    <row r="1465" spans="1:3" x14ac:dyDescent="0.25">
      <c r="A1465" s="19" t="s">
        <v>3615</v>
      </c>
      <c r="C1465" s="5">
        <v>1137140.2</v>
      </c>
    </row>
    <row r="1466" spans="1:3" x14ac:dyDescent="0.25">
      <c r="A1466" s="18" t="s">
        <v>3623</v>
      </c>
      <c r="C1466" s="5">
        <v>1066240</v>
      </c>
    </row>
    <row r="1467" spans="1:3" x14ac:dyDescent="0.25">
      <c r="A1467" s="19" t="s">
        <v>3620</v>
      </c>
      <c r="C1467" s="5">
        <v>1066240</v>
      </c>
    </row>
    <row r="1468" spans="1:3" x14ac:dyDescent="0.25">
      <c r="A1468" s="18" t="s">
        <v>3636</v>
      </c>
      <c r="C1468" s="5">
        <v>5808951.4699999997</v>
      </c>
    </row>
    <row r="1469" spans="1:3" x14ac:dyDescent="0.25">
      <c r="A1469" s="19" t="s">
        <v>3633</v>
      </c>
      <c r="C1469" s="5">
        <v>5808951.4699999997</v>
      </c>
    </row>
    <row r="1470" spans="1:3" x14ac:dyDescent="0.25">
      <c r="A1470" s="18" t="s">
        <v>3653</v>
      </c>
      <c r="C1470" s="5">
        <v>5683772.2699999996</v>
      </c>
    </row>
    <row r="1471" spans="1:3" x14ac:dyDescent="0.25">
      <c r="A1471" s="19" t="s">
        <v>3650</v>
      </c>
      <c r="C1471" s="5">
        <v>5683772.2699999996</v>
      </c>
    </row>
    <row r="1472" spans="1:3" x14ac:dyDescent="0.25">
      <c r="A1472" s="18" t="s">
        <v>3661</v>
      </c>
      <c r="C1472" s="5">
        <v>8591883.3000000007</v>
      </c>
    </row>
    <row r="1473" spans="1:3" x14ac:dyDescent="0.25">
      <c r="A1473" s="19" t="s">
        <v>3658</v>
      </c>
      <c r="C1473" s="5">
        <v>2950093.3</v>
      </c>
    </row>
    <row r="1474" spans="1:3" x14ac:dyDescent="0.25">
      <c r="A1474" s="19" t="s">
        <v>3666</v>
      </c>
      <c r="C1474" s="5">
        <v>5641790</v>
      </c>
    </row>
    <row r="1475" spans="1:3" x14ac:dyDescent="0.25">
      <c r="A1475" s="18" t="s">
        <v>3672</v>
      </c>
      <c r="C1475" s="5">
        <v>110670</v>
      </c>
    </row>
    <row r="1476" spans="1:3" x14ac:dyDescent="0.25">
      <c r="A1476" s="19" t="s">
        <v>3669</v>
      </c>
      <c r="C1476" s="5">
        <v>110670</v>
      </c>
    </row>
    <row r="1477" spans="1:3" x14ac:dyDescent="0.25">
      <c r="A1477" s="18" t="s">
        <v>3682</v>
      </c>
      <c r="C1477" s="5">
        <v>1035300</v>
      </c>
    </row>
    <row r="1478" spans="1:3" x14ac:dyDescent="0.25">
      <c r="A1478" s="19" t="s">
        <v>3679</v>
      </c>
      <c r="C1478" s="5">
        <v>1035300</v>
      </c>
    </row>
    <row r="1479" spans="1:3" x14ac:dyDescent="0.25">
      <c r="A1479" s="18" t="s">
        <v>3689</v>
      </c>
      <c r="C1479" s="5">
        <v>4958696.4800000004</v>
      </c>
    </row>
    <row r="1480" spans="1:3" x14ac:dyDescent="0.25">
      <c r="A1480" s="19" t="s">
        <v>3686</v>
      </c>
      <c r="C1480" s="5">
        <v>4094171</v>
      </c>
    </row>
    <row r="1481" spans="1:3" x14ac:dyDescent="0.25">
      <c r="A1481" s="19" t="s">
        <v>4031</v>
      </c>
      <c r="C1481" s="5">
        <v>864525.48</v>
      </c>
    </row>
    <row r="1482" spans="1:3" x14ac:dyDescent="0.25">
      <c r="A1482" s="18" t="s">
        <v>3713</v>
      </c>
      <c r="C1482" s="5">
        <v>2689162</v>
      </c>
    </row>
    <row r="1483" spans="1:3" x14ac:dyDescent="0.25">
      <c r="A1483" s="19" t="s">
        <v>3710</v>
      </c>
      <c r="C1483" s="5">
        <v>1344581</v>
      </c>
    </row>
    <row r="1484" spans="1:3" x14ac:dyDescent="0.25">
      <c r="A1484" s="19" t="s">
        <v>3715</v>
      </c>
      <c r="C1484" s="5">
        <v>1344581</v>
      </c>
    </row>
    <row r="1485" spans="1:3" x14ac:dyDescent="0.25">
      <c r="A1485" s="18" t="s">
        <v>3745</v>
      </c>
      <c r="C1485" s="5">
        <v>7567684.8099999996</v>
      </c>
    </row>
    <row r="1486" spans="1:3" x14ac:dyDescent="0.25">
      <c r="A1486" s="19" t="s">
        <v>3742</v>
      </c>
      <c r="C1486" s="5">
        <v>105910</v>
      </c>
    </row>
    <row r="1487" spans="1:3" x14ac:dyDescent="0.25">
      <c r="A1487" s="19" t="s">
        <v>4153</v>
      </c>
      <c r="C1487" s="5">
        <v>7461774.8099999996</v>
      </c>
    </row>
    <row r="1488" spans="1:3" x14ac:dyDescent="0.25">
      <c r="A1488" s="18" t="s">
        <v>3778</v>
      </c>
      <c r="C1488" s="5">
        <v>32200293.300000001</v>
      </c>
    </row>
    <row r="1489" spans="1:3" x14ac:dyDescent="0.25">
      <c r="A1489" s="19" t="s">
        <v>3775</v>
      </c>
      <c r="C1489" s="5">
        <v>32200293.300000001</v>
      </c>
    </row>
    <row r="1490" spans="1:3" x14ac:dyDescent="0.25">
      <c r="A1490" s="18" t="s">
        <v>3808</v>
      </c>
      <c r="C1490" s="5">
        <v>2102273.04</v>
      </c>
    </row>
    <row r="1491" spans="1:3" x14ac:dyDescent="0.25">
      <c r="A1491" s="19" t="s">
        <v>3805</v>
      </c>
      <c r="C1491" s="5">
        <v>529640.43999999994</v>
      </c>
    </row>
    <row r="1492" spans="1:3" x14ac:dyDescent="0.25">
      <c r="A1492" s="19" t="s">
        <v>3810</v>
      </c>
      <c r="C1492" s="5">
        <v>1037132.6</v>
      </c>
    </row>
    <row r="1493" spans="1:3" x14ac:dyDescent="0.25">
      <c r="A1493" s="19" t="s">
        <v>3813</v>
      </c>
      <c r="C1493" s="5">
        <v>535500</v>
      </c>
    </row>
    <row r="1494" spans="1:3" x14ac:dyDescent="0.25">
      <c r="A1494" s="18" t="s">
        <v>3822</v>
      </c>
      <c r="C1494" s="5">
        <v>1559592</v>
      </c>
    </row>
    <row r="1495" spans="1:3" x14ac:dyDescent="0.25">
      <c r="A1495" s="19" t="s">
        <v>3819</v>
      </c>
      <c r="C1495" s="5">
        <v>1559592</v>
      </c>
    </row>
    <row r="1496" spans="1:3" x14ac:dyDescent="0.25">
      <c r="A1496" s="18" t="s">
        <v>3837</v>
      </c>
      <c r="C1496" s="5">
        <v>452200</v>
      </c>
    </row>
    <row r="1497" spans="1:3" x14ac:dyDescent="0.25">
      <c r="A1497" s="19" t="s">
        <v>3834</v>
      </c>
      <c r="C1497" s="5">
        <v>452200</v>
      </c>
    </row>
    <row r="1498" spans="1:3" x14ac:dyDescent="0.25">
      <c r="A1498" s="18" t="s">
        <v>3842</v>
      </c>
      <c r="C1498" s="5">
        <v>1228387.0900000001</v>
      </c>
    </row>
    <row r="1499" spans="1:3" x14ac:dyDescent="0.25">
      <c r="A1499" s="19" t="s">
        <v>3839</v>
      </c>
      <c r="C1499" s="5">
        <v>1228387.0900000001</v>
      </c>
    </row>
    <row r="1500" spans="1:3" x14ac:dyDescent="0.25">
      <c r="A1500" s="18" t="s">
        <v>3847</v>
      </c>
      <c r="C1500" s="5">
        <v>13548150</v>
      </c>
    </row>
    <row r="1501" spans="1:3" x14ac:dyDescent="0.25">
      <c r="A1501" s="19" t="s">
        <v>3844</v>
      </c>
      <c r="C1501" s="5">
        <v>13548150</v>
      </c>
    </row>
    <row r="1502" spans="1:3" x14ac:dyDescent="0.25">
      <c r="A1502" s="18" t="s">
        <v>3855</v>
      </c>
      <c r="C1502" s="5">
        <v>119000</v>
      </c>
    </row>
    <row r="1503" spans="1:3" x14ac:dyDescent="0.25">
      <c r="A1503" s="19" t="s">
        <v>3852</v>
      </c>
      <c r="C1503" s="5">
        <v>119000</v>
      </c>
    </row>
    <row r="1504" spans="1:3" x14ac:dyDescent="0.25">
      <c r="A1504" s="18" t="s">
        <v>3865</v>
      </c>
      <c r="C1504" s="5">
        <v>89771.22</v>
      </c>
    </row>
    <row r="1505" spans="1:3" x14ac:dyDescent="0.25">
      <c r="A1505" s="19" t="s">
        <v>3862</v>
      </c>
      <c r="C1505" s="5">
        <v>89771.22</v>
      </c>
    </row>
    <row r="1506" spans="1:3" x14ac:dyDescent="0.25">
      <c r="A1506" s="18" t="s">
        <v>3875</v>
      </c>
      <c r="C1506" s="5">
        <v>1706717.67</v>
      </c>
    </row>
    <row r="1507" spans="1:3" x14ac:dyDescent="0.25">
      <c r="A1507" s="19" t="s">
        <v>3872</v>
      </c>
      <c r="C1507" s="5">
        <v>1706717.67</v>
      </c>
    </row>
    <row r="1508" spans="1:3" x14ac:dyDescent="0.25">
      <c r="A1508" s="18" t="s">
        <v>3880</v>
      </c>
      <c r="B1508">
        <v>1</v>
      </c>
      <c r="C1508" s="5">
        <v>440587.98</v>
      </c>
    </row>
    <row r="1509" spans="1:3" x14ac:dyDescent="0.25">
      <c r="A1509" s="19" t="s">
        <v>3877</v>
      </c>
      <c r="B1509">
        <v>1</v>
      </c>
      <c r="C1509" s="5">
        <v>440587.98</v>
      </c>
    </row>
    <row r="1510" spans="1:3" x14ac:dyDescent="0.25">
      <c r="A1510" s="18" t="s">
        <v>3894</v>
      </c>
      <c r="C1510" s="5">
        <v>95200</v>
      </c>
    </row>
    <row r="1511" spans="1:3" x14ac:dyDescent="0.25">
      <c r="A1511" s="19" t="s">
        <v>3891</v>
      </c>
      <c r="C1511" s="5">
        <v>95200</v>
      </c>
    </row>
    <row r="1512" spans="1:3" x14ac:dyDescent="0.25">
      <c r="A1512" s="18" t="s">
        <v>3899</v>
      </c>
      <c r="C1512" s="5">
        <v>293941.90000000002</v>
      </c>
    </row>
    <row r="1513" spans="1:3" x14ac:dyDescent="0.25">
      <c r="A1513" s="19" t="s">
        <v>3896</v>
      </c>
      <c r="C1513" s="5">
        <v>293941.90000000002</v>
      </c>
    </row>
    <row r="1514" spans="1:3" x14ac:dyDescent="0.25">
      <c r="A1514" s="18" t="s">
        <v>3930</v>
      </c>
      <c r="C1514" s="5">
        <v>2399040</v>
      </c>
    </row>
    <row r="1515" spans="1:3" x14ac:dyDescent="0.25">
      <c r="A1515" s="19" t="s">
        <v>3927</v>
      </c>
      <c r="C1515" s="5">
        <v>2399040</v>
      </c>
    </row>
    <row r="1516" spans="1:3" x14ac:dyDescent="0.25">
      <c r="A1516" s="18" t="s">
        <v>3943</v>
      </c>
      <c r="C1516" s="5">
        <v>1532125</v>
      </c>
    </row>
    <row r="1517" spans="1:3" x14ac:dyDescent="0.25">
      <c r="A1517" s="19" t="s">
        <v>3940</v>
      </c>
      <c r="C1517" s="5">
        <v>1532125</v>
      </c>
    </row>
    <row r="1518" spans="1:3" x14ac:dyDescent="0.25">
      <c r="A1518" s="18" t="s">
        <v>3948</v>
      </c>
      <c r="C1518" s="5">
        <v>4849250</v>
      </c>
    </row>
    <row r="1519" spans="1:3" x14ac:dyDescent="0.25">
      <c r="A1519" s="19" t="s">
        <v>3945</v>
      </c>
      <c r="C1519" s="5">
        <v>4849250</v>
      </c>
    </row>
    <row r="1520" spans="1:3" x14ac:dyDescent="0.25">
      <c r="A1520" s="18" t="s">
        <v>3958</v>
      </c>
      <c r="C1520" s="5">
        <v>264537</v>
      </c>
    </row>
    <row r="1521" spans="1:3" x14ac:dyDescent="0.25">
      <c r="A1521" s="19" t="s">
        <v>3955</v>
      </c>
      <c r="C1521" s="5">
        <v>264537</v>
      </c>
    </row>
    <row r="1522" spans="1:3" x14ac:dyDescent="0.25">
      <c r="A1522" s="18" t="s">
        <v>3966</v>
      </c>
      <c r="C1522" s="5">
        <v>866320</v>
      </c>
    </row>
    <row r="1523" spans="1:3" x14ac:dyDescent="0.25">
      <c r="A1523" s="19" t="s">
        <v>3963</v>
      </c>
      <c r="C1523" s="5">
        <v>866320</v>
      </c>
    </row>
    <row r="1524" spans="1:3" x14ac:dyDescent="0.25">
      <c r="A1524" s="18" t="s">
        <v>3974</v>
      </c>
      <c r="C1524" s="5">
        <v>540570.59</v>
      </c>
    </row>
    <row r="1525" spans="1:3" x14ac:dyDescent="0.25">
      <c r="A1525" s="19" t="s">
        <v>3971</v>
      </c>
      <c r="C1525" s="5">
        <v>540570.59</v>
      </c>
    </row>
    <row r="1526" spans="1:3" x14ac:dyDescent="0.25">
      <c r="A1526" s="18" t="s">
        <v>3988</v>
      </c>
      <c r="C1526" s="5">
        <v>558110</v>
      </c>
    </row>
    <row r="1527" spans="1:3" x14ac:dyDescent="0.25">
      <c r="A1527" s="19" t="s">
        <v>3985</v>
      </c>
      <c r="C1527" s="5">
        <v>558110</v>
      </c>
    </row>
    <row r="1528" spans="1:3" x14ac:dyDescent="0.25">
      <c r="A1528" s="18" t="s">
        <v>3993</v>
      </c>
      <c r="C1528" s="5">
        <v>297500</v>
      </c>
    </row>
    <row r="1529" spans="1:3" x14ac:dyDescent="0.25">
      <c r="A1529" s="19" t="s">
        <v>3990</v>
      </c>
      <c r="C1529" s="5">
        <v>297500</v>
      </c>
    </row>
    <row r="1530" spans="1:3" x14ac:dyDescent="0.25">
      <c r="A1530" s="18" t="s">
        <v>4002</v>
      </c>
      <c r="C1530" s="5">
        <v>19675600</v>
      </c>
    </row>
    <row r="1531" spans="1:3" x14ac:dyDescent="0.25">
      <c r="A1531" s="19" t="s">
        <v>3999</v>
      </c>
      <c r="C1531" s="5">
        <v>19675600</v>
      </c>
    </row>
    <row r="1532" spans="1:3" x14ac:dyDescent="0.25">
      <c r="A1532" s="18" t="s">
        <v>4007</v>
      </c>
      <c r="C1532" s="5">
        <v>242760</v>
      </c>
    </row>
    <row r="1533" spans="1:3" x14ac:dyDescent="0.25">
      <c r="A1533" s="19" t="s">
        <v>4004</v>
      </c>
      <c r="C1533" s="5">
        <v>242760</v>
      </c>
    </row>
    <row r="1534" spans="1:3" x14ac:dyDescent="0.25">
      <c r="A1534" s="18" t="s">
        <v>4015</v>
      </c>
      <c r="C1534" s="5">
        <v>2649805.13</v>
      </c>
    </row>
    <row r="1535" spans="1:3" x14ac:dyDescent="0.25">
      <c r="A1535" s="19" t="s">
        <v>4012</v>
      </c>
      <c r="C1535" s="5">
        <v>2649805.13</v>
      </c>
    </row>
    <row r="1536" spans="1:3" x14ac:dyDescent="0.25">
      <c r="A1536" s="18" t="s">
        <v>4026</v>
      </c>
      <c r="C1536" s="5">
        <v>2524223.1</v>
      </c>
    </row>
    <row r="1537" spans="1:3" x14ac:dyDescent="0.25">
      <c r="A1537" s="19" t="s">
        <v>4023</v>
      </c>
      <c r="C1537" s="5">
        <v>2524223.1</v>
      </c>
    </row>
    <row r="1538" spans="1:3" x14ac:dyDescent="0.25">
      <c r="A1538" s="18" t="s">
        <v>4048</v>
      </c>
      <c r="C1538" s="5">
        <v>7480857</v>
      </c>
    </row>
    <row r="1539" spans="1:3" x14ac:dyDescent="0.25">
      <c r="A1539" s="19" t="s">
        <v>4045</v>
      </c>
      <c r="C1539" s="5">
        <v>7480857</v>
      </c>
    </row>
    <row r="1540" spans="1:3" x14ac:dyDescent="0.25">
      <c r="A1540" s="18" t="s">
        <v>4053</v>
      </c>
      <c r="C1540" s="5">
        <v>1285200</v>
      </c>
    </row>
    <row r="1541" spans="1:3" x14ac:dyDescent="0.25">
      <c r="A1541" s="19" t="s">
        <v>4050</v>
      </c>
      <c r="C1541" s="5">
        <v>1285200</v>
      </c>
    </row>
    <row r="1542" spans="1:3" x14ac:dyDescent="0.25">
      <c r="A1542" s="18" t="s">
        <v>4066</v>
      </c>
      <c r="C1542" s="5">
        <v>2068220</v>
      </c>
    </row>
    <row r="1543" spans="1:3" x14ac:dyDescent="0.25">
      <c r="A1543" s="19" t="s">
        <v>4063</v>
      </c>
      <c r="C1543" s="5">
        <v>650335</v>
      </c>
    </row>
    <row r="1544" spans="1:3" x14ac:dyDescent="0.25">
      <c r="A1544" s="19" t="s">
        <v>4068</v>
      </c>
      <c r="C1544" s="5">
        <v>650335</v>
      </c>
    </row>
    <row r="1545" spans="1:3" x14ac:dyDescent="0.25">
      <c r="A1545" s="19" t="s">
        <v>4216</v>
      </c>
      <c r="C1545" s="5">
        <v>767550</v>
      </c>
    </row>
    <row r="1546" spans="1:3" x14ac:dyDescent="0.25">
      <c r="A1546" s="18" t="s">
        <v>4082</v>
      </c>
      <c r="C1546" s="5">
        <v>293216</v>
      </c>
    </row>
    <row r="1547" spans="1:3" x14ac:dyDescent="0.25">
      <c r="A1547" s="19" t="s">
        <v>4079</v>
      </c>
      <c r="C1547" s="5">
        <v>293216</v>
      </c>
    </row>
    <row r="1548" spans="1:3" x14ac:dyDescent="0.25">
      <c r="A1548" s="18" t="s">
        <v>4087</v>
      </c>
      <c r="C1548" s="5">
        <v>6580700</v>
      </c>
    </row>
    <row r="1549" spans="1:3" x14ac:dyDescent="0.25">
      <c r="A1549" s="19" t="s">
        <v>4084</v>
      </c>
      <c r="C1549" s="5">
        <v>6580700</v>
      </c>
    </row>
    <row r="1550" spans="1:3" x14ac:dyDescent="0.25">
      <c r="A1550" s="18" t="s">
        <v>4092</v>
      </c>
      <c r="C1550" s="5">
        <v>248332.77</v>
      </c>
    </row>
    <row r="1551" spans="1:3" x14ac:dyDescent="0.25">
      <c r="A1551" s="19" t="s">
        <v>4089</v>
      </c>
      <c r="C1551" s="5">
        <v>248332.77</v>
      </c>
    </row>
    <row r="1552" spans="1:3" x14ac:dyDescent="0.25">
      <c r="A1552" s="18" t="s">
        <v>4112</v>
      </c>
      <c r="C1552" s="5">
        <v>1497020</v>
      </c>
    </row>
    <row r="1553" spans="1:3" x14ac:dyDescent="0.25">
      <c r="A1553" s="19" t="s">
        <v>4108</v>
      </c>
      <c r="C1553" s="5">
        <v>1497020</v>
      </c>
    </row>
    <row r="1554" spans="1:3" x14ac:dyDescent="0.25">
      <c r="A1554" s="18" t="s">
        <v>4146</v>
      </c>
      <c r="C1554" s="5">
        <v>990675</v>
      </c>
    </row>
    <row r="1555" spans="1:3" x14ac:dyDescent="0.25">
      <c r="A1555" s="19" t="s">
        <v>4143</v>
      </c>
      <c r="C1555" s="5">
        <v>990675</v>
      </c>
    </row>
    <row r="1556" spans="1:3" x14ac:dyDescent="0.25">
      <c r="A1556" s="18" t="s">
        <v>4151</v>
      </c>
      <c r="C1556" s="5">
        <v>684726</v>
      </c>
    </row>
    <row r="1557" spans="1:3" x14ac:dyDescent="0.25">
      <c r="A1557" s="19" t="s">
        <v>4148</v>
      </c>
      <c r="C1557" s="5">
        <v>564774</v>
      </c>
    </row>
    <row r="1558" spans="1:3" x14ac:dyDescent="0.25">
      <c r="A1558" s="19" t="s">
        <v>4245</v>
      </c>
      <c r="C1558" s="5">
        <v>119952</v>
      </c>
    </row>
    <row r="1559" spans="1:3" x14ac:dyDescent="0.25">
      <c r="A1559" s="18" t="s">
        <v>4168</v>
      </c>
      <c r="C1559" s="5">
        <v>1781430</v>
      </c>
    </row>
    <row r="1560" spans="1:3" x14ac:dyDescent="0.25">
      <c r="A1560" s="19" t="s">
        <v>4165</v>
      </c>
      <c r="C1560" s="5">
        <v>1781430</v>
      </c>
    </row>
    <row r="1561" spans="1:3" x14ac:dyDescent="0.25">
      <c r="A1561" s="18" t="s">
        <v>4181</v>
      </c>
      <c r="C1561" s="5">
        <v>3350000</v>
      </c>
    </row>
    <row r="1562" spans="1:3" x14ac:dyDescent="0.25">
      <c r="A1562" s="19" t="s">
        <v>4178</v>
      </c>
      <c r="C1562" s="5">
        <v>3350000</v>
      </c>
    </row>
    <row r="1563" spans="1:3" x14ac:dyDescent="0.25">
      <c r="A1563" s="18" t="s">
        <v>4190</v>
      </c>
      <c r="C1563" s="5">
        <v>323053.5</v>
      </c>
    </row>
    <row r="1564" spans="1:3" x14ac:dyDescent="0.25">
      <c r="A1564" s="19" t="s">
        <v>4187</v>
      </c>
      <c r="C1564" s="5">
        <v>323053.5</v>
      </c>
    </row>
    <row r="1565" spans="1:3" x14ac:dyDescent="0.25">
      <c r="A1565" s="18" t="s">
        <v>4199</v>
      </c>
      <c r="C1565" s="5">
        <v>416581.5</v>
      </c>
    </row>
    <row r="1566" spans="1:3" x14ac:dyDescent="0.25">
      <c r="A1566" s="19" t="s">
        <v>4196</v>
      </c>
      <c r="C1566" s="5">
        <v>416581.5</v>
      </c>
    </row>
    <row r="1567" spans="1:3" x14ac:dyDescent="0.25">
      <c r="A1567" s="18" t="s">
        <v>4228</v>
      </c>
      <c r="C1567" s="5">
        <v>21093940</v>
      </c>
    </row>
    <row r="1568" spans="1:3" x14ac:dyDescent="0.25">
      <c r="A1568" s="19" t="s">
        <v>4225</v>
      </c>
      <c r="C1568" s="5">
        <v>21093940</v>
      </c>
    </row>
    <row r="1569" spans="1:3" x14ac:dyDescent="0.25">
      <c r="A1569" s="18" t="s">
        <v>4257</v>
      </c>
      <c r="C1569" s="5">
        <v>4247348</v>
      </c>
    </row>
    <row r="1570" spans="1:3" x14ac:dyDescent="0.25">
      <c r="A1570" s="19" t="s">
        <v>4254</v>
      </c>
      <c r="C1570" s="5">
        <v>4247348</v>
      </c>
    </row>
    <row r="1571" spans="1:3" x14ac:dyDescent="0.25">
      <c r="A1571" s="18" t="s">
        <v>4270</v>
      </c>
      <c r="C1571" s="5">
        <v>249900</v>
      </c>
    </row>
    <row r="1572" spans="1:3" x14ac:dyDescent="0.25">
      <c r="A1572" s="19" t="s">
        <v>4267</v>
      </c>
      <c r="C1572" s="5">
        <v>249900</v>
      </c>
    </row>
    <row r="1573" spans="1:3" x14ac:dyDescent="0.25">
      <c r="A1573" s="18" t="s">
        <v>4284</v>
      </c>
      <c r="C1573" s="5">
        <v>89250</v>
      </c>
    </row>
    <row r="1574" spans="1:3" x14ac:dyDescent="0.25">
      <c r="A1574" s="19" t="s">
        <v>4281</v>
      </c>
      <c r="C1574" s="5">
        <v>89250</v>
      </c>
    </row>
    <row r="1575" spans="1:3" x14ac:dyDescent="0.25">
      <c r="A1575" s="18" t="s">
        <v>4289</v>
      </c>
      <c r="C1575" s="5">
        <v>8306200</v>
      </c>
    </row>
    <row r="1576" spans="1:3" x14ac:dyDescent="0.25">
      <c r="A1576" s="19" t="s">
        <v>4286</v>
      </c>
      <c r="C1576" s="5">
        <v>8306200</v>
      </c>
    </row>
    <row r="1577" spans="1:3" x14ac:dyDescent="0.25">
      <c r="A1577" s="18" t="s">
        <v>4299</v>
      </c>
      <c r="C1577" s="5">
        <v>6111840</v>
      </c>
    </row>
    <row r="1578" spans="1:3" x14ac:dyDescent="0.25">
      <c r="A1578" s="19" t="s">
        <v>4296</v>
      </c>
      <c r="C1578" s="5">
        <v>6111840</v>
      </c>
    </row>
    <row r="1579" spans="1:3" x14ac:dyDescent="0.25">
      <c r="A1579" s="18" t="s">
        <v>4309</v>
      </c>
      <c r="C1579" s="5">
        <v>66640</v>
      </c>
    </row>
    <row r="1580" spans="1:3" x14ac:dyDescent="0.25">
      <c r="A1580" s="19" t="s">
        <v>4306</v>
      </c>
      <c r="C1580" s="5">
        <v>66640</v>
      </c>
    </row>
    <row r="1581" spans="1:3" x14ac:dyDescent="0.25">
      <c r="A1581" s="18" t="s">
        <v>4466</v>
      </c>
      <c r="C1581" s="5"/>
    </row>
    <row r="1582" spans="1:3" x14ac:dyDescent="0.25">
      <c r="A1582" s="19" t="s">
        <v>4310</v>
      </c>
      <c r="C1582" s="5"/>
    </row>
    <row r="1583" spans="1:3" x14ac:dyDescent="0.25">
      <c r="A1583" s="18" t="s">
        <v>4372</v>
      </c>
      <c r="B1583">
        <v>20</v>
      </c>
      <c r="C1583" s="5">
        <v>4969448176.8800011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A62D1-74B0-4E44-8E3B-0DFDDF5AD8C5}">
  <dimension ref="A1:C1583"/>
  <sheetViews>
    <sheetView topLeftCell="A563" workbookViewId="0"/>
  </sheetViews>
  <sheetFormatPr baseColWidth="10" defaultColWidth="9.140625" defaultRowHeight="15" x14ac:dyDescent="0.25"/>
  <cols>
    <col min="1" max="1" width="90.140625" bestFit="1" customWidth="1"/>
    <col min="2" max="2" width="30.28515625" bestFit="1" customWidth="1"/>
    <col min="3" max="3" width="16.85546875" bestFit="1" customWidth="1"/>
    <col min="4" max="5" width="17.7109375" bestFit="1" customWidth="1"/>
  </cols>
  <sheetData>
    <row r="1" spans="1:3" x14ac:dyDescent="0.25">
      <c r="A1" s="4" t="s">
        <v>29</v>
      </c>
      <c r="B1" t="s">
        <v>4464</v>
      </c>
    </row>
    <row r="3" spans="1:3" x14ac:dyDescent="0.25">
      <c r="A3" s="4" t="s">
        <v>4385</v>
      </c>
      <c r="B3" t="s">
        <v>4467</v>
      </c>
      <c r="C3" t="s">
        <v>4316</v>
      </c>
    </row>
    <row r="4" spans="1:3" x14ac:dyDescent="0.25">
      <c r="A4" s="18" t="s">
        <v>778</v>
      </c>
      <c r="C4" s="5">
        <v>3837750</v>
      </c>
    </row>
    <row r="5" spans="1:3" x14ac:dyDescent="0.25">
      <c r="A5" s="19" t="s">
        <v>775</v>
      </c>
      <c r="C5" s="5">
        <v>3837750</v>
      </c>
    </row>
    <row r="6" spans="1:3" x14ac:dyDescent="0.25">
      <c r="A6" s="18" t="s">
        <v>2803</v>
      </c>
      <c r="B6">
        <v>4</v>
      </c>
      <c r="C6" s="5">
        <v>1112310.8500000001</v>
      </c>
    </row>
    <row r="7" spans="1:3" x14ac:dyDescent="0.25">
      <c r="A7" s="19" t="s">
        <v>2800</v>
      </c>
      <c r="B7">
        <v>1</v>
      </c>
      <c r="C7" s="5">
        <v>59500</v>
      </c>
    </row>
    <row r="8" spans="1:3" x14ac:dyDescent="0.25">
      <c r="A8" s="19" t="s">
        <v>2805</v>
      </c>
      <c r="B8">
        <v>1</v>
      </c>
      <c r="C8" s="5">
        <v>126140</v>
      </c>
    </row>
    <row r="9" spans="1:3" x14ac:dyDescent="0.25">
      <c r="A9" s="19" t="s">
        <v>2808</v>
      </c>
      <c r="B9">
        <v>1</v>
      </c>
      <c r="C9" s="5">
        <v>149464</v>
      </c>
    </row>
    <row r="10" spans="1:3" x14ac:dyDescent="0.25">
      <c r="A10" s="19" t="s">
        <v>3494</v>
      </c>
      <c r="B10">
        <v>1</v>
      </c>
      <c r="C10" s="5">
        <v>777206.85</v>
      </c>
    </row>
    <row r="11" spans="1:3" x14ac:dyDescent="0.25">
      <c r="A11" s="18" t="s">
        <v>1973</v>
      </c>
      <c r="C11" s="5">
        <v>938838.6</v>
      </c>
    </row>
    <row r="12" spans="1:3" x14ac:dyDescent="0.25">
      <c r="A12" s="19" t="s">
        <v>1970</v>
      </c>
      <c r="C12" s="5">
        <v>391438.6</v>
      </c>
    </row>
    <row r="13" spans="1:3" x14ac:dyDescent="0.25">
      <c r="A13" s="19" t="s">
        <v>3523</v>
      </c>
      <c r="C13" s="5">
        <v>547400</v>
      </c>
    </row>
    <row r="14" spans="1:3" x14ac:dyDescent="0.25">
      <c r="A14" s="18" t="s">
        <v>1411</v>
      </c>
      <c r="B14">
        <v>2</v>
      </c>
      <c r="C14" s="5">
        <v>2635850</v>
      </c>
    </row>
    <row r="15" spans="1:3" x14ac:dyDescent="0.25">
      <c r="A15" s="19" t="s">
        <v>1408</v>
      </c>
      <c r="B15">
        <v>1</v>
      </c>
      <c r="C15" s="5">
        <v>110670</v>
      </c>
    </row>
    <row r="16" spans="1:3" x14ac:dyDescent="0.25">
      <c r="A16" s="19" t="s">
        <v>1413</v>
      </c>
      <c r="B16">
        <v>1</v>
      </c>
      <c r="C16" s="5">
        <v>171360</v>
      </c>
    </row>
    <row r="17" spans="1:3" x14ac:dyDescent="0.25">
      <c r="A17" s="19" t="s">
        <v>1416</v>
      </c>
      <c r="C17" s="5">
        <v>2353820</v>
      </c>
    </row>
    <row r="18" spans="1:3" x14ac:dyDescent="0.25">
      <c r="A18" s="18" t="s">
        <v>1394</v>
      </c>
      <c r="B18">
        <v>6</v>
      </c>
      <c r="C18" s="5">
        <v>76250440</v>
      </c>
    </row>
    <row r="19" spans="1:3" x14ac:dyDescent="0.25">
      <c r="A19" s="19" t="s">
        <v>1391</v>
      </c>
      <c r="B19">
        <v>1</v>
      </c>
      <c r="C19" s="5">
        <v>15500940</v>
      </c>
    </row>
    <row r="20" spans="1:3" x14ac:dyDescent="0.25">
      <c r="A20" s="19" t="s">
        <v>1396</v>
      </c>
      <c r="B20">
        <v>1</v>
      </c>
      <c r="C20" s="5">
        <v>387940</v>
      </c>
    </row>
    <row r="21" spans="1:3" x14ac:dyDescent="0.25">
      <c r="A21" s="19" t="s">
        <v>1399</v>
      </c>
      <c r="B21">
        <v>1</v>
      </c>
      <c r="C21" s="5">
        <v>5831000</v>
      </c>
    </row>
    <row r="22" spans="1:3" x14ac:dyDescent="0.25">
      <c r="A22" s="19" t="s">
        <v>1402</v>
      </c>
      <c r="B22">
        <v>1</v>
      </c>
      <c r="C22" s="5">
        <v>110670</v>
      </c>
    </row>
    <row r="23" spans="1:3" x14ac:dyDescent="0.25">
      <c r="A23" s="19" t="s">
        <v>1405</v>
      </c>
      <c r="B23">
        <v>1</v>
      </c>
      <c r="C23" s="5">
        <v>49751520</v>
      </c>
    </row>
    <row r="24" spans="1:3" x14ac:dyDescent="0.25">
      <c r="A24" s="19" t="s">
        <v>2363</v>
      </c>
      <c r="B24">
        <v>1</v>
      </c>
      <c r="C24" s="5">
        <v>4668370</v>
      </c>
    </row>
    <row r="25" spans="1:3" x14ac:dyDescent="0.25">
      <c r="A25" s="18" t="s">
        <v>1635</v>
      </c>
      <c r="C25" s="5">
        <v>286599.59999999998</v>
      </c>
    </row>
    <row r="26" spans="1:3" x14ac:dyDescent="0.25">
      <c r="A26" s="19" t="s">
        <v>1632</v>
      </c>
      <c r="C26" s="5">
        <v>286599.59999999998</v>
      </c>
    </row>
    <row r="27" spans="1:3" x14ac:dyDescent="0.25">
      <c r="A27" s="18" t="s">
        <v>3258</v>
      </c>
      <c r="C27" s="5">
        <v>7370860</v>
      </c>
    </row>
    <row r="28" spans="1:3" x14ac:dyDescent="0.25">
      <c r="A28" s="19" t="s">
        <v>3255</v>
      </c>
      <c r="C28" s="5">
        <v>7370860</v>
      </c>
    </row>
    <row r="29" spans="1:3" x14ac:dyDescent="0.25">
      <c r="A29" s="18" t="s">
        <v>2721</v>
      </c>
      <c r="C29" s="5">
        <v>1999200</v>
      </c>
    </row>
    <row r="30" spans="1:3" x14ac:dyDescent="0.25">
      <c r="A30" s="19" t="s">
        <v>2718</v>
      </c>
      <c r="C30" s="5">
        <v>1999200</v>
      </c>
    </row>
    <row r="31" spans="1:3" x14ac:dyDescent="0.25">
      <c r="A31" s="18" t="s">
        <v>1499</v>
      </c>
      <c r="B31">
        <v>2</v>
      </c>
      <c r="C31" s="5">
        <v>1963500</v>
      </c>
    </row>
    <row r="32" spans="1:3" x14ac:dyDescent="0.25">
      <c r="A32" s="19" t="s">
        <v>1496</v>
      </c>
      <c r="B32">
        <v>1</v>
      </c>
      <c r="C32" s="5">
        <v>678300</v>
      </c>
    </row>
    <row r="33" spans="1:3" x14ac:dyDescent="0.25">
      <c r="A33" s="19" t="s">
        <v>2621</v>
      </c>
      <c r="B33">
        <v>1</v>
      </c>
      <c r="C33" s="5">
        <v>1285200</v>
      </c>
    </row>
    <row r="34" spans="1:3" x14ac:dyDescent="0.25">
      <c r="A34" s="18" t="s">
        <v>4233</v>
      </c>
      <c r="C34" s="5">
        <v>1003067.66</v>
      </c>
    </row>
    <row r="35" spans="1:3" x14ac:dyDescent="0.25">
      <c r="A35" s="19" t="s">
        <v>4230</v>
      </c>
      <c r="C35" s="5">
        <v>1003067.66</v>
      </c>
    </row>
    <row r="36" spans="1:3" x14ac:dyDescent="0.25">
      <c r="A36" s="18" t="s">
        <v>4252</v>
      </c>
      <c r="C36" s="5">
        <v>1487500</v>
      </c>
    </row>
    <row r="37" spans="1:3" x14ac:dyDescent="0.25">
      <c r="A37" s="19" t="s">
        <v>4248</v>
      </c>
      <c r="C37" s="5">
        <v>1487500</v>
      </c>
    </row>
    <row r="38" spans="1:3" x14ac:dyDescent="0.25">
      <c r="A38" s="18" t="s">
        <v>3827</v>
      </c>
      <c r="C38" s="5">
        <v>756840</v>
      </c>
    </row>
    <row r="39" spans="1:3" x14ac:dyDescent="0.25">
      <c r="A39" s="19" t="s">
        <v>3824</v>
      </c>
      <c r="C39" s="5">
        <v>756840</v>
      </c>
    </row>
    <row r="40" spans="1:3" x14ac:dyDescent="0.25">
      <c r="A40" s="18" t="s">
        <v>4243</v>
      </c>
      <c r="C40" s="5">
        <v>12155850</v>
      </c>
    </row>
    <row r="41" spans="1:3" x14ac:dyDescent="0.25">
      <c r="A41" s="19" t="s">
        <v>4240</v>
      </c>
      <c r="C41" s="5">
        <v>12155850</v>
      </c>
    </row>
    <row r="42" spans="1:3" x14ac:dyDescent="0.25">
      <c r="A42" s="18" t="s">
        <v>3320</v>
      </c>
      <c r="B42">
        <v>1</v>
      </c>
      <c r="C42" s="5">
        <v>183170.81</v>
      </c>
    </row>
    <row r="43" spans="1:3" x14ac:dyDescent="0.25">
      <c r="A43" s="19" t="s">
        <v>3317</v>
      </c>
      <c r="B43">
        <v>1</v>
      </c>
      <c r="C43" s="5">
        <v>183170.81</v>
      </c>
    </row>
    <row r="44" spans="1:3" x14ac:dyDescent="0.25">
      <c r="A44" s="18" t="s">
        <v>1689</v>
      </c>
      <c r="C44" s="5">
        <v>293820</v>
      </c>
    </row>
    <row r="45" spans="1:3" x14ac:dyDescent="0.25">
      <c r="A45" s="19" t="s">
        <v>1686</v>
      </c>
      <c r="C45" s="5">
        <v>293820</v>
      </c>
    </row>
    <row r="46" spans="1:3" x14ac:dyDescent="0.25">
      <c r="A46" s="18" t="s">
        <v>2742</v>
      </c>
      <c r="C46" s="5">
        <v>1447800</v>
      </c>
    </row>
    <row r="47" spans="1:3" x14ac:dyDescent="0.25">
      <c r="A47" s="19" t="s">
        <v>2739</v>
      </c>
      <c r="C47" s="5">
        <v>1428000</v>
      </c>
    </row>
    <row r="48" spans="1:3" x14ac:dyDescent="0.25">
      <c r="A48" s="19" t="s">
        <v>3062</v>
      </c>
      <c r="C48" s="5">
        <v>19800</v>
      </c>
    </row>
    <row r="49" spans="1:3" x14ac:dyDescent="0.25">
      <c r="A49" s="18" t="s">
        <v>3230</v>
      </c>
      <c r="B49">
        <v>2</v>
      </c>
      <c r="C49" s="5">
        <v>431970</v>
      </c>
    </row>
    <row r="50" spans="1:3" x14ac:dyDescent="0.25">
      <c r="A50" s="19" t="s">
        <v>3227</v>
      </c>
      <c r="B50">
        <v>1</v>
      </c>
      <c r="C50" s="5">
        <v>42840</v>
      </c>
    </row>
    <row r="51" spans="1:3" x14ac:dyDescent="0.25">
      <c r="A51" s="19" t="s">
        <v>3596</v>
      </c>
      <c r="B51">
        <v>1</v>
      </c>
      <c r="C51" s="5">
        <v>389130</v>
      </c>
    </row>
    <row r="52" spans="1:3" x14ac:dyDescent="0.25">
      <c r="A52" s="18" t="s">
        <v>2752</v>
      </c>
      <c r="C52" s="5">
        <v>1071000</v>
      </c>
    </row>
    <row r="53" spans="1:3" x14ac:dyDescent="0.25">
      <c r="A53" s="19" t="s">
        <v>2749</v>
      </c>
      <c r="C53" s="5">
        <v>1071000</v>
      </c>
    </row>
    <row r="54" spans="1:3" x14ac:dyDescent="0.25">
      <c r="A54" s="18" t="s">
        <v>172</v>
      </c>
      <c r="B54">
        <v>1</v>
      </c>
      <c r="C54" s="5">
        <v>8322982.5699999994</v>
      </c>
    </row>
    <row r="55" spans="1:3" x14ac:dyDescent="0.25">
      <c r="A55" s="19" t="s">
        <v>169</v>
      </c>
      <c r="B55">
        <v>1</v>
      </c>
      <c r="C55" s="5">
        <v>3732696.8</v>
      </c>
    </row>
    <row r="56" spans="1:3" x14ac:dyDescent="0.25">
      <c r="A56" s="19" t="s">
        <v>3340</v>
      </c>
      <c r="C56" s="5">
        <v>857588.97</v>
      </c>
    </row>
    <row r="57" spans="1:3" x14ac:dyDescent="0.25">
      <c r="A57" s="19" t="s">
        <v>3419</v>
      </c>
      <c r="C57" s="5">
        <v>3732696.8</v>
      </c>
    </row>
    <row r="58" spans="1:3" x14ac:dyDescent="0.25">
      <c r="A58" s="18" t="s">
        <v>1070</v>
      </c>
      <c r="B58">
        <v>2</v>
      </c>
      <c r="C58" s="5">
        <v>2331995.4</v>
      </c>
    </row>
    <row r="59" spans="1:3" x14ac:dyDescent="0.25">
      <c r="A59" s="19" t="s">
        <v>1067</v>
      </c>
      <c r="B59">
        <v>1</v>
      </c>
      <c r="C59" s="5">
        <v>497146.3</v>
      </c>
    </row>
    <row r="60" spans="1:3" x14ac:dyDescent="0.25">
      <c r="A60" s="19" t="s">
        <v>3638</v>
      </c>
      <c r="B60">
        <v>1</v>
      </c>
      <c r="C60" s="5">
        <v>1834849.1</v>
      </c>
    </row>
    <row r="61" spans="1:3" x14ac:dyDescent="0.25">
      <c r="A61" s="18" t="s">
        <v>3033</v>
      </c>
      <c r="B61">
        <v>4</v>
      </c>
      <c r="C61" s="5">
        <v>527170</v>
      </c>
    </row>
    <row r="62" spans="1:3" x14ac:dyDescent="0.25">
      <c r="A62" s="19" t="s">
        <v>3030</v>
      </c>
      <c r="B62">
        <v>1</v>
      </c>
      <c r="C62" s="5">
        <v>21420</v>
      </c>
    </row>
    <row r="63" spans="1:3" x14ac:dyDescent="0.25">
      <c r="A63" s="19" t="s">
        <v>3044</v>
      </c>
      <c r="B63">
        <v>1</v>
      </c>
      <c r="C63" s="5">
        <v>113050</v>
      </c>
    </row>
    <row r="64" spans="1:3" x14ac:dyDescent="0.25">
      <c r="A64" s="19" t="s">
        <v>3976</v>
      </c>
      <c r="B64">
        <v>1</v>
      </c>
      <c r="C64" s="5">
        <v>196350</v>
      </c>
    </row>
    <row r="65" spans="1:3" x14ac:dyDescent="0.25">
      <c r="A65" s="19" t="s">
        <v>3979</v>
      </c>
      <c r="B65">
        <v>1</v>
      </c>
      <c r="C65" s="5">
        <v>196350</v>
      </c>
    </row>
    <row r="66" spans="1:3" x14ac:dyDescent="0.25">
      <c r="A66" s="18" t="s">
        <v>2918</v>
      </c>
      <c r="B66">
        <v>1</v>
      </c>
      <c r="C66" s="5">
        <v>12173700</v>
      </c>
    </row>
    <row r="67" spans="1:3" x14ac:dyDescent="0.25">
      <c r="A67" s="19" t="s">
        <v>2915</v>
      </c>
      <c r="B67">
        <v>1</v>
      </c>
      <c r="C67" s="5">
        <v>12173700</v>
      </c>
    </row>
    <row r="68" spans="1:3" x14ac:dyDescent="0.25">
      <c r="A68" s="18" t="s">
        <v>1663</v>
      </c>
      <c r="C68" s="5">
        <v>24344806.879999999</v>
      </c>
    </row>
    <row r="69" spans="1:3" x14ac:dyDescent="0.25">
      <c r="A69" s="19" t="s">
        <v>1660</v>
      </c>
      <c r="C69" s="5">
        <v>6907892.8799999999</v>
      </c>
    </row>
    <row r="70" spans="1:3" x14ac:dyDescent="0.25">
      <c r="A70" s="19" t="s">
        <v>2834</v>
      </c>
      <c r="C70" s="5">
        <v>4012680</v>
      </c>
    </row>
    <row r="71" spans="1:3" x14ac:dyDescent="0.25">
      <c r="A71" s="19" t="s">
        <v>2837</v>
      </c>
      <c r="C71" s="5">
        <v>2319072</v>
      </c>
    </row>
    <row r="72" spans="1:3" x14ac:dyDescent="0.25">
      <c r="A72" s="19" t="s">
        <v>3736</v>
      </c>
      <c r="C72" s="5">
        <v>6425762</v>
      </c>
    </row>
    <row r="73" spans="1:3" x14ac:dyDescent="0.25">
      <c r="A73" s="19" t="s">
        <v>3739</v>
      </c>
      <c r="C73" s="5">
        <v>4679400</v>
      </c>
    </row>
    <row r="74" spans="1:3" x14ac:dyDescent="0.25">
      <c r="A74" s="18" t="s">
        <v>1813</v>
      </c>
      <c r="B74">
        <v>1</v>
      </c>
      <c r="C74" s="5">
        <v>28838460</v>
      </c>
    </row>
    <row r="75" spans="1:3" x14ac:dyDescent="0.25">
      <c r="A75" s="19" t="s">
        <v>1810</v>
      </c>
      <c r="B75">
        <v>1</v>
      </c>
      <c r="C75" s="5">
        <v>28838460</v>
      </c>
    </row>
    <row r="76" spans="1:3" x14ac:dyDescent="0.25">
      <c r="A76" s="18" t="s">
        <v>4294</v>
      </c>
      <c r="B76">
        <v>1</v>
      </c>
      <c r="C76" s="5">
        <v>2667435.4</v>
      </c>
    </row>
    <row r="77" spans="1:3" x14ac:dyDescent="0.25">
      <c r="A77" s="19" t="s">
        <v>4291</v>
      </c>
      <c r="B77">
        <v>1</v>
      </c>
      <c r="C77" s="5">
        <v>2667435.4</v>
      </c>
    </row>
    <row r="78" spans="1:3" x14ac:dyDescent="0.25">
      <c r="A78" s="18" t="s">
        <v>529</v>
      </c>
      <c r="B78">
        <v>2</v>
      </c>
      <c r="C78" s="5">
        <v>4340950</v>
      </c>
    </row>
    <row r="79" spans="1:3" x14ac:dyDescent="0.25">
      <c r="A79" s="19" t="s">
        <v>526</v>
      </c>
      <c r="C79" s="5">
        <v>2550000</v>
      </c>
    </row>
    <row r="80" spans="1:3" x14ac:dyDescent="0.25">
      <c r="A80" s="19" t="s">
        <v>2048</v>
      </c>
      <c r="B80">
        <v>1</v>
      </c>
      <c r="C80" s="5">
        <v>380800</v>
      </c>
    </row>
    <row r="81" spans="1:3" x14ac:dyDescent="0.25">
      <c r="A81" s="19" t="s">
        <v>2298</v>
      </c>
      <c r="B81">
        <v>1</v>
      </c>
      <c r="C81" s="5">
        <v>1410150</v>
      </c>
    </row>
    <row r="82" spans="1:3" x14ac:dyDescent="0.25">
      <c r="A82" s="18" t="s">
        <v>374</v>
      </c>
      <c r="C82" s="5">
        <v>42340200</v>
      </c>
    </row>
    <row r="83" spans="1:3" x14ac:dyDescent="0.25">
      <c r="A83" s="19" t="s">
        <v>371</v>
      </c>
      <c r="C83" s="5">
        <v>22729000</v>
      </c>
    </row>
    <row r="84" spans="1:3" x14ac:dyDescent="0.25">
      <c r="A84" s="19" t="s">
        <v>376</v>
      </c>
      <c r="C84" s="5">
        <v>19611200</v>
      </c>
    </row>
    <row r="85" spans="1:3" x14ac:dyDescent="0.25">
      <c r="A85" s="18" t="s">
        <v>2470</v>
      </c>
      <c r="C85" s="5">
        <v>52933760</v>
      </c>
    </row>
    <row r="86" spans="1:3" x14ac:dyDescent="0.25">
      <c r="A86" s="19" t="s">
        <v>2467</v>
      </c>
      <c r="C86" s="5">
        <v>38679760</v>
      </c>
    </row>
    <row r="87" spans="1:3" x14ac:dyDescent="0.25">
      <c r="A87" s="19" t="s">
        <v>2684</v>
      </c>
      <c r="C87" s="5">
        <v>6664000</v>
      </c>
    </row>
    <row r="88" spans="1:3" x14ac:dyDescent="0.25">
      <c r="A88" s="19" t="s">
        <v>3535</v>
      </c>
      <c r="C88" s="5">
        <v>7590000</v>
      </c>
    </row>
    <row r="89" spans="1:3" x14ac:dyDescent="0.25">
      <c r="A89" s="18" t="s">
        <v>1842</v>
      </c>
      <c r="C89" s="5">
        <v>2015793.78</v>
      </c>
    </row>
    <row r="90" spans="1:3" x14ac:dyDescent="0.25">
      <c r="A90" s="19" t="s">
        <v>1839</v>
      </c>
      <c r="C90" s="5">
        <v>2015793.78</v>
      </c>
    </row>
    <row r="91" spans="1:3" x14ac:dyDescent="0.25">
      <c r="A91" s="18" t="s">
        <v>4276</v>
      </c>
      <c r="B91">
        <v>2</v>
      </c>
      <c r="C91" s="5">
        <v>2025859.78</v>
      </c>
    </row>
    <row r="92" spans="1:3" x14ac:dyDescent="0.25">
      <c r="A92" s="19" t="s">
        <v>4272</v>
      </c>
      <c r="B92">
        <v>1</v>
      </c>
      <c r="C92" s="5">
        <v>1788629.78</v>
      </c>
    </row>
    <row r="93" spans="1:3" x14ac:dyDescent="0.25">
      <c r="A93" s="19" t="s">
        <v>4278</v>
      </c>
      <c r="B93">
        <v>1</v>
      </c>
      <c r="C93" s="5">
        <v>237230</v>
      </c>
    </row>
    <row r="94" spans="1:3" x14ac:dyDescent="0.25">
      <c r="A94" s="18" t="s">
        <v>438</v>
      </c>
      <c r="B94">
        <v>2</v>
      </c>
      <c r="C94" s="5">
        <v>70314720</v>
      </c>
    </row>
    <row r="95" spans="1:3" x14ac:dyDescent="0.25">
      <c r="A95" s="19" t="s">
        <v>435</v>
      </c>
      <c r="B95">
        <v>1</v>
      </c>
      <c r="C95" s="5">
        <v>64260000</v>
      </c>
    </row>
    <row r="96" spans="1:3" x14ac:dyDescent="0.25">
      <c r="A96" s="19">
        <v>104709</v>
      </c>
      <c r="B96">
        <v>1</v>
      </c>
      <c r="C96" s="5">
        <v>6054720</v>
      </c>
    </row>
    <row r="97" spans="1:3" x14ac:dyDescent="0.25">
      <c r="A97" s="18" t="s">
        <v>4058</v>
      </c>
      <c r="C97" s="5">
        <v>1035300</v>
      </c>
    </row>
    <row r="98" spans="1:3" x14ac:dyDescent="0.25">
      <c r="A98" s="19" t="s">
        <v>4055</v>
      </c>
      <c r="C98" s="5">
        <v>1035300</v>
      </c>
    </row>
    <row r="99" spans="1:3" x14ac:dyDescent="0.25">
      <c r="A99" s="18" t="s">
        <v>338</v>
      </c>
      <c r="C99" s="5">
        <v>891284.8</v>
      </c>
    </row>
    <row r="100" spans="1:3" x14ac:dyDescent="0.25">
      <c r="A100" s="19" t="s">
        <v>335</v>
      </c>
      <c r="C100" s="5">
        <v>891284.8</v>
      </c>
    </row>
    <row r="101" spans="1:3" x14ac:dyDescent="0.25">
      <c r="A101" s="18" t="s">
        <v>1369</v>
      </c>
      <c r="B101">
        <v>7</v>
      </c>
      <c r="C101" s="5">
        <v>12074887.160000002</v>
      </c>
    </row>
    <row r="102" spans="1:3" x14ac:dyDescent="0.25">
      <c r="A102" s="19" t="s">
        <v>1366</v>
      </c>
      <c r="B102">
        <v>1</v>
      </c>
      <c r="C102" s="5">
        <v>48694.8</v>
      </c>
    </row>
    <row r="103" spans="1:3" x14ac:dyDescent="0.25">
      <c r="A103" s="19" t="s">
        <v>1443</v>
      </c>
      <c r="B103">
        <v>1</v>
      </c>
      <c r="C103" s="5">
        <v>4636978.99</v>
      </c>
    </row>
    <row r="104" spans="1:3" x14ac:dyDescent="0.25">
      <c r="A104" s="19" t="s">
        <v>2786</v>
      </c>
      <c r="B104">
        <v>1</v>
      </c>
      <c r="C104" s="5">
        <v>212499.49</v>
      </c>
    </row>
    <row r="105" spans="1:3" x14ac:dyDescent="0.25">
      <c r="A105" s="19" t="s">
        <v>2789</v>
      </c>
      <c r="B105">
        <v>1</v>
      </c>
      <c r="C105" s="5">
        <v>183855</v>
      </c>
    </row>
    <row r="106" spans="1:3" x14ac:dyDescent="0.25">
      <c r="A106" s="19" t="s">
        <v>2792</v>
      </c>
      <c r="B106">
        <v>1</v>
      </c>
      <c r="C106" s="5">
        <v>163744</v>
      </c>
    </row>
    <row r="107" spans="1:3" x14ac:dyDescent="0.25">
      <c r="A107" s="19" t="s">
        <v>2924</v>
      </c>
      <c r="B107">
        <v>1</v>
      </c>
      <c r="C107" s="5">
        <v>5177987.5</v>
      </c>
    </row>
    <row r="108" spans="1:3" x14ac:dyDescent="0.25">
      <c r="A108" s="19" t="s">
        <v>2927</v>
      </c>
      <c r="B108">
        <v>1</v>
      </c>
      <c r="C108" s="5">
        <v>391828.92</v>
      </c>
    </row>
    <row r="109" spans="1:3" x14ac:dyDescent="0.25">
      <c r="A109" s="19" t="s">
        <v>3526</v>
      </c>
      <c r="C109" s="5">
        <v>788970</v>
      </c>
    </row>
    <row r="110" spans="1:3" x14ac:dyDescent="0.25">
      <c r="A110" s="19" t="s">
        <v>3529</v>
      </c>
      <c r="C110" s="5">
        <v>222649</v>
      </c>
    </row>
    <row r="111" spans="1:3" x14ac:dyDescent="0.25">
      <c r="A111" s="19" t="s">
        <v>3968</v>
      </c>
      <c r="C111" s="5">
        <v>195914.46</v>
      </c>
    </row>
    <row r="112" spans="1:3" x14ac:dyDescent="0.25">
      <c r="A112" s="19" t="s">
        <v>3995</v>
      </c>
      <c r="C112" s="5">
        <v>51765</v>
      </c>
    </row>
    <row r="113" spans="1:3" x14ac:dyDescent="0.25">
      <c r="A113" s="18" t="s">
        <v>211</v>
      </c>
      <c r="C113" s="5">
        <v>28640607.030000001</v>
      </c>
    </row>
    <row r="114" spans="1:3" x14ac:dyDescent="0.25">
      <c r="A114" s="19" t="s">
        <v>208</v>
      </c>
      <c r="C114" s="5">
        <v>5182530.92</v>
      </c>
    </row>
    <row r="115" spans="1:3" x14ac:dyDescent="0.25">
      <c r="A115" s="19" t="s">
        <v>1828</v>
      </c>
      <c r="C115" s="5">
        <v>23458076.109999999</v>
      </c>
    </row>
    <row r="116" spans="1:3" x14ac:dyDescent="0.25">
      <c r="A116" s="18" t="s">
        <v>500</v>
      </c>
      <c r="B116">
        <v>9</v>
      </c>
      <c r="C116" s="5">
        <v>7463680</v>
      </c>
    </row>
    <row r="117" spans="1:3" x14ac:dyDescent="0.25">
      <c r="A117" s="19" t="s">
        <v>497</v>
      </c>
      <c r="B117">
        <v>1</v>
      </c>
      <c r="C117" s="5">
        <v>856800</v>
      </c>
    </row>
    <row r="118" spans="1:3" x14ac:dyDescent="0.25">
      <c r="A118" s="19" t="s">
        <v>964</v>
      </c>
      <c r="B118">
        <v>1</v>
      </c>
      <c r="C118" s="5">
        <v>428400</v>
      </c>
    </row>
    <row r="119" spans="1:3" x14ac:dyDescent="0.25">
      <c r="A119" s="19" t="s">
        <v>3204</v>
      </c>
      <c r="B119">
        <v>1</v>
      </c>
      <c r="C119" s="5">
        <v>734230</v>
      </c>
    </row>
    <row r="120" spans="1:3" x14ac:dyDescent="0.25">
      <c r="A120" s="19" t="s">
        <v>3207</v>
      </c>
      <c r="B120">
        <v>1</v>
      </c>
      <c r="C120" s="5">
        <v>79730</v>
      </c>
    </row>
    <row r="121" spans="1:3" x14ac:dyDescent="0.25">
      <c r="A121" s="19" t="s">
        <v>3210</v>
      </c>
      <c r="B121">
        <v>1</v>
      </c>
      <c r="C121" s="5">
        <v>717570</v>
      </c>
    </row>
    <row r="122" spans="1:3" x14ac:dyDescent="0.25">
      <c r="A122" s="19" t="s">
        <v>3213</v>
      </c>
      <c r="B122">
        <v>1</v>
      </c>
      <c r="C122" s="5">
        <v>2052750</v>
      </c>
    </row>
    <row r="123" spans="1:3" x14ac:dyDescent="0.25">
      <c r="A123" s="19" t="s">
        <v>3216</v>
      </c>
      <c r="B123">
        <v>1</v>
      </c>
      <c r="C123" s="5">
        <v>428400</v>
      </c>
    </row>
    <row r="124" spans="1:3" x14ac:dyDescent="0.25">
      <c r="A124" s="19" t="s">
        <v>3219</v>
      </c>
      <c r="B124">
        <v>1</v>
      </c>
      <c r="C124" s="5">
        <v>1904000</v>
      </c>
    </row>
    <row r="125" spans="1:3" x14ac:dyDescent="0.25">
      <c r="A125" s="19" t="s">
        <v>3882</v>
      </c>
      <c r="B125">
        <v>1</v>
      </c>
      <c r="C125" s="5">
        <v>261800</v>
      </c>
    </row>
    <row r="126" spans="1:3" x14ac:dyDescent="0.25">
      <c r="A126" s="18" t="s">
        <v>1885</v>
      </c>
      <c r="B126">
        <v>2</v>
      </c>
      <c r="C126" s="5">
        <v>8529749.6699999999</v>
      </c>
    </row>
    <row r="127" spans="1:3" x14ac:dyDescent="0.25">
      <c r="A127" s="19" t="s">
        <v>1882</v>
      </c>
      <c r="B127">
        <v>1</v>
      </c>
      <c r="C127" s="5">
        <v>7585803.5899999999</v>
      </c>
    </row>
    <row r="128" spans="1:3" x14ac:dyDescent="0.25">
      <c r="A128" s="19" t="s">
        <v>3915</v>
      </c>
      <c r="B128">
        <v>1</v>
      </c>
      <c r="C128" s="5">
        <v>943946.08</v>
      </c>
    </row>
    <row r="129" spans="1:3" x14ac:dyDescent="0.25">
      <c r="A129" s="18" t="s">
        <v>1491</v>
      </c>
      <c r="C129" s="5">
        <v>352240</v>
      </c>
    </row>
    <row r="130" spans="1:3" x14ac:dyDescent="0.25">
      <c r="A130" s="19" t="s">
        <v>1488</v>
      </c>
      <c r="C130" s="5">
        <v>352240</v>
      </c>
    </row>
    <row r="131" spans="1:3" x14ac:dyDescent="0.25">
      <c r="A131" s="18" t="s">
        <v>2046</v>
      </c>
      <c r="B131">
        <v>1</v>
      </c>
      <c r="C131" s="5">
        <v>216246.8</v>
      </c>
    </row>
    <row r="132" spans="1:3" x14ac:dyDescent="0.25">
      <c r="A132" s="19" t="s">
        <v>2043</v>
      </c>
      <c r="B132">
        <v>1</v>
      </c>
      <c r="C132" s="5">
        <v>216246.8</v>
      </c>
    </row>
    <row r="133" spans="1:3" x14ac:dyDescent="0.25">
      <c r="A133" s="18" t="s">
        <v>1516</v>
      </c>
      <c r="C133" s="5">
        <v>3314999.66</v>
      </c>
    </row>
    <row r="134" spans="1:3" x14ac:dyDescent="0.25">
      <c r="A134" s="19" t="s">
        <v>1513</v>
      </c>
      <c r="C134" s="5">
        <v>3314999.66</v>
      </c>
    </row>
    <row r="135" spans="1:3" x14ac:dyDescent="0.25">
      <c r="A135" s="18" t="s">
        <v>3913</v>
      </c>
      <c r="B135">
        <v>1</v>
      </c>
      <c r="C135" s="5">
        <v>182427</v>
      </c>
    </row>
    <row r="136" spans="1:3" x14ac:dyDescent="0.25">
      <c r="A136" s="19" t="s">
        <v>3910</v>
      </c>
      <c r="B136">
        <v>1</v>
      </c>
      <c r="C136" s="5">
        <v>182427</v>
      </c>
    </row>
    <row r="137" spans="1:3" x14ac:dyDescent="0.25">
      <c r="A137" s="18" t="s">
        <v>144</v>
      </c>
      <c r="C137" s="5">
        <v>32361939.329999998</v>
      </c>
    </row>
    <row r="138" spans="1:3" x14ac:dyDescent="0.25">
      <c r="A138" s="19" t="s">
        <v>141</v>
      </c>
      <c r="C138" s="5">
        <v>6375620.1600000001</v>
      </c>
    </row>
    <row r="139" spans="1:3" x14ac:dyDescent="0.25">
      <c r="A139" s="19" t="s">
        <v>146</v>
      </c>
      <c r="C139" s="5">
        <v>3187810.08</v>
      </c>
    </row>
    <row r="140" spans="1:3" x14ac:dyDescent="0.25">
      <c r="A140" s="19" t="s">
        <v>624</v>
      </c>
      <c r="C140" s="5">
        <v>163045.47</v>
      </c>
    </row>
    <row r="141" spans="1:3" x14ac:dyDescent="0.25">
      <c r="A141" s="19" t="s">
        <v>828</v>
      </c>
      <c r="C141" s="5">
        <v>3187810.08</v>
      </c>
    </row>
    <row r="142" spans="1:3" x14ac:dyDescent="0.25">
      <c r="A142" s="19" t="s">
        <v>847</v>
      </c>
      <c r="C142" s="5">
        <v>2337439.65</v>
      </c>
    </row>
    <row r="143" spans="1:3" x14ac:dyDescent="0.25">
      <c r="A143" s="19" t="s">
        <v>850</v>
      </c>
      <c r="C143" s="5">
        <v>2337439.65</v>
      </c>
    </row>
    <row r="144" spans="1:3" x14ac:dyDescent="0.25">
      <c r="A144" s="19" t="s">
        <v>853</v>
      </c>
      <c r="C144" s="5">
        <v>7012318.9500000002</v>
      </c>
    </row>
    <row r="145" spans="1:3" x14ac:dyDescent="0.25">
      <c r="A145" s="19" t="s">
        <v>1697</v>
      </c>
      <c r="C145" s="5">
        <v>2337439.65</v>
      </c>
    </row>
    <row r="146" spans="1:3" x14ac:dyDescent="0.25">
      <c r="A146" s="19" t="s">
        <v>1700</v>
      </c>
      <c r="C146" s="5">
        <v>3187810.08</v>
      </c>
    </row>
    <row r="147" spans="1:3" x14ac:dyDescent="0.25">
      <c r="A147" s="19" t="s">
        <v>2495</v>
      </c>
      <c r="C147" s="5">
        <v>1497215.16</v>
      </c>
    </row>
    <row r="148" spans="1:3" x14ac:dyDescent="0.25">
      <c r="A148" s="19" t="s">
        <v>3455</v>
      </c>
      <c r="C148" s="5">
        <v>491993.59999999998</v>
      </c>
    </row>
    <row r="149" spans="1:3" x14ac:dyDescent="0.25">
      <c r="A149" s="19" t="s">
        <v>3458</v>
      </c>
      <c r="C149" s="5">
        <v>245996.79999999999</v>
      </c>
    </row>
    <row r="150" spans="1:3" x14ac:dyDescent="0.25">
      <c r="A150" s="18" t="s">
        <v>1171</v>
      </c>
      <c r="C150" s="5">
        <v>2141906</v>
      </c>
    </row>
    <row r="151" spans="1:3" x14ac:dyDescent="0.25">
      <c r="A151" s="19" t="s">
        <v>1168</v>
      </c>
      <c r="C151" s="5">
        <v>418180</v>
      </c>
    </row>
    <row r="152" spans="1:3" x14ac:dyDescent="0.25">
      <c r="A152" s="19" t="s">
        <v>4170</v>
      </c>
      <c r="C152" s="5">
        <v>1723726</v>
      </c>
    </row>
    <row r="153" spans="1:3" x14ac:dyDescent="0.25">
      <c r="A153" s="18" t="s">
        <v>2199</v>
      </c>
      <c r="C153" s="5">
        <v>35114.519999999997</v>
      </c>
    </row>
    <row r="154" spans="1:3" x14ac:dyDescent="0.25">
      <c r="A154" s="19" t="s">
        <v>2195</v>
      </c>
      <c r="C154" s="5">
        <v>35114.519999999997</v>
      </c>
    </row>
    <row r="155" spans="1:3" x14ac:dyDescent="0.25">
      <c r="A155" s="18" t="s">
        <v>3631</v>
      </c>
      <c r="B155">
        <v>1</v>
      </c>
      <c r="C155" s="5">
        <v>2154971</v>
      </c>
    </row>
    <row r="156" spans="1:3" x14ac:dyDescent="0.25">
      <c r="A156" s="19" t="s">
        <v>3628</v>
      </c>
      <c r="C156" s="5">
        <v>158270</v>
      </c>
    </row>
    <row r="157" spans="1:3" x14ac:dyDescent="0.25">
      <c r="A157" s="19" t="s">
        <v>3724</v>
      </c>
      <c r="B157">
        <v>1</v>
      </c>
      <c r="C157" s="5">
        <v>1140972</v>
      </c>
    </row>
    <row r="158" spans="1:3" x14ac:dyDescent="0.25">
      <c r="A158" s="19" t="s">
        <v>3901</v>
      </c>
      <c r="C158" s="5">
        <v>855729</v>
      </c>
    </row>
    <row r="159" spans="1:3" x14ac:dyDescent="0.25">
      <c r="A159" s="18" t="s">
        <v>648</v>
      </c>
      <c r="C159" s="5">
        <v>428400</v>
      </c>
    </row>
    <row r="160" spans="1:3" x14ac:dyDescent="0.25">
      <c r="A160" s="19" t="s">
        <v>645</v>
      </c>
      <c r="C160" s="5">
        <v>428400</v>
      </c>
    </row>
    <row r="161" spans="1:3" x14ac:dyDescent="0.25">
      <c r="A161" s="18" t="s">
        <v>80</v>
      </c>
      <c r="C161" s="5">
        <v>87205107.570000023</v>
      </c>
    </row>
    <row r="162" spans="1:3" x14ac:dyDescent="0.25">
      <c r="A162" s="19" t="s">
        <v>77</v>
      </c>
      <c r="C162" s="5">
        <v>2890148.24</v>
      </c>
    </row>
    <row r="163" spans="1:3" x14ac:dyDescent="0.25">
      <c r="A163" s="19" t="s">
        <v>82</v>
      </c>
      <c r="C163" s="5">
        <v>17453189.739999998</v>
      </c>
    </row>
    <row r="164" spans="1:3" x14ac:dyDescent="0.25">
      <c r="A164" s="19" t="s">
        <v>86</v>
      </c>
      <c r="C164" s="5">
        <v>1535483.18</v>
      </c>
    </row>
    <row r="165" spans="1:3" x14ac:dyDescent="0.25">
      <c r="A165" s="19" t="s">
        <v>89</v>
      </c>
      <c r="C165" s="5">
        <v>20067073.530000001</v>
      </c>
    </row>
    <row r="166" spans="1:3" x14ac:dyDescent="0.25">
      <c r="A166" s="19" t="s">
        <v>92</v>
      </c>
      <c r="C166" s="5">
        <v>6141932.7199999997</v>
      </c>
    </row>
    <row r="167" spans="1:3" x14ac:dyDescent="0.25">
      <c r="A167" s="19" t="s">
        <v>95</v>
      </c>
      <c r="C167" s="5">
        <v>645233.47</v>
      </c>
    </row>
    <row r="168" spans="1:3" x14ac:dyDescent="0.25">
      <c r="A168" s="19" t="s">
        <v>98</v>
      </c>
      <c r="C168" s="5">
        <v>2337439.65</v>
      </c>
    </row>
    <row r="169" spans="1:3" x14ac:dyDescent="0.25">
      <c r="A169" s="19" t="s">
        <v>101</v>
      </c>
      <c r="C169" s="5">
        <v>2337439.65</v>
      </c>
    </row>
    <row r="170" spans="1:3" x14ac:dyDescent="0.25">
      <c r="A170" s="19" t="s">
        <v>627</v>
      </c>
      <c r="C170" s="5">
        <v>248531.5</v>
      </c>
    </row>
    <row r="171" spans="1:3" x14ac:dyDescent="0.25">
      <c r="A171" s="19" t="s">
        <v>831</v>
      </c>
      <c r="C171" s="5">
        <v>16362077.550000001</v>
      </c>
    </row>
    <row r="172" spans="1:3" x14ac:dyDescent="0.25">
      <c r="A172" s="19" t="s">
        <v>834</v>
      </c>
      <c r="C172" s="5">
        <v>5525249.7300000004</v>
      </c>
    </row>
    <row r="173" spans="1:3" x14ac:dyDescent="0.25">
      <c r="A173" s="19" t="s">
        <v>1270</v>
      </c>
      <c r="C173" s="5">
        <v>1405687.5</v>
      </c>
    </row>
    <row r="174" spans="1:3" x14ac:dyDescent="0.25">
      <c r="A174" s="19" t="s">
        <v>1273</v>
      </c>
      <c r="C174" s="5">
        <v>57120</v>
      </c>
    </row>
    <row r="175" spans="1:3" x14ac:dyDescent="0.25">
      <c r="A175" s="19" t="s">
        <v>1276</v>
      </c>
      <c r="C175" s="5">
        <v>737015.79</v>
      </c>
    </row>
    <row r="176" spans="1:3" x14ac:dyDescent="0.25">
      <c r="A176" s="19" t="s">
        <v>1279</v>
      </c>
      <c r="C176" s="5">
        <v>1338500.1000000001</v>
      </c>
    </row>
    <row r="177" spans="1:3" x14ac:dyDescent="0.25">
      <c r="A177" s="19" t="s">
        <v>1691</v>
      </c>
      <c r="C177" s="5">
        <v>2337439.65</v>
      </c>
    </row>
    <row r="178" spans="1:3" x14ac:dyDescent="0.25">
      <c r="A178" s="19" t="s">
        <v>2639</v>
      </c>
      <c r="C178" s="5">
        <v>740444.18</v>
      </c>
    </row>
    <row r="179" spans="1:3" x14ac:dyDescent="0.25">
      <c r="A179" s="19" t="s">
        <v>2647</v>
      </c>
      <c r="C179" s="5">
        <v>370222.09</v>
      </c>
    </row>
    <row r="180" spans="1:3" x14ac:dyDescent="0.25">
      <c r="A180" s="19" t="s">
        <v>3918</v>
      </c>
      <c r="C180" s="5">
        <v>2337439.65</v>
      </c>
    </row>
    <row r="181" spans="1:3" x14ac:dyDescent="0.25">
      <c r="A181" s="19" t="s">
        <v>3921</v>
      </c>
      <c r="C181" s="5">
        <v>2337439.65</v>
      </c>
    </row>
    <row r="182" spans="1:3" x14ac:dyDescent="0.25">
      <c r="A182" s="18" t="s">
        <v>727</v>
      </c>
      <c r="C182" s="5">
        <v>906899</v>
      </c>
    </row>
    <row r="183" spans="1:3" x14ac:dyDescent="0.25">
      <c r="A183" s="19" t="s">
        <v>724</v>
      </c>
      <c r="C183" s="5">
        <v>906899</v>
      </c>
    </row>
    <row r="184" spans="1:3" x14ac:dyDescent="0.25">
      <c r="A184" s="18" t="s">
        <v>3163</v>
      </c>
      <c r="C184" s="5">
        <v>407607.83</v>
      </c>
    </row>
    <row r="185" spans="1:3" x14ac:dyDescent="0.25">
      <c r="A185" s="19" t="s">
        <v>3160</v>
      </c>
      <c r="C185" s="5">
        <v>407607.83</v>
      </c>
    </row>
    <row r="186" spans="1:3" x14ac:dyDescent="0.25">
      <c r="A186" s="18" t="s">
        <v>2779</v>
      </c>
      <c r="B186">
        <v>1</v>
      </c>
      <c r="C186" s="5">
        <v>1796012.75</v>
      </c>
    </row>
    <row r="187" spans="1:3" x14ac:dyDescent="0.25">
      <c r="A187" s="19" t="s">
        <v>2776</v>
      </c>
      <c r="B187">
        <v>1</v>
      </c>
      <c r="C187" s="5">
        <v>1796012.75</v>
      </c>
    </row>
    <row r="188" spans="1:3" x14ac:dyDescent="0.25">
      <c r="A188" s="18" t="s">
        <v>1589</v>
      </c>
      <c r="C188" s="5">
        <v>899640</v>
      </c>
    </row>
    <row r="189" spans="1:3" x14ac:dyDescent="0.25">
      <c r="A189" s="19" t="s">
        <v>1586</v>
      </c>
      <c r="C189" s="5">
        <v>899640</v>
      </c>
    </row>
    <row r="190" spans="1:3" x14ac:dyDescent="0.25">
      <c r="A190" s="18" t="s">
        <v>2784</v>
      </c>
      <c r="C190" s="5">
        <v>8294300</v>
      </c>
    </row>
    <row r="191" spans="1:3" x14ac:dyDescent="0.25">
      <c r="A191" s="19" t="s">
        <v>2781</v>
      </c>
      <c r="C191" s="5">
        <v>7723100</v>
      </c>
    </row>
    <row r="192" spans="1:3" x14ac:dyDescent="0.25">
      <c r="A192" s="19" t="s">
        <v>3764</v>
      </c>
      <c r="C192" s="5">
        <v>571200</v>
      </c>
    </row>
    <row r="193" spans="1:3" x14ac:dyDescent="0.25">
      <c r="A193" s="18" t="s">
        <v>2142</v>
      </c>
      <c r="B193">
        <v>1</v>
      </c>
      <c r="C193" s="5">
        <v>4998000</v>
      </c>
    </row>
    <row r="194" spans="1:3" x14ac:dyDescent="0.25">
      <c r="A194" s="19" t="s">
        <v>2139</v>
      </c>
      <c r="B194">
        <v>1</v>
      </c>
      <c r="C194" s="5">
        <v>4998000</v>
      </c>
    </row>
    <row r="195" spans="1:3" x14ac:dyDescent="0.25">
      <c r="A195" s="18" t="s">
        <v>1653</v>
      </c>
      <c r="C195" s="5">
        <v>4120399.56</v>
      </c>
    </row>
    <row r="196" spans="1:3" x14ac:dyDescent="0.25">
      <c r="A196" s="19" t="s">
        <v>1650</v>
      </c>
      <c r="C196" s="5">
        <v>3353801.56</v>
      </c>
    </row>
    <row r="197" spans="1:3" x14ac:dyDescent="0.25">
      <c r="A197" s="19" t="s">
        <v>1665</v>
      </c>
      <c r="C197" s="5">
        <v>766598</v>
      </c>
    </row>
    <row r="198" spans="1:3" x14ac:dyDescent="0.25">
      <c r="A198" s="18" t="s">
        <v>2903</v>
      </c>
      <c r="C198" s="5">
        <v>458150</v>
      </c>
    </row>
    <row r="199" spans="1:3" x14ac:dyDescent="0.25">
      <c r="A199" s="19" t="s">
        <v>2900</v>
      </c>
      <c r="C199" s="5">
        <v>458150</v>
      </c>
    </row>
    <row r="200" spans="1:3" x14ac:dyDescent="0.25">
      <c r="A200" s="18" t="s">
        <v>2798</v>
      </c>
      <c r="C200" s="5">
        <v>357000</v>
      </c>
    </row>
    <row r="201" spans="1:3" x14ac:dyDescent="0.25">
      <c r="A201" s="19" t="s">
        <v>2795</v>
      </c>
      <c r="C201" s="5">
        <v>357000</v>
      </c>
    </row>
    <row r="202" spans="1:3" x14ac:dyDescent="0.25">
      <c r="A202" s="18" t="s">
        <v>958</v>
      </c>
      <c r="B202">
        <v>1</v>
      </c>
      <c r="C202" s="5">
        <v>1237600</v>
      </c>
    </row>
    <row r="203" spans="1:3" x14ac:dyDescent="0.25">
      <c r="A203" s="19" t="s">
        <v>955</v>
      </c>
      <c r="B203">
        <v>1</v>
      </c>
      <c r="C203" s="5">
        <v>1237600</v>
      </c>
    </row>
    <row r="204" spans="1:3" x14ac:dyDescent="0.25">
      <c r="A204" s="18" t="s">
        <v>305</v>
      </c>
      <c r="B204">
        <v>3</v>
      </c>
      <c r="C204" s="5">
        <v>34422406.380000003</v>
      </c>
    </row>
    <row r="205" spans="1:3" x14ac:dyDescent="0.25">
      <c r="A205" s="19" t="s">
        <v>302</v>
      </c>
      <c r="B205">
        <v>1</v>
      </c>
      <c r="C205" s="5">
        <v>1677253.45</v>
      </c>
    </row>
    <row r="206" spans="1:3" x14ac:dyDescent="0.25">
      <c r="A206" s="19" t="s">
        <v>1683</v>
      </c>
      <c r="B206">
        <v>1</v>
      </c>
      <c r="C206" s="5">
        <v>5407714.9000000004</v>
      </c>
    </row>
    <row r="207" spans="1:3" x14ac:dyDescent="0.25">
      <c r="A207" s="19" t="s">
        <v>2763</v>
      </c>
      <c r="C207" s="5">
        <v>8949058.2300000004</v>
      </c>
    </row>
    <row r="208" spans="1:3" x14ac:dyDescent="0.25">
      <c r="A208" s="19" t="s">
        <v>3557</v>
      </c>
      <c r="C208" s="5">
        <v>2034031.3</v>
      </c>
    </row>
    <row r="209" spans="1:3" x14ac:dyDescent="0.25">
      <c r="A209" s="19" t="s">
        <v>4017</v>
      </c>
      <c r="C209" s="5">
        <v>2490848.5</v>
      </c>
    </row>
    <row r="210" spans="1:3" x14ac:dyDescent="0.25">
      <c r="A210" s="19" t="s">
        <v>4162</v>
      </c>
      <c r="B210">
        <v>1</v>
      </c>
      <c r="C210" s="5">
        <v>13863500</v>
      </c>
    </row>
    <row r="211" spans="1:3" x14ac:dyDescent="0.25">
      <c r="A211" s="18" t="s">
        <v>113</v>
      </c>
      <c r="B211">
        <v>4</v>
      </c>
      <c r="C211" s="5">
        <v>57203912.179999992</v>
      </c>
    </row>
    <row r="212" spans="1:3" x14ac:dyDescent="0.25">
      <c r="A212" s="19" t="s">
        <v>110</v>
      </c>
      <c r="B212">
        <v>1</v>
      </c>
      <c r="C212" s="5">
        <v>7390248</v>
      </c>
    </row>
    <row r="213" spans="1:3" x14ac:dyDescent="0.25">
      <c r="A213" s="19" t="s">
        <v>825</v>
      </c>
      <c r="B213">
        <v>1</v>
      </c>
      <c r="C213" s="5">
        <v>25711836.149999999</v>
      </c>
    </row>
    <row r="214" spans="1:3" x14ac:dyDescent="0.25">
      <c r="A214" s="19" t="s">
        <v>841</v>
      </c>
      <c r="B214">
        <v>1</v>
      </c>
      <c r="C214" s="5">
        <v>2337438.46</v>
      </c>
    </row>
    <row r="215" spans="1:3" x14ac:dyDescent="0.25">
      <c r="A215" s="19" t="s">
        <v>844</v>
      </c>
      <c r="B215">
        <v>1</v>
      </c>
      <c r="C215" s="5">
        <v>5525249.7300000004</v>
      </c>
    </row>
    <row r="216" spans="1:3" x14ac:dyDescent="0.25">
      <c r="A216" s="19" t="s">
        <v>1258</v>
      </c>
      <c r="C216" s="5">
        <v>737015.79</v>
      </c>
    </row>
    <row r="217" spans="1:3" x14ac:dyDescent="0.25">
      <c r="A217" s="19" t="s">
        <v>1261</v>
      </c>
      <c r="C217" s="5">
        <v>101879.47</v>
      </c>
    </row>
    <row r="218" spans="1:3" x14ac:dyDescent="0.25">
      <c r="A218" s="19" t="s">
        <v>1264</v>
      </c>
      <c r="C218" s="5">
        <v>44616.67</v>
      </c>
    </row>
    <row r="219" spans="1:3" x14ac:dyDescent="0.25">
      <c r="A219" s="19" t="s">
        <v>1267</v>
      </c>
      <c r="C219" s="5">
        <v>10188755.01</v>
      </c>
    </row>
    <row r="220" spans="1:3" x14ac:dyDescent="0.25">
      <c r="A220" s="19" t="s">
        <v>1694</v>
      </c>
      <c r="C220" s="5">
        <v>2337439.65</v>
      </c>
    </row>
    <row r="221" spans="1:3" x14ac:dyDescent="0.25">
      <c r="A221" s="19" t="s">
        <v>1703</v>
      </c>
      <c r="C221" s="5">
        <v>2337439.65</v>
      </c>
    </row>
    <row r="222" spans="1:3" x14ac:dyDescent="0.25">
      <c r="A222" s="19" t="s">
        <v>3461</v>
      </c>
      <c r="C222" s="5">
        <v>245996.79999999999</v>
      </c>
    </row>
    <row r="223" spans="1:3" x14ac:dyDescent="0.25">
      <c r="A223" s="19" t="s">
        <v>3464</v>
      </c>
      <c r="C223" s="5">
        <v>245996.79999999999</v>
      </c>
    </row>
    <row r="224" spans="1:3" x14ac:dyDescent="0.25">
      <c r="A224" s="18" t="s">
        <v>1575</v>
      </c>
      <c r="B224">
        <v>1</v>
      </c>
      <c r="C224" s="5">
        <v>1540117.8</v>
      </c>
    </row>
    <row r="225" spans="1:3" x14ac:dyDescent="0.25">
      <c r="A225" s="19" t="s">
        <v>1572</v>
      </c>
      <c r="B225">
        <v>1</v>
      </c>
      <c r="C225" s="5">
        <v>1540117.8</v>
      </c>
    </row>
    <row r="226" spans="1:3" x14ac:dyDescent="0.25">
      <c r="A226" s="18" t="s">
        <v>3280</v>
      </c>
      <c r="B226">
        <v>1</v>
      </c>
      <c r="C226" s="5">
        <v>1384623.1</v>
      </c>
    </row>
    <row r="227" spans="1:3" x14ac:dyDescent="0.25">
      <c r="A227" s="19" t="s">
        <v>3277</v>
      </c>
      <c r="B227">
        <v>1</v>
      </c>
      <c r="C227" s="5">
        <v>1384623.1</v>
      </c>
    </row>
    <row r="228" spans="1:3" x14ac:dyDescent="0.25">
      <c r="A228" s="18" t="s">
        <v>2178</v>
      </c>
      <c r="B228">
        <v>1</v>
      </c>
      <c r="C228" s="5">
        <v>3468850</v>
      </c>
    </row>
    <row r="229" spans="1:3" x14ac:dyDescent="0.25">
      <c r="A229" s="19" t="s">
        <v>2175</v>
      </c>
      <c r="C229" s="5">
        <v>3165400</v>
      </c>
    </row>
    <row r="230" spans="1:3" x14ac:dyDescent="0.25">
      <c r="A230" s="19" t="s">
        <v>2377</v>
      </c>
      <c r="B230">
        <v>1</v>
      </c>
      <c r="C230" s="5">
        <v>303450</v>
      </c>
    </row>
    <row r="231" spans="1:3" x14ac:dyDescent="0.25">
      <c r="A231" s="18" t="s">
        <v>3245</v>
      </c>
      <c r="C231" s="5">
        <v>3499087.5</v>
      </c>
    </row>
    <row r="232" spans="1:3" x14ac:dyDescent="0.25">
      <c r="A232" s="19" t="s">
        <v>3242</v>
      </c>
      <c r="C232" s="5">
        <v>49087.5</v>
      </c>
    </row>
    <row r="233" spans="1:3" x14ac:dyDescent="0.25">
      <c r="A233" s="19" t="s">
        <v>3832</v>
      </c>
      <c r="C233" s="5">
        <v>3450000</v>
      </c>
    </row>
    <row r="234" spans="1:3" x14ac:dyDescent="0.25">
      <c r="A234" s="18" t="s">
        <v>1316</v>
      </c>
      <c r="B234">
        <v>2</v>
      </c>
      <c r="C234" s="5">
        <v>100336995.75</v>
      </c>
    </row>
    <row r="235" spans="1:3" x14ac:dyDescent="0.25">
      <c r="A235" s="19" t="s">
        <v>1313</v>
      </c>
      <c r="B235">
        <v>1</v>
      </c>
      <c r="C235" s="5">
        <v>20804532</v>
      </c>
    </row>
    <row r="236" spans="1:3" x14ac:dyDescent="0.25">
      <c r="A236" s="19">
        <v>105355</v>
      </c>
      <c r="B236">
        <v>1</v>
      </c>
      <c r="C236" s="5">
        <v>79532463.75</v>
      </c>
    </row>
    <row r="237" spans="1:3" x14ac:dyDescent="0.25">
      <c r="A237" s="18" t="s">
        <v>2656</v>
      </c>
      <c r="B237">
        <v>2</v>
      </c>
      <c r="C237" s="5">
        <v>1366917.3</v>
      </c>
    </row>
    <row r="238" spans="1:3" x14ac:dyDescent="0.25">
      <c r="A238" s="19" t="s">
        <v>2653</v>
      </c>
      <c r="B238">
        <v>1</v>
      </c>
      <c r="C238" s="5">
        <v>796074.3</v>
      </c>
    </row>
    <row r="239" spans="1:3" x14ac:dyDescent="0.25">
      <c r="A239" s="19" t="s">
        <v>3285</v>
      </c>
      <c r="B239">
        <v>1</v>
      </c>
      <c r="C239" s="5">
        <v>570843</v>
      </c>
    </row>
    <row r="240" spans="1:3" x14ac:dyDescent="0.25">
      <c r="A240" s="18" t="s">
        <v>2737</v>
      </c>
      <c r="B240">
        <v>1</v>
      </c>
      <c r="C240" s="5">
        <v>1129706.27</v>
      </c>
    </row>
    <row r="241" spans="1:3" x14ac:dyDescent="0.25">
      <c r="A241" s="19" t="s">
        <v>2734</v>
      </c>
      <c r="B241">
        <v>1</v>
      </c>
      <c r="C241" s="5">
        <v>1129706.27</v>
      </c>
    </row>
    <row r="242" spans="1:3" x14ac:dyDescent="0.25">
      <c r="A242" s="18" t="s">
        <v>3547</v>
      </c>
      <c r="B242">
        <v>1</v>
      </c>
      <c r="C242" s="5">
        <v>606900</v>
      </c>
    </row>
    <row r="243" spans="1:3" x14ac:dyDescent="0.25">
      <c r="A243" s="19" t="s">
        <v>3544</v>
      </c>
      <c r="B243">
        <v>1</v>
      </c>
      <c r="C243" s="5">
        <v>606900</v>
      </c>
    </row>
    <row r="244" spans="1:3" x14ac:dyDescent="0.25">
      <c r="A244" s="18" t="s">
        <v>1296</v>
      </c>
      <c r="B244">
        <v>3</v>
      </c>
      <c r="C244" s="5">
        <v>264122880</v>
      </c>
    </row>
    <row r="245" spans="1:3" x14ac:dyDescent="0.25">
      <c r="A245" s="19" t="s">
        <v>1293</v>
      </c>
      <c r="B245">
        <v>1</v>
      </c>
      <c r="C245" s="5">
        <v>72504320</v>
      </c>
    </row>
    <row r="246" spans="1:3" x14ac:dyDescent="0.25">
      <c r="A246" s="19" t="s">
        <v>1749</v>
      </c>
      <c r="B246">
        <v>1</v>
      </c>
      <c r="C246" s="5">
        <v>155366400</v>
      </c>
    </row>
    <row r="247" spans="1:3" x14ac:dyDescent="0.25">
      <c r="A247" s="19" t="s">
        <v>3721</v>
      </c>
      <c r="B247">
        <v>1</v>
      </c>
      <c r="C247" s="5">
        <v>36252160</v>
      </c>
    </row>
    <row r="248" spans="1:3" x14ac:dyDescent="0.25">
      <c r="A248" s="18" t="s">
        <v>1332</v>
      </c>
      <c r="B248">
        <v>1</v>
      </c>
      <c r="C248" s="5">
        <v>2557895.48</v>
      </c>
    </row>
    <row r="249" spans="1:3" x14ac:dyDescent="0.25">
      <c r="A249" s="19" t="s">
        <v>1329</v>
      </c>
      <c r="B249">
        <v>1</v>
      </c>
      <c r="C249" s="5">
        <v>2557895.48</v>
      </c>
    </row>
    <row r="250" spans="1:3" x14ac:dyDescent="0.25">
      <c r="A250" s="18" t="s">
        <v>1852</v>
      </c>
      <c r="B250">
        <v>1</v>
      </c>
      <c r="C250" s="5">
        <v>1449896</v>
      </c>
    </row>
    <row r="251" spans="1:3" x14ac:dyDescent="0.25">
      <c r="A251" s="19" t="s">
        <v>1849</v>
      </c>
      <c r="B251">
        <v>1</v>
      </c>
      <c r="C251" s="5">
        <v>1449896</v>
      </c>
    </row>
    <row r="252" spans="1:3" x14ac:dyDescent="0.25">
      <c r="A252" s="18" t="s">
        <v>3182</v>
      </c>
      <c r="B252">
        <v>1</v>
      </c>
      <c r="C252" s="5">
        <v>135660</v>
      </c>
    </row>
    <row r="253" spans="1:3" x14ac:dyDescent="0.25">
      <c r="A253" s="19" t="s">
        <v>3179</v>
      </c>
      <c r="B253">
        <v>1</v>
      </c>
      <c r="C253" s="5">
        <v>135660</v>
      </c>
    </row>
    <row r="254" spans="1:3" x14ac:dyDescent="0.25">
      <c r="A254" s="18" t="s">
        <v>416</v>
      </c>
      <c r="C254" s="5">
        <v>7002156</v>
      </c>
    </row>
    <row r="255" spans="1:3" x14ac:dyDescent="0.25">
      <c r="A255" s="19" t="s">
        <v>413</v>
      </c>
      <c r="C255" s="5">
        <v>7002156</v>
      </c>
    </row>
    <row r="256" spans="1:3" x14ac:dyDescent="0.25">
      <c r="A256" s="18" t="s">
        <v>3038</v>
      </c>
      <c r="B256">
        <v>2</v>
      </c>
      <c r="C256" s="5">
        <v>2428909</v>
      </c>
    </row>
    <row r="257" spans="1:3" x14ac:dyDescent="0.25">
      <c r="A257" s="19" t="s">
        <v>3035</v>
      </c>
      <c r="B257">
        <v>1</v>
      </c>
      <c r="C257" s="5">
        <v>1594600</v>
      </c>
    </row>
    <row r="258" spans="1:3" x14ac:dyDescent="0.25">
      <c r="A258" s="19" t="s">
        <v>3390</v>
      </c>
      <c r="B258">
        <v>1</v>
      </c>
      <c r="C258" s="5">
        <v>834309</v>
      </c>
    </row>
    <row r="259" spans="1:3" x14ac:dyDescent="0.25">
      <c r="A259" s="18" t="s">
        <v>2383</v>
      </c>
      <c r="B259">
        <v>2</v>
      </c>
      <c r="C259" s="5">
        <v>22644886.600000001</v>
      </c>
    </row>
    <row r="260" spans="1:3" x14ac:dyDescent="0.25">
      <c r="A260" s="19" t="s">
        <v>2380</v>
      </c>
      <c r="B260">
        <v>1</v>
      </c>
      <c r="C260" s="5">
        <v>21985805.100000001</v>
      </c>
    </row>
    <row r="261" spans="1:3" x14ac:dyDescent="0.25">
      <c r="A261" s="19" t="s">
        <v>2386</v>
      </c>
      <c r="B261">
        <v>1</v>
      </c>
      <c r="C261" s="5">
        <v>659081.5</v>
      </c>
    </row>
    <row r="262" spans="1:3" x14ac:dyDescent="0.25">
      <c r="A262" s="18" t="s">
        <v>2304</v>
      </c>
      <c r="C262" s="5">
        <v>1673140</v>
      </c>
    </row>
    <row r="263" spans="1:3" x14ac:dyDescent="0.25">
      <c r="A263" s="19" t="s">
        <v>2301</v>
      </c>
      <c r="C263" s="5">
        <v>1673140</v>
      </c>
    </row>
    <row r="264" spans="1:3" x14ac:dyDescent="0.25">
      <c r="A264" s="18" t="s">
        <v>1017</v>
      </c>
      <c r="B264">
        <v>2</v>
      </c>
      <c r="C264" s="5">
        <v>5837853.5300000003</v>
      </c>
    </row>
    <row r="265" spans="1:3" x14ac:dyDescent="0.25">
      <c r="A265" s="19" t="s">
        <v>1014</v>
      </c>
      <c r="B265">
        <v>1</v>
      </c>
      <c r="C265" s="5">
        <v>5368041.53</v>
      </c>
    </row>
    <row r="266" spans="1:3" x14ac:dyDescent="0.25">
      <c r="A266" s="19" t="s">
        <v>1019</v>
      </c>
      <c r="B266">
        <v>1</v>
      </c>
      <c r="C266" s="5">
        <v>469812</v>
      </c>
    </row>
    <row r="267" spans="1:3" x14ac:dyDescent="0.25">
      <c r="A267" s="18" t="s">
        <v>3605</v>
      </c>
      <c r="C267" s="5">
        <v>3776524.5</v>
      </c>
    </row>
    <row r="268" spans="1:3" x14ac:dyDescent="0.25">
      <c r="A268" s="19" t="s">
        <v>3602</v>
      </c>
      <c r="C268" s="5">
        <v>82110</v>
      </c>
    </row>
    <row r="269" spans="1:3" x14ac:dyDescent="0.25">
      <c r="A269" s="19" t="s">
        <v>3607</v>
      </c>
      <c r="C269" s="5">
        <v>1695214.5</v>
      </c>
    </row>
    <row r="270" spans="1:3" x14ac:dyDescent="0.25">
      <c r="A270" s="19" t="s">
        <v>4140</v>
      </c>
      <c r="C270" s="5">
        <v>1999200</v>
      </c>
    </row>
    <row r="271" spans="1:3" x14ac:dyDescent="0.25">
      <c r="A271" s="18" t="s">
        <v>1441</v>
      </c>
      <c r="B271">
        <v>2</v>
      </c>
      <c r="C271" s="5">
        <v>2228250.6799999997</v>
      </c>
    </row>
    <row r="272" spans="1:3" x14ac:dyDescent="0.25">
      <c r="A272" s="19" t="s">
        <v>1438</v>
      </c>
      <c r="B272">
        <v>1</v>
      </c>
      <c r="C272" s="5">
        <v>909407</v>
      </c>
    </row>
    <row r="273" spans="1:3" x14ac:dyDescent="0.25">
      <c r="A273" s="19" t="s">
        <v>1604</v>
      </c>
      <c r="B273">
        <v>1</v>
      </c>
      <c r="C273" s="5">
        <v>385536.2</v>
      </c>
    </row>
    <row r="274" spans="1:3" x14ac:dyDescent="0.25">
      <c r="A274" s="19" t="s">
        <v>4009</v>
      </c>
      <c r="C274" s="5">
        <v>933307.48</v>
      </c>
    </row>
    <row r="275" spans="1:3" x14ac:dyDescent="0.25">
      <c r="A275" s="18" t="s">
        <v>1594</v>
      </c>
      <c r="B275">
        <v>3</v>
      </c>
      <c r="C275" s="5">
        <v>11638319</v>
      </c>
    </row>
    <row r="276" spans="1:3" x14ac:dyDescent="0.25">
      <c r="A276" s="19" t="s">
        <v>1591</v>
      </c>
      <c r="B276">
        <v>1</v>
      </c>
      <c r="C276" s="5">
        <v>9443364</v>
      </c>
    </row>
    <row r="277" spans="1:3" x14ac:dyDescent="0.25">
      <c r="A277" s="19" t="s">
        <v>2285</v>
      </c>
      <c r="B277">
        <v>1</v>
      </c>
      <c r="C277" s="5">
        <v>454580</v>
      </c>
    </row>
    <row r="278" spans="1:3" x14ac:dyDescent="0.25">
      <c r="A278" s="19" t="s">
        <v>2695</v>
      </c>
      <c r="B278">
        <v>1</v>
      </c>
      <c r="C278" s="5">
        <v>1740375</v>
      </c>
    </row>
    <row r="279" spans="1:3" x14ac:dyDescent="0.25">
      <c r="A279" s="18" t="s">
        <v>200</v>
      </c>
      <c r="B279">
        <v>1</v>
      </c>
      <c r="C279" s="5">
        <v>131240.34</v>
      </c>
    </row>
    <row r="280" spans="1:3" x14ac:dyDescent="0.25">
      <c r="A280" s="19" t="s">
        <v>197</v>
      </c>
      <c r="B280">
        <v>1</v>
      </c>
      <c r="C280" s="5">
        <v>131240.34</v>
      </c>
    </row>
    <row r="281" spans="1:3" x14ac:dyDescent="0.25">
      <c r="A281" s="18" t="s">
        <v>410</v>
      </c>
      <c r="B281">
        <v>1</v>
      </c>
      <c r="C281" s="5">
        <v>3938900</v>
      </c>
    </row>
    <row r="282" spans="1:3" x14ac:dyDescent="0.25">
      <c r="A282" s="19" t="s">
        <v>407</v>
      </c>
      <c r="B282">
        <v>1</v>
      </c>
      <c r="C282" s="5">
        <v>3938900</v>
      </c>
    </row>
    <row r="283" spans="1:3" x14ac:dyDescent="0.25">
      <c r="A283" s="18" t="s">
        <v>53</v>
      </c>
      <c r="C283" s="5">
        <v>59559157.75</v>
      </c>
    </row>
    <row r="284" spans="1:3" x14ac:dyDescent="0.25">
      <c r="A284" s="19" t="s">
        <v>50</v>
      </c>
      <c r="C284" s="5">
        <v>19962970</v>
      </c>
    </row>
    <row r="285" spans="1:3" x14ac:dyDescent="0.25">
      <c r="A285" s="19" t="s">
        <v>2480</v>
      </c>
      <c r="C285" s="5">
        <v>21122500</v>
      </c>
    </row>
    <row r="286" spans="1:3" x14ac:dyDescent="0.25">
      <c r="A286" s="19" t="s">
        <v>3014</v>
      </c>
      <c r="C286" s="5">
        <v>11529841.4</v>
      </c>
    </row>
    <row r="287" spans="1:3" x14ac:dyDescent="0.25">
      <c r="A287" s="19" t="s">
        <v>3092</v>
      </c>
      <c r="C287" s="5">
        <v>6943846.3499999996</v>
      </c>
    </row>
    <row r="288" spans="1:3" x14ac:dyDescent="0.25">
      <c r="A288" s="18" t="s">
        <v>611</v>
      </c>
      <c r="B288">
        <v>1</v>
      </c>
      <c r="C288" s="5">
        <v>2442837.15</v>
      </c>
    </row>
    <row r="289" spans="1:3" x14ac:dyDescent="0.25">
      <c r="A289" s="19" t="s">
        <v>608</v>
      </c>
      <c r="C289" s="5">
        <v>363997.9</v>
      </c>
    </row>
    <row r="290" spans="1:3" x14ac:dyDescent="0.25">
      <c r="A290" s="19" t="s">
        <v>961</v>
      </c>
      <c r="B290">
        <v>1</v>
      </c>
      <c r="C290" s="5">
        <v>656701.75</v>
      </c>
    </row>
    <row r="291" spans="1:3" x14ac:dyDescent="0.25">
      <c r="A291" s="19" t="s">
        <v>2321</v>
      </c>
      <c r="C291" s="5">
        <v>119000</v>
      </c>
    </row>
    <row r="292" spans="1:3" x14ac:dyDescent="0.25">
      <c r="A292" s="19" t="s">
        <v>2930</v>
      </c>
      <c r="C292" s="5">
        <v>1303137.5</v>
      </c>
    </row>
    <row r="293" spans="1:3" x14ac:dyDescent="0.25">
      <c r="A293" s="18" t="s">
        <v>1622</v>
      </c>
      <c r="B293">
        <v>5</v>
      </c>
      <c r="C293" s="5">
        <v>10770398.469999999</v>
      </c>
    </row>
    <row r="294" spans="1:3" x14ac:dyDescent="0.25">
      <c r="A294" s="19" t="s">
        <v>1619</v>
      </c>
      <c r="B294">
        <v>1</v>
      </c>
      <c r="C294" s="5">
        <v>4966918</v>
      </c>
    </row>
    <row r="295" spans="1:3" x14ac:dyDescent="0.25">
      <c r="A295" s="19" t="s">
        <v>1624</v>
      </c>
      <c r="B295">
        <v>1</v>
      </c>
      <c r="C295" s="5">
        <v>891012.5</v>
      </c>
    </row>
    <row r="296" spans="1:3" x14ac:dyDescent="0.25">
      <c r="A296" s="19" t="s">
        <v>1799</v>
      </c>
      <c r="C296" s="5">
        <v>404699.97</v>
      </c>
    </row>
    <row r="297" spans="1:3" x14ac:dyDescent="0.25">
      <c r="A297" s="19" t="s">
        <v>3170</v>
      </c>
      <c r="B297">
        <v>1</v>
      </c>
      <c r="C297" s="5">
        <v>3268859</v>
      </c>
    </row>
    <row r="298" spans="1:3" x14ac:dyDescent="0.25">
      <c r="A298" s="19" t="s">
        <v>3173</v>
      </c>
      <c r="B298">
        <v>1</v>
      </c>
      <c r="C298" s="5">
        <v>328440</v>
      </c>
    </row>
    <row r="299" spans="1:3" x14ac:dyDescent="0.25">
      <c r="A299" s="19" t="s">
        <v>3176</v>
      </c>
      <c r="B299">
        <v>1</v>
      </c>
      <c r="C299" s="5">
        <v>910469</v>
      </c>
    </row>
    <row r="300" spans="1:3" x14ac:dyDescent="0.25">
      <c r="A300" s="18" t="s">
        <v>1166</v>
      </c>
      <c r="C300" s="5">
        <v>11529476.109999999</v>
      </c>
    </row>
    <row r="301" spans="1:3" x14ac:dyDescent="0.25">
      <c r="A301" s="19" t="s">
        <v>1163</v>
      </c>
      <c r="C301" s="5">
        <v>2013361</v>
      </c>
    </row>
    <row r="302" spans="1:3" x14ac:dyDescent="0.25">
      <c r="A302" s="19" t="s">
        <v>1183</v>
      </c>
      <c r="C302" s="5">
        <v>2543726.61</v>
      </c>
    </row>
    <row r="303" spans="1:3" x14ac:dyDescent="0.25">
      <c r="A303" s="19" t="s">
        <v>2760</v>
      </c>
      <c r="C303" s="5">
        <v>6972388.5</v>
      </c>
    </row>
    <row r="304" spans="1:3" x14ac:dyDescent="0.25">
      <c r="A304" s="18" t="s">
        <v>1895</v>
      </c>
      <c r="B304">
        <v>3</v>
      </c>
      <c r="C304" s="5">
        <v>1816336.69</v>
      </c>
    </row>
    <row r="305" spans="1:3" x14ac:dyDescent="0.25">
      <c r="A305" s="19" t="s">
        <v>1892</v>
      </c>
      <c r="B305">
        <v>1</v>
      </c>
      <c r="C305" s="5">
        <v>415833.59999999998</v>
      </c>
    </row>
    <row r="306" spans="1:3" x14ac:dyDescent="0.25">
      <c r="A306" s="19" t="s">
        <v>1897</v>
      </c>
      <c r="B306">
        <v>1</v>
      </c>
      <c r="C306" s="5">
        <v>619418.80000000005</v>
      </c>
    </row>
    <row r="307" spans="1:3" x14ac:dyDescent="0.25">
      <c r="A307" s="19" t="s">
        <v>1993</v>
      </c>
      <c r="B307">
        <v>1</v>
      </c>
      <c r="C307" s="5">
        <v>781084.29</v>
      </c>
    </row>
    <row r="308" spans="1:3" x14ac:dyDescent="0.25">
      <c r="A308" s="18" t="s">
        <v>446</v>
      </c>
      <c r="B308">
        <v>2</v>
      </c>
      <c r="C308" s="5">
        <v>3178490</v>
      </c>
    </row>
    <row r="309" spans="1:3" x14ac:dyDescent="0.25">
      <c r="A309" s="19" t="s">
        <v>443</v>
      </c>
      <c r="B309">
        <v>1</v>
      </c>
      <c r="C309" s="5">
        <v>2773890</v>
      </c>
    </row>
    <row r="310" spans="1:3" x14ac:dyDescent="0.25">
      <c r="A310" s="19" t="s">
        <v>872</v>
      </c>
      <c r="B310">
        <v>1</v>
      </c>
      <c r="C310" s="5">
        <v>404600</v>
      </c>
    </row>
    <row r="311" spans="1:3" x14ac:dyDescent="0.25">
      <c r="A311" s="18" t="s">
        <v>3489</v>
      </c>
      <c r="C311" s="5">
        <v>101150</v>
      </c>
    </row>
    <row r="312" spans="1:3" x14ac:dyDescent="0.25">
      <c r="A312" s="19" t="s">
        <v>3486</v>
      </c>
      <c r="C312" s="5">
        <v>101150</v>
      </c>
    </row>
    <row r="313" spans="1:3" x14ac:dyDescent="0.25">
      <c r="A313" s="18" t="s">
        <v>1359</v>
      </c>
      <c r="C313" s="5">
        <v>633389.4</v>
      </c>
    </row>
    <row r="314" spans="1:3" x14ac:dyDescent="0.25">
      <c r="A314" s="19" t="s">
        <v>1356</v>
      </c>
      <c r="C314" s="5">
        <v>633389.4</v>
      </c>
    </row>
    <row r="315" spans="1:3" x14ac:dyDescent="0.25">
      <c r="A315" s="18" t="s">
        <v>293</v>
      </c>
      <c r="B315">
        <v>1</v>
      </c>
      <c r="C315" s="5">
        <v>422479.75</v>
      </c>
    </row>
    <row r="316" spans="1:3" x14ac:dyDescent="0.25">
      <c r="A316" s="19" t="s">
        <v>290</v>
      </c>
      <c r="B316">
        <v>1</v>
      </c>
      <c r="C316" s="5">
        <v>422479.75</v>
      </c>
    </row>
    <row r="317" spans="1:3" x14ac:dyDescent="0.25">
      <c r="A317" s="18" t="s">
        <v>2769</v>
      </c>
      <c r="B317">
        <v>1</v>
      </c>
      <c r="C317" s="5">
        <v>409925.25</v>
      </c>
    </row>
    <row r="318" spans="1:3" x14ac:dyDescent="0.25">
      <c r="A318" s="19" t="s">
        <v>2766</v>
      </c>
      <c r="B318">
        <v>1</v>
      </c>
      <c r="C318" s="5">
        <v>409925.25</v>
      </c>
    </row>
    <row r="319" spans="1:3" x14ac:dyDescent="0.25">
      <c r="A319" s="18" t="s">
        <v>63</v>
      </c>
      <c r="C319" s="5">
        <v>157585141.48999998</v>
      </c>
    </row>
    <row r="320" spans="1:3" x14ac:dyDescent="0.25">
      <c r="A320" s="19" t="s">
        <v>60</v>
      </c>
      <c r="C320" s="5">
        <v>19962970</v>
      </c>
    </row>
    <row r="321" spans="1:3" x14ac:dyDescent="0.25">
      <c r="A321" s="19" t="s">
        <v>605</v>
      </c>
      <c r="C321" s="5">
        <v>3841320</v>
      </c>
    </row>
    <row r="322" spans="1:3" x14ac:dyDescent="0.25">
      <c r="A322" s="19" t="s">
        <v>2492</v>
      </c>
      <c r="C322" s="5">
        <v>21122500</v>
      </c>
    </row>
    <row r="323" spans="1:3" x14ac:dyDescent="0.25">
      <c r="A323" s="19" t="s">
        <v>2670</v>
      </c>
      <c r="C323" s="5">
        <v>19876241.559999999</v>
      </c>
    </row>
    <row r="324" spans="1:3" x14ac:dyDescent="0.25">
      <c r="A324" s="19" t="s">
        <v>2731</v>
      </c>
      <c r="C324" s="5">
        <v>27948158</v>
      </c>
    </row>
    <row r="325" spans="1:3" x14ac:dyDescent="0.25">
      <c r="A325" s="19" t="s">
        <v>2967</v>
      </c>
      <c r="C325" s="5">
        <v>38798212.049999997</v>
      </c>
    </row>
    <row r="326" spans="1:3" x14ac:dyDescent="0.25">
      <c r="A326" s="19" t="s">
        <v>3095</v>
      </c>
      <c r="C326" s="5">
        <v>20646495.239999998</v>
      </c>
    </row>
    <row r="327" spans="1:3" x14ac:dyDescent="0.25">
      <c r="A327" s="19" t="s">
        <v>3107</v>
      </c>
      <c r="C327" s="5">
        <v>87650.64</v>
      </c>
    </row>
    <row r="328" spans="1:3" x14ac:dyDescent="0.25">
      <c r="A328" s="19" t="s">
        <v>3144</v>
      </c>
      <c r="C328" s="5">
        <v>5301594</v>
      </c>
    </row>
    <row r="329" spans="1:3" x14ac:dyDescent="0.25">
      <c r="A329" s="18" t="s">
        <v>58</v>
      </c>
      <c r="B329">
        <v>1</v>
      </c>
      <c r="C329" s="5">
        <v>305346065.17000002</v>
      </c>
    </row>
    <row r="330" spans="1:3" x14ac:dyDescent="0.25">
      <c r="A330" s="19" t="s">
        <v>55</v>
      </c>
      <c r="C330" s="5">
        <v>39925940</v>
      </c>
    </row>
    <row r="331" spans="1:3" x14ac:dyDescent="0.25">
      <c r="A331" s="19" t="s">
        <v>602</v>
      </c>
      <c r="C331" s="5">
        <v>3841320</v>
      </c>
    </row>
    <row r="332" spans="1:3" x14ac:dyDescent="0.25">
      <c r="A332" s="19" t="s">
        <v>880</v>
      </c>
      <c r="C332" s="5">
        <v>1276777.18</v>
      </c>
    </row>
    <row r="333" spans="1:3" x14ac:dyDescent="0.25">
      <c r="A333" s="19" t="s">
        <v>1290</v>
      </c>
      <c r="B333">
        <v>1</v>
      </c>
      <c r="C333" s="5">
        <v>1547000</v>
      </c>
    </row>
    <row r="334" spans="1:3" x14ac:dyDescent="0.25">
      <c r="A334" s="19" t="s">
        <v>1493</v>
      </c>
      <c r="C334" s="5">
        <v>60818712.850000001</v>
      </c>
    </row>
    <row r="335" spans="1:3" x14ac:dyDescent="0.25">
      <c r="A335" s="19" t="s">
        <v>1760</v>
      </c>
      <c r="C335" s="5">
        <v>3002762.7</v>
      </c>
    </row>
    <row r="336" spans="1:3" x14ac:dyDescent="0.25">
      <c r="A336" s="19" t="s">
        <v>2484</v>
      </c>
      <c r="C336" s="5">
        <v>21122500</v>
      </c>
    </row>
    <row r="337" spans="1:3" x14ac:dyDescent="0.25">
      <c r="A337" s="19" t="s">
        <v>2598</v>
      </c>
      <c r="C337" s="5">
        <v>90946336.25</v>
      </c>
    </row>
    <row r="338" spans="1:3" x14ac:dyDescent="0.25">
      <c r="A338" s="19" t="s">
        <v>2970</v>
      </c>
      <c r="C338" s="5">
        <v>35285878.859999999</v>
      </c>
    </row>
    <row r="339" spans="1:3" x14ac:dyDescent="0.25">
      <c r="A339" s="19" t="s">
        <v>3104</v>
      </c>
      <c r="C339" s="5">
        <v>13313087.210000001</v>
      </c>
    </row>
    <row r="340" spans="1:3" x14ac:dyDescent="0.25">
      <c r="A340" s="19" t="s">
        <v>3147</v>
      </c>
      <c r="C340" s="5">
        <v>13023736.039999999</v>
      </c>
    </row>
    <row r="341" spans="1:3" x14ac:dyDescent="0.25">
      <c r="A341" s="19">
        <v>105354</v>
      </c>
      <c r="C341" s="5">
        <v>21242014.079999998</v>
      </c>
    </row>
    <row r="342" spans="1:3" x14ac:dyDescent="0.25">
      <c r="A342" s="18" t="s">
        <v>2711</v>
      </c>
      <c r="C342" s="5">
        <v>1833458</v>
      </c>
    </row>
    <row r="343" spans="1:3" x14ac:dyDescent="0.25">
      <c r="A343" s="19" t="s">
        <v>2708</v>
      </c>
      <c r="C343" s="5">
        <v>1833458</v>
      </c>
    </row>
    <row r="344" spans="1:3" x14ac:dyDescent="0.25">
      <c r="A344" s="18" t="s">
        <v>3417</v>
      </c>
      <c r="C344" s="5">
        <v>80920</v>
      </c>
    </row>
    <row r="345" spans="1:3" x14ac:dyDescent="0.25">
      <c r="A345" s="19" t="s">
        <v>3414</v>
      </c>
      <c r="C345" s="5">
        <v>80920</v>
      </c>
    </row>
    <row r="346" spans="1:3" x14ac:dyDescent="0.25">
      <c r="A346" s="18" t="s">
        <v>1112</v>
      </c>
      <c r="B346">
        <v>1</v>
      </c>
      <c r="C346" s="5">
        <v>107100</v>
      </c>
    </row>
    <row r="347" spans="1:3" x14ac:dyDescent="0.25">
      <c r="A347" s="19" t="s">
        <v>1109</v>
      </c>
      <c r="B347">
        <v>1</v>
      </c>
      <c r="C347" s="5">
        <v>107100</v>
      </c>
    </row>
    <row r="348" spans="1:3" x14ac:dyDescent="0.25">
      <c r="A348" s="18" t="s">
        <v>483</v>
      </c>
      <c r="B348">
        <v>1</v>
      </c>
      <c r="C348" s="5">
        <v>13482700</v>
      </c>
    </row>
    <row r="349" spans="1:3" x14ac:dyDescent="0.25">
      <c r="A349" s="19" t="s">
        <v>480</v>
      </c>
      <c r="B349">
        <v>1</v>
      </c>
      <c r="C349" s="5">
        <v>13482700</v>
      </c>
    </row>
    <row r="350" spans="1:3" x14ac:dyDescent="0.25">
      <c r="A350" s="18" t="s">
        <v>2283</v>
      </c>
      <c r="C350" s="5">
        <v>4069800</v>
      </c>
    </row>
    <row r="351" spans="1:3" x14ac:dyDescent="0.25">
      <c r="A351" s="19" t="s">
        <v>2280</v>
      </c>
      <c r="C351" s="5">
        <v>4069800</v>
      </c>
    </row>
    <row r="352" spans="1:3" x14ac:dyDescent="0.25">
      <c r="A352" s="18" t="s">
        <v>1144</v>
      </c>
      <c r="C352" s="5">
        <v>10423807.380000001</v>
      </c>
    </row>
    <row r="353" spans="1:3" x14ac:dyDescent="0.25">
      <c r="A353" s="19" t="s">
        <v>1141</v>
      </c>
      <c r="C353" s="5">
        <v>877644.04</v>
      </c>
    </row>
    <row r="354" spans="1:3" x14ac:dyDescent="0.25">
      <c r="A354" s="19" t="s">
        <v>1961</v>
      </c>
      <c r="C354" s="5">
        <v>2727475.24</v>
      </c>
    </row>
    <row r="355" spans="1:3" x14ac:dyDescent="0.25">
      <c r="A355" s="19" t="s">
        <v>1964</v>
      </c>
      <c r="C355" s="5">
        <v>2727475.24</v>
      </c>
    </row>
    <row r="356" spans="1:3" x14ac:dyDescent="0.25">
      <c r="A356" s="19" t="s">
        <v>1967</v>
      </c>
      <c r="C356" s="5">
        <v>4091212.86</v>
      </c>
    </row>
    <row r="357" spans="1:3" x14ac:dyDescent="0.25">
      <c r="A357" s="18" t="s">
        <v>1379</v>
      </c>
      <c r="C357" s="5">
        <v>214200</v>
      </c>
    </row>
    <row r="358" spans="1:3" x14ac:dyDescent="0.25">
      <c r="A358" s="19" t="s">
        <v>1376</v>
      </c>
      <c r="C358" s="5">
        <v>214200</v>
      </c>
    </row>
    <row r="359" spans="1:3" x14ac:dyDescent="0.25">
      <c r="A359" s="18" t="s">
        <v>2124</v>
      </c>
      <c r="B359">
        <v>1</v>
      </c>
      <c r="C359" s="5">
        <v>12745395.039999999</v>
      </c>
    </row>
    <row r="360" spans="1:3" x14ac:dyDescent="0.25">
      <c r="A360" s="19" t="s">
        <v>2121</v>
      </c>
      <c r="B360">
        <v>1</v>
      </c>
      <c r="C360" s="5">
        <v>12745395.039999999</v>
      </c>
    </row>
    <row r="361" spans="1:3" x14ac:dyDescent="0.25">
      <c r="A361" s="18" t="s">
        <v>1903</v>
      </c>
      <c r="B361">
        <v>4</v>
      </c>
      <c r="C361" s="5">
        <v>2405540.3200000003</v>
      </c>
    </row>
    <row r="362" spans="1:3" x14ac:dyDescent="0.25">
      <c r="A362" s="19" t="s">
        <v>1900</v>
      </c>
      <c r="B362">
        <v>1</v>
      </c>
      <c r="C362" s="5">
        <v>1140734</v>
      </c>
    </row>
    <row r="363" spans="1:3" x14ac:dyDescent="0.25">
      <c r="A363" s="19" t="s">
        <v>1905</v>
      </c>
      <c r="B363">
        <v>1</v>
      </c>
      <c r="C363" s="5">
        <v>50908.2</v>
      </c>
    </row>
    <row r="364" spans="1:3" x14ac:dyDescent="0.25">
      <c r="A364" s="19" t="s">
        <v>1908</v>
      </c>
      <c r="B364">
        <v>1</v>
      </c>
      <c r="C364" s="5">
        <v>257187.56</v>
      </c>
    </row>
    <row r="365" spans="1:3" x14ac:dyDescent="0.25">
      <c r="A365" s="19" t="s">
        <v>1911</v>
      </c>
      <c r="B365">
        <v>1</v>
      </c>
      <c r="C365" s="5">
        <v>956710.56</v>
      </c>
    </row>
    <row r="366" spans="1:3" x14ac:dyDescent="0.25">
      <c r="A366" s="18" t="s">
        <v>1475</v>
      </c>
      <c r="B366">
        <v>1</v>
      </c>
      <c r="C366" s="5">
        <v>2266950</v>
      </c>
    </row>
    <row r="367" spans="1:3" x14ac:dyDescent="0.25">
      <c r="A367" s="19" t="s">
        <v>1472</v>
      </c>
      <c r="B367">
        <v>1</v>
      </c>
      <c r="C367" s="5">
        <v>2266950</v>
      </c>
    </row>
    <row r="368" spans="1:3" x14ac:dyDescent="0.25">
      <c r="A368" s="18" t="s">
        <v>3935</v>
      </c>
      <c r="B368">
        <v>1</v>
      </c>
      <c r="C368" s="5">
        <v>392059.78</v>
      </c>
    </row>
    <row r="369" spans="1:3" x14ac:dyDescent="0.25">
      <c r="A369" s="19" t="s">
        <v>3932</v>
      </c>
      <c r="B369">
        <v>1</v>
      </c>
      <c r="C369" s="5">
        <v>392059.78</v>
      </c>
    </row>
    <row r="370" spans="1:3" x14ac:dyDescent="0.25">
      <c r="A370" s="18" t="s">
        <v>1306</v>
      </c>
      <c r="B370">
        <v>1</v>
      </c>
      <c r="C370" s="5">
        <v>358756440</v>
      </c>
    </row>
    <row r="371" spans="1:3" x14ac:dyDescent="0.25">
      <c r="A371" s="19" t="s">
        <v>1303</v>
      </c>
      <c r="B371">
        <v>1</v>
      </c>
      <c r="C371" s="5">
        <v>269458840</v>
      </c>
    </row>
    <row r="372" spans="1:3" x14ac:dyDescent="0.25">
      <c r="A372" s="19" t="s">
        <v>2692</v>
      </c>
      <c r="C372" s="5">
        <v>89297600</v>
      </c>
    </row>
    <row r="373" spans="1:3" x14ac:dyDescent="0.25">
      <c r="A373" s="18" t="s">
        <v>2832</v>
      </c>
      <c r="B373">
        <v>1</v>
      </c>
      <c r="C373" s="5">
        <v>4559200</v>
      </c>
    </row>
    <row r="374" spans="1:3" x14ac:dyDescent="0.25">
      <c r="A374" s="19" t="s">
        <v>2829</v>
      </c>
      <c r="B374">
        <v>1</v>
      </c>
      <c r="C374" s="5">
        <v>4559200</v>
      </c>
    </row>
    <row r="375" spans="1:3" x14ac:dyDescent="0.25">
      <c r="A375" s="18" t="s">
        <v>594</v>
      </c>
      <c r="C375" s="5">
        <v>4739645.4000000004</v>
      </c>
    </row>
    <row r="376" spans="1:3" x14ac:dyDescent="0.25">
      <c r="A376" s="19" t="s">
        <v>591</v>
      </c>
      <c r="C376" s="5">
        <v>2253069</v>
      </c>
    </row>
    <row r="377" spans="1:3" x14ac:dyDescent="0.25">
      <c r="A377" s="19" t="s">
        <v>596</v>
      </c>
      <c r="C377" s="5">
        <v>1836037</v>
      </c>
    </row>
    <row r="378" spans="1:3" x14ac:dyDescent="0.25">
      <c r="A378" s="19" t="s">
        <v>599</v>
      </c>
      <c r="C378" s="5">
        <v>650539.4</v>
      </c>
    </row>
    <row r="379" spans="1:3" x14ac:dyDescent="0.25">
      <c r="A379" s="18" t="s">
        <v>763</v>
      </c>
      <c r="B379">
        <v>1</v>
      </c>
      <c r="C379" s="5">
        <v>12449780</v>
      </c>
    </row>
    <row r="380" spans="1:3" x14ac:dyDescent="0.25">
      <c r="A380" s="19" t="s">
        <v>760</v>
      </c>
      <c r="B380">
        <v>1</v>
      </c>
      <c r="C380" s="5">
        <v>12165251</v>
      </c>
    </row>
    <row r="381" spans="1:3" x14ac:dyDescent="0.25">
      <c r="A381" s="19" t="s">
        <v>1607</v>
      </c>
      <c r="C381" s="5">
        <v>284529</v>
      </c>
    </row>
    <row r="382" spans="1:3" x14ac:dyDescent="0.25">
      <c r="A382" s="18" t="s">
        <v>1181</v>
      </c>
      <c r="C382" s="5">
        <v>1385938.05</v>
      </c>
    </row>
    <row r="383" spans="1:3" x14ac:dyDescent="0.25">
      <c r="A383" s="19" t="s">
        <v>1178</v>
      </c>
      <c r="C383" s="5">
        <v>738276</v>
      </c>
    </row>
    <row r="384" spans="1:3" x14ac:dyDescent="0.25">
      <c r="A384" s="19" t="s">
        <v>3089</v>
      </c>
      <c r="C384" s="5">
        <v>359682.05</v>
      </c>
    </row>
    <row r="385" spans="1:3" x14ac:dyDescent="0.25">
      <c r="A385" s="19" t="s">
        <v>4201</v>
      </c>
      <c r="C385" s="5">
        <v>287980</v>
      </c>
    </row>
    <row r="386" spans="1:3" x14ac:dyDescent="0.25">
      <c r="A386" s="18" t="s">
        <v>2027</v>
      </c>
      <c r="C386" s="5">
        <v>20975367</v>
      </c>
    </row>
    <row r="387" spans="1:3" x14ac:dyDescent="0.25">
      <c r="A387" s="19" t="s">
        <v>2024</v>
      </c>
      <c r="C387" s="5">
        <v>7127683.5</v>
      </c>
    </row>
    <row r="388" spans="1:3" x14ac:dyDescent="0.25">
      <c r="A388" s="19" t="s">
        <v>2723</v>
      </c>
      <c r="C388" s="5">
        <v>6720000</v>
      </c>
    </row>
    <row r="389" spans="1:3" x14ac:dyDescent="0.25">
      <c r="A389" s="19" t="s">
        <v>3308</v>
      </c>
      <c r="C389" s="5">
        <v>218781.5</v>
      </c>
    </row>
    <row r="390" spans="1:3" x14ac:dyDescent="0.25">
      <c r="A390" s="19" t="s">
        <v>3311</v>
      </c>
      <c r="C390" s="5">
        <v>6902</v>
      </c>
    </row>
    <row r="391" spans="1:3" x14ac:dyDescent="0.25">
      <c r="A391" s="19" t="s">
        <v>3314</v>
      </c>
      <c r="C391" s="5">
        <v>6902000</v>
      </c>
    </row>
    <row r="392" spans="1:3" x14ac:dyDescent="0.25">
      <c r="A392" s="18" t="s">
        <v>2243</v>
      </c>
      <c r="C392" s="5">
        <v>720664</v>
      </c>
    </row>
    <row r="393" spans="1:3" x14ac:dyDescent="0.25">
      <c r="A393" s="19" t="s">
        <v>2240</v>
      </c>
      <c r="C393" s="5">
        <v>207476.5</v>
      </c>
    </row>
    <row r="394" spans="1:3" x14ac:dyDescent="0.25">
      <c r="A394" s="19" t="s">
        <v>4210</v>
      </c>
      <c r="C394" s="5">
        <v>513187.5</v>
      </c>
    </row>
    <row r="395" spans="1:3" x14ac:dyDescent="0.25">
      <c r="A395" s="18" t="s">
        <v>1570</v>
      </c>
      <c r="C395" s="5">
        <v>1568500.92</v>
      </c>
    </row>
    <row r="396" spans="1:3" x14ac:dyDescent="0.25">
      <c r="A396" s="19" t="s">
        <v>1567</v>
      </c>
      <c r="C396" s="5">
        <v>379015</v>
      </c>
    </row>
    <row r="397" spans="1:3" x14ac:dyDescent="0.25">
      <c r="A397" s="19" t="s">
        <v>3343</v>
      </c>
      <c r="C397" s="5">
        <v>70574.14</v>
      </c>
    </row>
    <row r="398" spans="1:3" x14ac:dyDescent="0.25">
      <c r="A398" s="19" t="s">
        <v>3718</v>
      </c>
      <c r="C398" s="5">
        <v>513187.5</v>
      </c>
    </row>
    <row r="399" spans="1:3" x14ac:dyDescent="0.25">
      <c r="A399" s="19" t="s">
        <v>4094</v>
      </c>
      <c r="C399" s="5">
        <v>605724.28</v>
      </c>
    </row>
    <row r="400" spans="1:3" x14ac:dyDescent="0.25">
      <c r="A400" s="18" t="s">
        <v>4043</v>
      </c>
      <c r="B400">
        <v>1</v>
      </c>
      <c r="C400" s="5">
        <v>483038.06</v>
      </c>
    </row>
    <row r="401" spans="1:3" x14ac:dyDescent="0.25">
      <c r="A401" s="19" t="s">
        <v>4040</v>
      </c>
      <c r="B401">
        <v>1</v>
      </c>
      <c r="C401" s="5">
        <v>483038.06</v>
      </c>
    </row>
    <row r="402" spans="1:3" x14ac:dyDescent="0.25">
      <c r="A402" s="18" t="s">
        <v>1256</v>
      </c>
      <c r="B402">
        <v>2</v>
      </c>
      <c r="C402" s="5">
        <v>805868</v>
      </c>
    </row>
    <row r="403" spans="1:3" x14ac:dyDescent="0.25">
      <c r="A403" s="19" t="s">
        <v>1253</v>
      </c>
      <c r="B403">
        <v>1</v>
      </c>
      <c r="C403" s="5">
        <v>47600</v>
      </c>
    </row>
    <row r="404" spans="1:3" x14ac:dyDescent="0.25">
      <c r="A404" s="19" t="s">
        <v>4114</v>
      </c>
      <c r="B404">
        <v>1</v>
      </c>
      <c r="C404" s="5">
        <v>758268</v>
      </c>
    </row>
    <row r="405" spans="1:3" x14ac:dyDescent="0.25">
      <c r="A405" s="18" t="s">
        <v>392</v>
      </c>
      <c r="B405">
        <v>1</v>
      </c>
      <c r="C405" s="5">
        <v>945000</v>
      </c>
    </row>
    <row r="406" spans="1:3" x14ac:dyDescent="0.25">
      <c r="A406" s="19" t="s">
        <v>389</v>
      </c>
      <c r="B406">
        <v>1</v>
      </c>
      <c r="C406" s="5">
        <v>945000</v>
      </c>
    </row>
    <row r="407" spans="1:3" x14ac:dyDescent="0.25">
      <c r="A407" s="18" t="s">
        <v>2478</v>
      </c>
      <c r="B407">
        <v>1</v>
      </c>
      <c r="C407" s="5">
        <v>2254752.5</v>
      </c>
    </row>
    <row r="408" spans="1:3" x14ac:dyDescent="0.25">
      <c r="A408" s="19" t="s">
        <v>2475</v>
      </c>
      <c r="B408">
        <v>1</v>
      </c>
      <c r="C408" s="5">
        <v>2254752.5</v>
      </c>
    </row>
    <row r="409" spans="1:3" x14ac:dyDescent="0.25">
      <c r="A409" s="18" t="s">
        <v>1435</v>
      </c>
      <c r="B409">
        <v>1</v>
      </c>
      <c r="C409" s="5">
        <v>921060</v>
      </c>
    </row>
    <row r="410" spans="1:3" x14ac:dyDescent="0.25">
      <c r="A410" s="19" t="s">
        <v>1432</v>
      </c>
      <c r="B410">
        <v>1</v>
      </c>
      <c r="C410" s="5">
        <v>921060</v>
      </c>
    </row>
    <row r="411" spans="1:3" x14ac:dyDescent="0.25">
      <c r="A411" s="18" t="s">
        <v>2577</v>
      </c>
      <c r="C411" s="5">
        <v>6901886.9500000002</v>
      </c>
    </row>
    <row r="412" spans="1:3" x14ac:dyDescent="0.25">
      <c r="A412" s="19" t="s">
        <v>2574</v>
      </c>
      <c r="C412" s="5">
        <v>6901886.9500000002</v>
      </c>
    </row>
    <row r="413" spans="1:3" x14ac:dyDescent="0.25">
      <c r="A413" s="18" t="s">
        <v>3552</v>
      </c>
      <c r="B413">
        <v>1</v>
      </c>
      <c r="C413" s="5">
        <v>1493622.88</v>
      </c>
    </row>
    <row r="414" spans="1:3" x14ac:dyDescent="0.25">
      <c r="A414" s="19" t="s">
        <v>3549</v>
      </c>
      <c r="B414">
        <v>1</v>
      </c>
      <c r="C414" s="5">
        <v>1493622.88</v>
      </c>
    </row>
    <row r="415" spans="1:3" x14ac:dyDescent="0.25">
      <c r="A415" s="18" t="s">
        <v>659</v>
      </c>
      <c r="B415">
        <v>5</v>
      </c>
      <c r="C415" s="5">
        <v>16510290.370000001</v>
      </c>
    </row>
    <row r="416" spans="1:3" x14ac:dyDescent="0.25">
      <c r="A416" s="19" t="s">
        <v>656</v>
      </c>
      <c r="B416">
        <v>1</v>
      </c>
      <c r="C416" s="5">
        <v>666459.5</v>
      </c>
    </row>
    <row r="417" spans="1:3" x14ac:dyDescent="0.25">
      <c r="A417" s="19" t="s">
        <v>2271</v>
      </c>
      <c r="B417">
        <v>1</v>
      </c>
      <c r="C417" s="5">
        <v>12577824</v>
      </c>
    </row>
    <row r="418" spans="1:3" x14ac:dyDescent="0.25">
      <c r="A418" s="19" t="s">
        <v>3448</v>
      </c>
      <c r="B418">
        <v>1</v>
      </c>
      <c r="C418" s="5">
        <v>127330</v>
      </c>
    </row>
    <row r="419" spans="1:3" x14ac:dyDescent="0.25">
      <c r="A419" s="19" t="s">
        <v>3452</v>
      </c>
      <c r="B419">
        <v>1</v>
      </c>
      <c r="C419" s="5">
        <v>254660</v>
      </c>
    </row>
    <row r="420" spans="1:3" x14ac:dyDescent="0.25">
      <c r="A420" s="19" t="s">
        <v>3829</v>
      </c>
      <c r="C420" s="5">
        <v>163982</v>
      </c>
    </row>
    <row r="421" spans="1:3" x14ac:dyDescent="0.25">
      <c r="A421" s="19" t="s">
        <v>4183</v>
      </c>
      <c r="B421">
        <v>1</v>
      </c>
      <c r="C421" s="5">
        <v>2720034.87</v>
      </c>
    </row>
    <row r="422" spans="1:3" x14ac:dyDescent="0.25">
      <c r="A422" s="18" t="s">
        <v>3773</v>
      </c>
      <c r="C422" s="5">
        <v>328239.15999999997</v>
      </c>
    </row>
    <row r="423" spans="1:3" x14ac:dyDescent="0.25">
      <c r="A423" s="19" t="s">
        <v>3770</v>
      </c>
      <c r="C423" s="5">
        <v>328239.15999999997</v>
      </c>
    </row>
    <row r="424" spans="1:3" x14ac:dyDescent="0.25">
      <c r="A424" s="18" t="s">
        <v>2400</v>
      </c>
      <c r="B424">
        <v>1</v>
      </c>
      <c r="C424" s="5">
        <v>2903600</v>
      </c>
    </row>
    <row r="425" spans="1:3" x14ac:dyDescent="0.25">
      <c r="A425" s="19" t="s">
        <v>2397</v>
      </c>
      <c r="B425">
        <v>1</v>
      </c>
      <c r="C425" s="5">
        <v>2903600</v>
      </c>
    </row>
    <row r="426" spans="1:3" x14ac:dyDescent="0.25">
      <c r="A426" s="18" t="s">
        <v>2090</v>
      </c>
      <c r="B426">
        <v>1</v>
      </c>
      <c r="C426" s="5">
        <v>353356.85</v>
      </c>
    </row>
    <row r="427" spans="1:3" x14ac:dyDescent="0.25">
      <c r="A427" s="19" t="s">
        <v>2087</v>
      </c>
      <c r="B427">
        <v>1</v>
      </c>
      <c r="C427" s="5">
        <v>353356.85</v>
      </c>
    </row>
    <row r="428" spans="1:3" x14ac:dyDescent="0.25">
      <c r="A428" s="18" t="s">
        <v>2152</v>
      </c>
      <c r="B428">
        <v>2</v>
      </c>
      <c r="C428" s="5">
        <v>4313014.58</v>
      </c>
    </row>
    <row r="429" spans="1:3" x14ac:dyDescent="0.25">
      <c r="A429" s="19" t="s">
        <v>2149</v>
      </c>
      <c r="B429">
        <v>1</v>
      </c>
      <c r="C429" s="5">
        <v>2352415.7999999998</v>
      </c>
    </row>
    <row r="430" spans="1:3" x14ac:dyDescent="0.25">
      <c r="A430" s="19" t="s">
        <v>2157</v>
      </c>
      <c r="B430">
        <v>1</v>
      </c>
      <c r="C430" s="5">
        <v>1960598.78</v>
      </c>
    </row>
    <row r="431" spans="1:3" x14ac:dyDescent="0.25">
      <c r="A431" s="18" t="s">
        <v>925</v>
      </c>
      <c r="B431">
        <v>2</v>
      </c>
      <c r="C431" s="5">
        <v>12074105.57</v>
      </c>
    </row>
    <row r="432" spans="1:3" x14ac:dyDescent="0.25">
      <c r="A432" s="19" t="s">
        <v>922</v>
      </c>
      <c r="B432">
        <v>1</v>
      </c>
      <c r="C432" s="5">
        <v>542640</v>
      </c>
    </row>
    <row r="433" spans="1:3" x14ac:dyDescent="0.25">
      <c r="A433" s="19" t="s">
        <v>1022</v>
      </c>
      <c r="B433">
        <v>1</v>
      </c>
      <c r="C433" s="5">
        <v>11531465.57</v>
      </c>
    </row>
    <row r="434" spans="1:3" x14ac:dyDescent="0.25">
      <c r="A434" s="18" t="s">
        <v>276</v>
      </c>
      <c r="B434">
        <v>1</v>
      </c>
      <c r="C434" s="5">
        <v>22112531</v>
      </c>
    </row>
    <row r="435" spans="1:3" x14ac:dyDescent="0.25">
      <c r="A435" s="19" t="s">
        <v>273</v>
      </c>
      <c r="B435">
        <v>1</v>
      </c>
      <c r="C435" s="5">
        <v>21953666</v>
      </c>
    </row>
    <row r="436" spans="1:3" x14ac:dyDescent="0.25">
      <c r="A436" s="19" t="s">
        <v>2604</v>
      </c>
      <c r="C436" s="5">
        <v>158865</v>
      </c>
    </row>
    <row r="437" spans="1:3" x14ac:dyDescent="0.25">
      <c r="A437" s="18" t="s">
        <v>1537</v>
      </c>
      <c r="B437">
        <v>1</v>
      </c>
      <c r="C437" s="5">
        <v>1800001.14</v>
      </c>
    </row>
    <row r="438" spans="1:3" x14ac:dyDescent="0.25">
      <c r="A438" s="19" t="s">
        <v>1534</v>
      </c>
      <c r="B438">
        <v>1</v>
      </c>
      <c r="C438" s="5">
        <v>1800001.14</v>
      </c>
    </row>
    <row r="439" spans="1:3" x14ac:dyDescent="0.25">
      <c r="A439" s="18" t="s">
        <v>1039</v>
      </c>
      <c r="B439">
        <v>3</v>
      </c>
      <c r="C439" s="5">
        <v>114917013.75</v>
      </c>
    </row>
    <row r="440" spans="1:3" x14ac:dyDescent="0.25">
      <c r="A440" s="19" t="s">
        <v>1036</v>
      </c>
      <c r="B440">
        <v>1</v>
      </c>
      <c r="C440" s="5">
        <v>5885561.5</v>
      </c>
    </row>
    <row r="441" spans="1:3" x14ac:dyDescent="0.25">
      <c r="A441" s="19" t="s">
        <v>1042</v>
      </c>
      <c r="B441">
        <v>1</v>
      </c>
      <c r="C441" s="5">
        <v>11771123</v>
      </c>
    </row>
    <row r="442" spans="1:3" x14ac:dyDescent="0.25">
      <c r="A442" s="19" t="s">
        <v>3195</v>
      </c>
      <c r="B442">
        <v>1</v>
      </c>
      <c r="C442" s="5">
        <v>97260329.25</v>
      </c>
    </row>
    <row r="443" spans="1:3" x14ac:dyDescent="0.25">
      <c r="A443" s="18" t="s">
        <v>568</v>
      </c>
      <c r="B443">
        <v>4</v>
      </c>
      <c r="C443" s="5">
        <v>3220402.4700000007</v>
      </c>
    </row>
    <row r="444" spans="1:3" x14ac:dyDescent="0.25">
      <c r="A444" s="19" t="s">
        <v>565</v>
      </c>
      <c r="C444" s="5">
        <v>1418932.24</v>
      </c>
    </row>
    <row r="445" spans="1:3" x14ac:dyDescent="0.25">
      <c r="A445" s="19" t="s">
        <v>1146</v>
      </c>
      <c r="B445">
        <v>1</v>
      </c>
      <c r="C445" s="5">
        <v>254979.8</v>
      </c>
    </row>
    <row r="446" spans="1:3" x14ac:dyDescent="0.25">
      <c r="A446" s="19" t="s">
        <v>1149</v>
      </c>
      <c r="B446">
        <v>1</v>
      </c>
      <c r="C446" s="5">
        <v>1142229.8600000001</v>
      </c>
    </row>
    <row r="447" spans="1:3" x14ac:dyDescent="0.25">
      <c r="A447" s="19" t="s">
        <v>1152</v>
      </c>
      <c r="B447">
        <v>1</v>
      </c>
      <c r="C447" s="5">
        <v>167290.20000000001</v>
      </c>
    </row>
    <row r="448" spans="1:3" x14ac:dyDescent="0.25">
      <c r="A448" s="19" t="s">
        <v>1155</v>
      </c>
      <c r="B448">
        <v>1</v>
      </c>
      <c r="C448" s="5">
        <v>236970.37</v>
      </c>
    </row>
    <row r="449" spans="1:3" x14ac:dyDescent="0.25">
      <c r="A449" s="18" t="s">
        <v>808</v>
      </c>
      <c r="C449" s="5">
        <v>1249500</v>
      </c>
    </row>
    <row r="450" spans="1:3" x14ac:dyDescent="0.25">
      <c r="A450" s="19" t="s">
        <v>805</v>
      </c>
      <c r="C450" s="5">
        <v>1249500</v>
      </c>
    </row>
    <row r="451" spans="1:3" x14ac:dyDescent="0.25">
      <c r="A451" s="18" t="s">
        <v>1342</v>
      </c>
      <c r="C451" s="5">
        <v>18458700.690000001</v>
      </c>
    </row>
    <row r="452" spans="1:3" x14ac:dyDescent="0.25">
      <c r="A452" s="19" t="s">
        <v>1339</v>
      </c>
      <c r="C452" s="5">
        <v>3884940.64</v>
      </c>
    </row>
    <row r="453" spans="1:3" x14ac:dyDescent="0.25">
      <c r="A453" s="19" t="s">
        <v>1344</v>
      </c>
      <c r="C453" s="5">
        <v>934546.27</v>
      </c>
    </row>
    <row r="454" spans="1:3" x14ac:dyDescent="0.25">
      <c r="A454" s="19" t="s">
        <v>1347</v>
      </c>
      <c r="C454" s="5">
        <v>295120</v>
      </c>
    </row>
    <row r="455" spans="1:3" x14ac:dyDescent="0.25">
      <c r="A455" s="19" t="s">
        <v>1350</v>
      </c>
      <c r="C455" s="5">
        <v>133598.92000000001</v>
      </c>
    </row>
    <row r="456" spans="1:3" x14ac:dyDescent="0.25">
      <c r="A456" s="19" t="s">
        <v>1353</v>
      </c>
      <c r="C456" s="5">
        <v>4078846.38</v>
      </c>
    </row>
    <row r="457" spans="1:3" x14ac:dyDescent="0.25">
      <c r="A457" s="19" t="s">
        <v>1446</v>
      </c>
      <c r="C457" s="5">
        <v>2439098.9700000002</v>
      </c>
    </row>
    <row r="458" spans="1:3" x14ac:dyDescent="0.25">
      <c r="A458" s="19" t="s">
        <v>2565</v>
      </c>
      <c r="C458" s="5">
        <v>4064598.51</v>
      </c>
    </row>
    <row r="459" spans="1:3" x14ac:dyDescent="0.25">
      <c r="A459" s="19" t="s">
        <v>2568</v>
      </c>
      <c r="C459" s="5">
        <v>2627951</v>
      </c>
    </row>
    <row r="460" spans="1:3" x14ac:dyDescent="0.25">
      <c r="A460" s="18" t="s">
        <v>2106</v>
      </c>
      <c r="B460">
        <v>1</v>
      </c>
      <c r="C460" s="5">
        <v>2415878.5</v>
      </c>
    </row>
    <row r="461" spans="1:3" x14ac:dyDescent="0.25">
      <c r="A461" s="19" t="s">
        <v>2103</v>
      </c>
      <c r="B461">
        <v>1</v>
      </c>
      <c r="C461" s="5">
        <v>2415878.5</v>
      </c>
    </row>
    <row r="462" spans="1:3" x14ac:dyDescent="0.25">
      <c r="A462" s="18" t="s">
        <v>3396</v>
      </c>
      <c r="B462">
        <v>3</v>
      </c>
      <c r="C462" s="5">
        <v>30652020</v>
      </c>
    </row>
    <row r="463" spans="1:3" x14ac:dyDescent="0.25">
      <c r="A463" s="19" t="s">
        <v>3393</v>
      </c>
      <c r="B463">
        <v>1</v>
      </c>
      <c r="C463" s="5">
        <v>20420400</v>
      </c>
    </row>
    <row r="464" spans="1:3" x14ac:dyDescent="0.25">
      <c r="A464" s="19" t="s">
        <v>4060</v>
      </c>
      <c r="B464">
        <v>1</v>
      </c>
      <c r="C464" s="5">
        <v>5769120</v>
      </c>
    </row>
    <row r="465" spans="1:3" x14ac:dyDescent="0.25">
      <c r="A465" s="19" t="s">
        <v>4120</v>
      </c>
      <c r="B465">
        <v>1</v>
      </c>
      <c r="C465" s="5">
        <v>4462500</v>
      </c>
    </row>
    <row r="466" spans="1:3" x14ac:dyDescent="0.25">
      <c r="A466" s="18" t="s">
        <v>1630</v>
      </c>
      <c r="B466">
        <v>2</v>
      </c>
      <c r="C466" s="5">
        <v>306655.86</v>
      </c>
    </row>
    <row r="467" spans="1:3" x14ac:dyDescent="0.25">
      <c r="A467" s="19" t="s">
        <v>1627</v>
      </c>
      <c r="B467">
        <v>1</v>
      </c>
      <c r="C467" s="5">
        <v>105843.36</v>
      </c>
    </row>
    <row r="468" spans="1:3" x14ac:dyDescent="0.25">
      <c r="A468" s="19" t="s">
        <v>3027</v>
      </c>
      <c r="B468">
        <v>1</v>
      </c>
      <c r="C468" s="5">
        <v>200812.5</v>
      </c>
    </row>
    <row r="469" spans="1:3" x14ac:dyDescent="0.25">
      <c r="A469" s="18" t="s">
        <v>2444</v>
      </c>
      <c r="C469" s="5">
        <v>225582173.88</v>
      </c>
    </row>
    <row r="470" spans="1:3" x14ac:dyDescent="0.25">
      <c r="A470" s="19" t="s">
        <v>2441</v>
      </c>
      <c r="C470" s="5">
        <v>23819654.039999999</v>
      </c>
    </row>
    <row r="471" spans="1:3" x14ac:dyDescent="0.25">
      <c r="A471" s="19" t="s">
        <v>2446</v>
      </c>
      <c r="C471" s="5">
        <v>100881259.92</v>
      </c>
    </row>
    <row r="472" spans="1:3" x14ac:dyDescent="0.25">
      <c r="A472" s="19" t="s">
        <v>2449</v>
      </c>
      <c r="C472" s="5">
        <v>100881259.92</v>
      </c>
    </row>
    <row r="473" spans="1:3" x14ac:dyDescent="0.25">
      <c r="A473" s="18" t="s">
        <v>1480</v>
      </c>
      <c r="B473">
        <v>1</v>
      </c>
      <c r="C473" s="5">
        <v>8084564.8799999999</v>
      </c>
    </row>
    <row r="474" spans="1:3" x14ac:dyDescent="0.25">
      <c r="A474" s="19" t="s">
        <v>1477</v>
      </c>
      <c r="B474">
        <v>1</v>
      </c>
      <c r="C474" s="5">
        <v>8084564.8799999999</v>
      </c>
    </row>
    <row r="475" spans="1:3" x14ac:dyDescent="0.25">
      <c r="A475" s="18" t="s">
        <v>2827</v>
      </c>
      <c r="C475" s="5">
        <v>3282020</v>
      </c>
    </row>
    <row r="476" spans="1:3" x14ac:dyDescent="0.25">
      <c r="A476" s="19" t="s">
        <v>2824</v>
      </c>
      <c r="C476" s="5">
        <v>3282020</v>
      </c>
    </row>
    <row r="477" spans="1:3" x14ac:dyDescent="0.25">
      <c r="A477" s="18" t="s">
        <v>915</v>
      </c>
      <c r="C477" s="5">
        <v>622679.4</v>
      </c>
    </row>
    <row r="478" spans="1:3" x14ac:dyDescent="0.25">
      <c r="A478" s="19" t="s">
        <v>912</v>
      </c>
      <c r="C478" s="5">
        <v>622679.4</v>
      </c>
    </row>
    <row r="479" spans="1:3" x14ac:dyDescent="0.25">
      <c r="A479" s="18" t="s">
        <v>1125</v>
      </c>
      <c r="C479" s="5">
        <v>37725199.119999997</v>
      </c>
    </row>
    <row r="480" spans="1:3" x14ac:dyDescent="0.25">
      <c r="A480" s="19" t="s">
        <v>1122</v>
      </c>
      <c r="C480" s="5">
        <v>9431299.7799999993</v>
      </c>
    </row>
    <row r="481" spans="1:3" x14ac:dyDescent="0.25">
      <c r="A481" s="19" t="s">
        <v>1127</v>
      </c>
      <c r="C481" s="5">
        <v>9431299.7799999993</v>
      </c>
    </row>
    <row r="482" spans="1:3" x14ac:dyDescent="0.25">
      <c r="A482" s="19" t="s">
        <v>1130</v>
      </c>
      <c r="C482" s="5">
        <v>9431299.7799999993</v>
      </c>
    </row>
    <row r="483" spans="1:3" x14ac:dyDescent="0.25">
      <c r="A483" s="19" t="s">
        <v>1133</v>
      </c>
      <c r="C483" s="5">
        <v>9431299.7799999993</v>
      </c>
    </row>
    <row r="484" spans="1:3" x14ac:dyDescent="0.25">
      <c r="A484" s="18" t="s">
        <v>1065</v>
      </c>
      <c r="B484">
        <v>2</v>
      </c>
      <c r="C484" s="5">
        <v>4663319.5999999996</v>
      </c>
    </row>
    <row r="485" spans="1:3" x14ac:dyDescent="0.25">
      <c r="A485" s="19" t="s">
        <v>1062</v>
      </c>
      <c r="B485">
        <v>1</v>
      </c>
      <c r="C485" s="5">
        <v>4318319.5999999996</v>
      </c>
    </row>
    <row r="486" spans="1:3" x14ac:dyDescent="0.25">
      <c r="A486" s="19" t="s">
        <v>2394</v>
      </c>
      <c r="B486">
        <v>1</v>
      </c>
      <c r="C486" s="5">
        <v>345000</v>
      </c>
    </row>
    <row r="487" spans="1:3" x14ac:dyDescent="0.25">
      <c r="A487" s="18" t="s">
        <v>3153</v>
      </c>
      <c r="B487">
        <v>1</v>
      </c>
      <c r="C487" s="5">
        <v>110565.28</v>
      </c>
    </row>
    <row r="488" spans="1:3" x14ac:dyDescent="0.25">
      <c r="A488" s="19" t="s">
        <v>3150</v>
      </c>
      <c r="B488">
        <v>1</v>
      </c>
      <c r="C488" s="5">
        <v>110565.28</v>
      </c>
    </row>
    <row r="489" spans="1:3" x14ac:dyDescent="0.25">
      <c r="A489" s="18" t="s">
        <v>3870</v>
      </c>
      <c r="C489" s="5">
        <v>1234355.99</v>
      </c>
    </row>
    <row r="490" spans="1:3" x14ac:dyDescent="0.25">
      <c r="A490" s="19" t="s">
        <v>3867</v>
      </c>
      <c r="C490" s="5">
        <v>1234355.99</v>
      </c>
    </row>
    <row r="491" spans="1:3" x14ac:dyDescent="0.25">
      <c r="A491" s="18" t="s">
        <v>633</v>
      </c>
      <c r="B491">
        <v>4</v>
      </c>
      <c r="C491" s="5">
        <v>7126397.1100000003</v>
      </c>
    </row>
    <row r="492" spans="1:3" x14ac:dyDescent="0.25">
      <c r="A492" s="19" t="s">
        <v>630</v>
      </c>
      <c r="B492">
        <v>1</v>
      </c>
      <c r="C492" s="5">
        <v>178500</v>
      </c>
    </row>
    <row r="493" spans="1:3" x14ac:dyDescent="0.25">
      <c r="A493" s="19" t="s">
        <v>729</v>
      </c>
      <c r="B493">
        <v>1</v>
      </c>
      <c r="C493" s="5">
        <v>2892292.62</v>
      </c>
    </row>
    <row r="494" spans="1:3" x14ac:dyDescent="0.25">
      <c r="A494" s="19" t="s">
        <v>2029</v>
      </c>
      <c r="B494">
        <v>1</v>
      </c>
      <c r="C494" s="5">
        <v>3432007.6</v>
      </c>
    </row>
    <row r="495" spans="1:3" x14ac:dyDescent="0.25">
      <c r="A495" s="19" t="s">
        <v>2265</v>
      </c>
      <c r="B495">
        <v>1</v>
      </c>
      <c r="C495" s="5">
        <v>623596.89</v>
      </c>
    </row>
    <row r="496" spans="1:3" x14ac:dyDescent="0.25">
      <c r="A496" s="18" t="s">
        <v>3803</v>
      </c>
      <c r="C496" s="5">
        <v>3760400</v>
      </c>
    </row>
    <row r="497" spans="1:3" x14ac:dyDescent="0.25">
      <c r="A497" s="19" t="s">
        <v>3800</v>
      </c>
      <c r="C497" s="5">
        <v>3760400</v>
      </c>
    </row>
    <row r="498" spans="1:3" x14ac:dyDescent="0.25">
      <c r="A498" s="18" t="s">
        <v>709</v>
      </c>
      <c r="B498">
        <v>1</v>
      </c>
      <c r="C498" s="5">
        <v>12146107.470000001</v>
      </c>
    </row>
    <row r="499" spans="1:3" x14ac:dyDescent="0.25">
      <c r="A499" s="19" t="s">
        <v>706</v>
      </c>
      <c r="B499">
        <v>1</v>
      </c>
      <c r="C499" s="5">
        <v>12146107.470000001</v>
      </c>
    </row>
    <row r="500" spans="1:3" x14ac:dyDescent="0.25">
      <c r="A500" s="18" t="s">
        <v>936</v>
      </c>
      <c r="B500">
        <v>2</v>
      </c>
      <c r="C500" s="5">
        <v>8164015.5</v>
      </c>
    </row>
    <row r="501" spans="1:3" x14ac:dyDescent="0.25">
      <c r="A501" s="19" t="s">
        <v>933</v>
      </c>
      <c r="B501">
        <v>1</v>
      </c>
      <c r="C501" s="5">
        <v>5025370</v>
      </c>
    </row>
    <row r="502" spans="1:3" x14ac:dyDescent="0.25">
      <c r="A502" s="19" t="s">
        <v>2527</v>
      </c>
      <c r="B502">
        <v>1</v>
      </c>
      <c r="C502" s="5">
        <v>3138645.5</v>
      </c>
    </row>
    <row r="503" spans="1:3" x14ac:dyDescent="0.25">
      <c r="A503" s="18" t="s">
        <v>1780</v>
      </c>
      <c r="B503">
        <v>4</v>
      </c>
      <c r="C503" s="5">
        <v>1021806.66</v>
      </c>
    </row>
    <row r="504" spans="1:3" x14ac:dyDescent="0.25">
      <c r="A504" s="19" t="s">
        <v>1777</v>
      </c>
      <c r="B504">
        <v>1</v>
      </c>
      <c r="C504" s="5">
        <v>135422.16</v>
      </c>
    </row>
    <row r="505" spans="1:3" x14ac:dyDescent="0.25">
      <c r="A505" s="19" t="s">
        <v>2211</v>
      </c>
      <c r="B505">
        <v>1</v>
      </c>
      <c r="C505" s="5">
        <v>395972.5</v>
      </c>
    </row>
    <row r="506" spans="1:3" x14ac:dyDescent="0.25">
      <c r="A506" s="19" t="s">
        <v>2666</v>
      </c>
      <c r="B506">
        <v>1</v>
      </c>
      <c r="C506" s="5">
        <v>74256</v>
      </c>
    </row>
    <row r="507" spans="1:3" x14ac:dyDescent="0.25">
      <c r="A507" s="19" t="s">
        <v>3274</v>
      </c>
      <c r="B507">
        <v>1</v>
      </c>
      <c r="C507" s="5">
        <v>416156</v>
      </c>
    </row>
    <row r="508" spans="1:3" x14ac:dyDescent="0.25">
      <c r="A508" s="18" t="s">
        <v>3240</v>
      </c>
      <c r="B508">
        <v>2</v>
      </c>
      <c r="C508" s="5">
        <v>421260</v>
      </c>
    </row>
    <row r="509" spans="1:3" x14ac:dyDescent="0.25">
      <c r="A509" s="19" t="s">
        <v>3237</v>
      </c>
      <c r="B509">
        <v>1</v>
      </c>
      <c r="C509" s="5">
        <v>178500</v>
      </c>
    </row>
    <row r="510" spans="1:3" x14ac:dyDescent="0.25">
      <c r="A510" s="19" t="s">
        <v>4192</v>
      </c>
      <c r="B510">
        <v>1</v>
      </c>
      <c r="C510" s="5">
        <v>242760</v>
      </c>
    </row>
    <row r="511" spans="1:3" x14ac:dyDescent="0.25">
      <c r="A511" s="18" t="s">
        <v>750</v>
      </c>
      <c r="C511" s="5">
        <v>5591600</v>
      </c>
    </row>
    <row r="512" spans="1:3" x14ac:dyDescent="0.25">
      <c r="A512" s="19" t="s">
        <v>747</v>
      </c>
      <c r="C512" s="5">
        <v>1954800</v>
      </c>
    </row>
    <row r="513" spans="1:3" x14ac:dyDescent="0.25">
      <c r="A513" s="19" t="s">
        <v>752</v>
      </c>
      <c r="C513" s="5">
        <v>3636800</v>
      </c>
    </row>
    <row r="514" spans="1:3" x14ac:dyDescent="0.25">
      <c r="A514" s="18" t="s">
        <v>1422</v>
      </c>
      <c r="B514">
        <v>2</v>
      </c>
      <c r="C514" s="5">
        <v>27187216</v>
      </c>
    </row>
    <row r="515" spans="1:3" x14ac:dyDescent="0.25">
      <c r="A515" s="19" t="s">
        <v>1419</v>
      </c>
      <c r="B515">
        <v>1</v>
      </c>
      <c r="C515" s="5">
        <v>5197920</v>
      </c>
    </row>
    <row r="516" spans="1:3" x14ac:dyDescent="0.25">
      <c r="A516" s="19" t="s">
        <v>1424</v>
      </c>
      <c r="B516">
        <v>1</v>
      </c>
      <c r="C516" s="5">
        <v>339150</v>
      </c>
    </row>
    <row r="517" spans="1:3" x14ac:dyDescent="0.25">
      <c r="A517" s="19" t="s">
        <v>2191</v>
      </c>
      <c r="C517" s="5">
        <v>898450</v>
      </c>
    </row>
    <row r="518" spans="1:3" x14ac:dyDescent="0.25">
      <c r="A518" s="19" t="s">
        <v>2232</v>
      </c>
      <c r="C518" s="5">
        <v>11942840</v>
      </c>
    </row>
    <row r="519" spans="1:3" x14ac:dyDescent="0.25">
      <c r="A519" s="19" t="s">
        <v>2433</v>
      </c>
      <c r="C519" s="5">
        <v>7461300</v>
      </c>
    </row>
    <row r="520" spans="1:3" x14ac:dyDescent="0.25">
      <c r="A520" s="19" t="s">
        <v>3247</v>
      </c>
      <c r="C520" s="5">
        <v>1347556</v>
      </c>
    </row>
    <row r="521" spans="1:3" x14ac:dyDescent="0.25">
      <c r="A521" s="18" t="s">
        <v>1511</v>
      </c>
      <c r="B521">
        <v>2</v>
      </c>
      <c r="C521" s="5">
        <v>10506380</v>
      </c>
    </row>
    <row r="522" spans="1:3" x14ac:dyDescent="0.25">
      <c r="A522" s="19" t="s">
        <v>1508</v>
      </c>
      <c r="B522">
        <v>1</v>
      </c>
      <c r="C522" s="5">
        <v>3184440</v>
      </c>
    </row>
    <row r="523" spans="1:3" x14ac:dyDescent="0.25">
      <c r="A523" s="19" t="s">
        <v>2006</v>
      </c>
      <c r="B523">
        <v>1</v>
      </c>
      <c r="C523" s="5">
        <v>90440</v>
      </c>
    </row>
    <row r="524" spans="1:3" x14ac:dyDescent="0.25">
      <c r="A524" s="19" t="s">
        <v>3346</v>
      </c>
      <c r="C524" s="5">
        <v>7231500</v>
      </c>
    </row>
    <row r="525" spans="1:3" x14ac:dyDescent="0.25">
      <c r="A525" s="18" t="s">
        <v>715</v>
      </c>
      <c r="B525">
        <v>2</v>
      </c>
      <c r="C525" s="5">
        <v>2856787.7800000003</v>
      </c>
    </row>
    <row r="526" spans="1:3" x14ac:dyDescent="0.25">
      <c r="A526" s="19" t="s">
        <v>712</v>
      </c>
      <c r="B526">
        <v>1</v>
      </c>
      <c r="C526" s="5">
        <v>381587.78</v>
      </c>
    </row>
    <row r="527" spans="1:3" x14ac:dyDescent="0.25">
      <c r="A527" s="19" t="s">
        <v>789</v>
      </c>
      <c r="B527">
        <v>1</v>
      </c>
      <c r="C527" s="5">
        <v>2475200</v>
      </c>
    </row>
    <row r="528" spans="1:3" x14ac:dyDescent="0.25">
      <c r="A528" s="18" t="s">
        <v>2965</v>
      </c>
      <c r="B528">
        <v>1</v>
      </c>
      <c r="C528" s="5">
        <v>316540</v>
      </c>
    </row>
    <row r="529" spans="1:3" x14ac:dyDescent="0.25">
      <c r="A529" s="19" t="s">
        <v>2962</v>
      </c>
      <c r="B529">
        <v>1</v>
      </c>
      <c r="C529" s="5">
        <v>316540</v>
      </c>
    </row>
    <row r="530" spans="1:3" x14ac:dyDescent="0.25">
      <c r="A530" s="18" t="s">
        <v>3433</v>
      </c>
      <c r="B530">
        <v>3</v>
      </c>
      <c r="C530" s="5">
        <v>1175835.5</v>
      </c>
    </row>
    <row r="531" spans="1:3" x14ac:dyDescent="0.25">
      <c r="A531" s="19" t="s">
        <v>3430</v>
      </c>
      <c r="B531">
        <v>1</v>
      </c>
      <c r="C531" s="5">
        <v>349531</v>
      </c>
    </row>
    <row r="532" spans="1:3" x14ac:dyDescent="0.25">
      <c r="A532" s="19" t="s">
        <v>3497</v>
      </c>
      <c r="B532">
        <v>1</v>
      </c>
      <c r="C532" s="5">
        <v>471376.5</v>
      </c>
    </row>
    <row r="533" spans="1:3" x14ac:dyDescent="0.25">
      <c r="A533" s="19" t="s">
        <v>3500</v>
      </c>
      <c r="B533">
        <v>1</v>
      </c>
      <c r="C533" s="5">
        <v>354928</v>
      </c>
    </row>
    <row r="534" spans="1:3" x14ac:dyDescent="0.25">
      <c r="A534" s="18" t="s">
        <v>2129</v>
      </c>
      <c r="C534" s="5">
        <v>21196780.780000001</v>
      </c>
    </row>
    <row r="535" spans="1:3" x14ac:dyDescent="0.25">
      <c r="A535" s="19" t="s">
        <v>2126</v>
      </c>
      <c r="C535" s="5">
        <v>2954460.32</v>
      </c>
    </row>
    <row r="536" spans="1:3" x14ac:dyDescent="0.25">
      <c r="A536" s="19" t="s">
        <v>2453</v>
      </c>
      <c r="C536" s="5">
        <v>3592507.66</v>
      </c>
    </row>
    <row r="537" spans="1:3" x14ac:dyDescent="0.25">
      <c r="A537" s="19" t="s">
        <v>3567</v>
      </c>
      <c r="C537" s="5">
        <v>735064.05</v>
      </c>
    </row>
    <row r="538" spans="1:3" x14ac:dyDescent="0.25">
      <c r="A538" s="19" t="s">
        <v>3570</v>
      </c>
      <c r="C538" s="5">
        <v>9368493.75</v>
      </c>
    </row>
    <row r="539" spans="1:3" x14ac:dyDescent="0.25">
      <c r="A539" s="19" t="s">
        <v>3573</v>
      </c>
      <c r="C539" s="5">
        <v>1430475.2</v>
      </c>
    </row>
    <row r="540" spans="1:3" x14ac:dyDescent="0.25">
      <c r="A540" s="19" t="s">
        <v>3576</v>
      </c>
      <c r="C540" s="5">
        <v>1352012.55</v>
      </c>
    </row>
    <row r="541" spans="1:3" x14ac:dyDescent="0.25">
      <c r="A541" s="19" t="s">
        <v>3579</v>
      </c>
      <c r="C541" s="5">
        <v>555083.19999999995</v>
      </c>
    </row>
    <row r="542" spans="1:3" x14ac:dyDescent="0.25">
      <c r="A542" s="19" t="s">
        <v>3582</v>
      </c>
      <c r="C542" s="5">
        <v>1208684.05</v>
      </c>
    </row>
    <row r="543" spans="1:3" x14ac:dyDescent="0.25">
      <c r="A543" s="18" t="s">
        <v>184</v>
      </c>
      <c r="B543">
        <v>1</v>
      </c>
      <c r="C543" s="5">
        <v>4005599.5</v>
      </c>
    </row>
    <row r="544" spans="1:3" x14ac:dyDescent="0.25">
      <c r="A544" s="19" t="s">
        <v>181</v>
      </c>
      <c r="B544">
        <v>1</v>
      </c>
      <c r="C544" s="5">
        <v>249900</v>
      </c>
    </row>
    <row r="545" spans="1:3" x14ac:dyDescent="0.25">
      <c r="A545" s="19" t="s">
        <v>189</v>
      </c>
      <c r="C545" s="5">
        <v>1832600</v>
      </c>
    </row>
    <row r="546" spans="1:3" x14ac:dyDescent="0.25">
      <c r="A546" s="19" t="s">
        <v>2579</v>
      </c>
      <c r="C546" s="5">
        <v>423699.5</v>
      </c>
    </row>
    <row r="547" spans="1:3" x14ac:dyDescent="0.25">
      <c r="A547" s="19">
        <v>104655</v>
      </c>
      <c r="C547" s="5">
        <v>1499400</v>
      </c>
    </row>
    <row r="548" spans="1:3" x14ac:dyDescent="0.25">
      <c r="A548" s="18" t="s">
        <v>3953</v>
      </c>
      <c r="C548" s="5">
        <v>142800</v>
      </c>
    </row>
    <row r="549" spans="1:3" x14ac:dyDescent="0.25">
      <c r="A549" s="19" t="s">
        <v>3950</v>
      </c>
      <c r="C549" s="5">
        <v>142800</v>
      </c>
    </row>
    <row r="550" spans="1:3" x14ac:dyDescent="0.25">
      <c r="A550" s="18" t="s">
        <v>1774</v>
      </c>
      <c r="B550">
        <v>5</v>
      </c>
      <c r="C550" s="5">
        <v>628873.35</v>
      </c>
    </row>
    <row r="551" spans="1:3" x14ac:dyDescent="0.25">
      <c r="A551" s="19" t="s">
        <v>1771</v>
      </c>
      <c r="B551">
        <v>1</v>
      </c>
      <c r="C551" s="5">
        <v>74452.350000000006</v>
      </c>
    </row>
    <row r="552" spans="1:3" x14ac:dyDescent="0.25">
      <c r="A552" s="19" t="s">
        <v>2214</v>
      </c>
      <c r="B552">
        <v>1</v>
      </c>
      <c r="C552" s="5">
        <v>35700</v>
      </c>
    </row>
    <row r="553" spans="1:3" x14ac:dyDescent="0.25">
      <c r="A553" s="19" t="s">
        <v>3268</v>
      </c>
      <c r="B553">
        <v>1</v>
      </c>
      <c r="C553" s="5">
        <v>357000</v>
      </c>
    </row>
    <row r="554" spans="1:3" x14ac:dyDescent="0.25">
      <c r="A554" s="19" t="s">
        <v>3271</v>
      </c>
      <c r="B554">
        <v>1</v>
      </c>
      <c r="C554" s="5">
        <v>35700</v>
      </c>
    </row>
    <row r="555" spans="1:3" x14ac:dyDescent="0.25">
      <c r="A555" s="19" t="s">
        <v>4126</v>
      </c>
      <c r="B555">
        <v>1</v>
      </c>
      <c r="C555" s="5">
        <v>126021</v>
      </c>
    </row>
    <row r="556" spans="1:3" x14ac:dyDescent="0.25">
      <c r="A556" s="18" t="s">
        <v>68</v>
      </c>
      <c r="B556">
        <v>2</v>
      </c>
      <c r="C556" s="5">
        <v>4542553.17</v>
      </c>
    </row>
    <row r="557" spans="1:3" x14ac:dyDescent="0.25">
      <c r="A557" s="19" t="s">
        <v>65</v>
      </c>
      <c r="B557">
        <v>1</v>
      </c>
      <c r="C557" s="5">
        <v>2337439.65</v>
      </c>
    </row>
    <row r="558" spans="1:3" x14ac:dyDescent="0.25">
      <c r="A558" s="19" t="s">
        <v>71</v>
      </c>
      <c r="C558" s="5">
        <v>339796.17</v>
      </c>
    </row>
    <row r="559" spans="1:3" x14ac:dyDescent="0.25">
      <c r="A559" s="19" t="s">
        <v>74</v>
      </c>
      <c r="B559">
        <v>1</v>
      </c>
      <c r="C559" s="5">
        <v>1865317.35</v>
      </c>
    </row>
    <row r="560" spans="1:3" x14ac:dyDescent="0.25">
      <c r="A560" s="18" t="s">
        <v>489</v>
      </c>
      <c r="C560" s="5">
        <v>3188720</v>
      </c>
    </row>
    <row r="561" spans="1:3" x14ac:dyDescent="0.25">
      <c r="A561" s="19" t="s">
        <v>486</v>
      </c>
      <c r="C561" s="5">
        <v>705670</v>
      </c>
    </row>
    <row r="562" spans="1:3" x14ac:dyDescent="0.25">
      <c r="A562" s="19" t="s">
        <v>491</v>
      </c>
      <c r="C562" s="5">
        <v>458150</v>
      </c>
    </row>
    <row r="563" spans="1:3" x14ac:dyDescent="0.25">
      <c r="A563" s="19" t="s">
        <v>494</v>
      </c>
      <c r="C563" s="5">
        <v>1180000</v>
      </c>
    </row>
    <row r="564" spans="1:3" x14ac:dyDescent="0.25">
      <c r="A564" s="19" t="s">
        <v>943</v>
      </c>
      <c r="C564" s="5">
        <v>368900</v>
      </c>
    </row>
    <row r="565" spans="1:3" x14ac:dyDescent="0.25">
      <c r="A565" s="19" t="s">
        <v>946</v>
      </c>
      <c r="C565" s="5">
        <v>119000</v>
      </c>
    </row>
    <row r="566" spans="1:3" x14ac:dyDescent="0.25">
      <c r="A566" s="19" t="s">
        <v>949</v>
      </c>
      <c r="C566" s="5">
        <v>119000</v>
      </c>
    </row>
    <row r="567" spans="1:3" x14ac:dyDescent="0.25">
      <c r="A567" s="19" t="s">
        <v>952</v>
      </c>
      <c r="C567" s="5">
        <v>238000</v>
      </c>
    </row>
    <row r="568" spans="1:3" x14ac:dyDescent="0.25">
      <c r="A568" s="18" t="s">
        <v>464</v>
      </c>
      <c r="B568">
        <v>2</v>
      </c>
      <c r="C568" s="5">
        <v>2322880</v>
      </c>
    </row>
    <row r="569" spans="1:3" x14ac:dyDescent="0.25">
      <c r="A569" s="19" t="s">
        <v>461</v>
      </c>
      <c r="B569">
        <v>1</v>
      </c>
      <c r="C569" s="5">
        <v>2203880</v>
      </c>
    </row>
    <row r="570" spans="1:3" x14ac:dyDescent="0.25">
      <c r="A570" s="19" t="s">
        <v>810</v>
      </c>
      <c r="B570">
        <v>1</v>
      </c>
      <c r="C570" s="5">
        <v>119000</v>
      </c>
    </row>
    <row r="571" spans="1:3" x14ac:dyDescent="0.25">
      <c r="A571" s="18" t="s">
        <v>664</v>
      </c>
      <c r="B571">
        <v>2</v>
      </c>
      <c r="C571" s="5">
        <v>543621.75</v>
      </c>
    </row>
    <row r="572" spans="1:3" x14ac:dyDescent="0.25">
      <c r="A572" s="19" t="s">
        <v>661</v>
      </c>
      <c r="B572">
        <v>1</v>
      </c>
      <c r="C572" s="5">
        <v>23800</v>
      </c>
    </row>
    <row r="573" spans="1:3" x14ac:dyDescent="0.25">
      <c r="A573" s="19" t="s">
        <v>975</v>
      </c>
      <c r="B573">
        <v>1</v>
      </c>
      <c r="C573" s="5">
        <v>519821.75</v>
      </c>
    </row>
    <row r="574" spans="1:3" x14ac:dyDescent="0.25">
      <c r="A574" s="18" t="s">
        <v>2022</v>
      </c>
      <c r="B574">
        <v>1</v>
      </c>
      <c r="C574" s="5">
        <v>572687.5</v>
      </c>
    </row>
    <row r="575" spans="1:3" x14ac:dyDescent="0.25">
      <c r="A575" s="19" t="s">
        <v>2019</v>
      </c>
      <c r="B575">
        <v>1</v>
      </c>
      <c r="C575" s="5">
        <v>572687.5</v>
      </c>
    </row>
    <row r="576" spans="1:3" x14ac:dyDescent="0.25">
      <c r="A576" s="18" t="s">
        <v>3860</v>
      </c>
      <c r="C576" s="5">
        <v>2217556.48</v>
      </c>
    </row>
    <row r="577" spans="1:3" x14ac:dyDescent="0.25">
      <c r="A577" s="19" t="s">
        <v>3857</v>
      </c>
      <c r="C577" s="5">
        <v>2217556.48</v>
      </c>
    </row>
    <row r="578" spans="1:3" x14ac:dyDescent="0.25">
      <c r="A578" s="18" t="s">
        <v>551</v>
      </c>
      <c r="C578" s="5">
        <v>6787879</v>
      </c>
    </row>
    <row r="579" spans="1:3" x14ac:dyDescent="0.25">
      <c r="A579" s="19" t="s">
        <v>548</v>
      </c>
      <c r="C579" s="5">
        <v>4714899</v>
      </c>
    </row>
    <row r="580" spans="1:3" x14ac:dyDescent="0.25">
      <c r="A580" s="19" t="s">
        <v>1836</v>
      </c>
      <c r="C580" s="5">
        <v>107433.2</v>
      </c>
    </row>
    <row r="581" spans="1:3" x14ac:dyDescent="0.25">
      <c r="A581" s="19" t="s">
        <v>2253</v>
      </c>
      <c r="C581" s="5">
        <v>38080</v>
      </c>
    </row>
    <row r="582" spans="1:3" x14ac:dyDescent="0.25">
      <c r="A582" s="19" t="s">
        <v>2256</v>
      </c>
      <c r="C582" s="5">
        <v>46648</v>
      </c>
    </row>
    <row r="583" spans="1:3" x14ac:dyDescent="0.25">
      <c r="A583" s="19" t="s">
        <v>2259</v>
      </c>
      <c r="C583" s="5">
        <v>196112</v>
      </c>
    </row>
    <row r="584" spans="1:3" x14ac:dyDescent="0.25">
      <c r="A584" s="19" t="s">
        <v>2262</v>
      </c>
      <c r="C584" s="5">
        <v>206346</v>
      </c>
    </row>
    <row r="585" spans="1:3" x14ac:dyDescent="0.25">
      <c r="A585" s="19" t="s">
        <v>2519</v>
      </c>
      <c r="C585" s="5">
        <v>84133</v>
      </c>
    </row>
    <row r="586" spans="1:3" x14ac:dyDescent="0.25">
      <c r="A586" s="19" t="s">
        <v>2650</v>
      </c>
      <c r="C586" s="5">
        <v>400577.8</v>
      </c>
    </row>
    <row r="587" spans="1:3" x14ac:dyDescent="0.25">
      <c r="A587" s="19" t="s">
        <v>4204</v>
      </c>
      <c r="C587" s="5">
        <v>993650</v>
      </c>
    </row>
    <row r="588" spans="1:3" x14ac:dyDescent="0.25">
      <c r="A588" s="18" t="s">
        <v>2248</v>
      </c>
      <c r="C588" s="5">
        <v>5414500</v>
      </c>
    </row>
    <row r="589" spans="1:3" x14ac:dyDescent="0.25">
      <c r="A589" s="19" t="s">
        <v>2245</v>
      </c>
      <c r="C589" s="5">
        <v>4879000</v>
      </c>
    </row>
    <row r="590" spans="1:3" x14ac:dyDescent="0.25">
      <c r="A590" s="19" t="s">
        <v>2250</v>
      </c>
      <c r="C590" s="5">
        <v>535500</v>
      </c>
    </row>
    <row r="591" spans="1:3" x14ac:dyDescent="0.25">
      <c r="A591" s="18" t="s">
        <v>1808</v>
      </c>
      <c r="C591" s="5">
        <v>9672000</v>
      </c>
    </row>
    <row r="592" spans="1:3" x14ac:dyDescent="0.25">
      <c r="A592" s="19" t="s">
        <v>1805</v>
      </c>
      <c r="C592" s="5">
        <v>9672000</v>
      </c>
    </row>
    <row r="593" spans="1:3" x14ac:dyDescent="0.25">
      <c r="A593" s="18" t="s">
        <v>3750</v>
      </c>
      <c r="B593">
        <v>2</v>
      </c>
      <c r="C593" s="5">
        <v>1024540</v>
      </c>
    </row>
    <row r="594" spans="1:3" x14ac:dyDescent="0.25">
      <c r="A594" s="19" t="s">
        <v>3747</v>
      </c>
      <c r="B594">
        <v>1</v>
      </c>
      <c r="C594" s="5">
        <v>550056</v>
      </c>
    </row>
    <row r="595" spans="1:3" x14ac:dyDescent="0.25">
      <c r="A595" s="19" t="s">
        <v>3752</v>
      </c>
      <c r="B595">
        <v>1</v>
      </c>
      <c r="C595" s="5">
        <v>474484</v>
      </c>
    </row>
    <row r="596" spans="1:3" x14ac:dyDescent="0.25">
      <c r="A596" s="18" t="s">
        <v>1486</v>
      </c>
      <c r="C596" s="5">
        <v>13353143.51</v>
      </c>
    </row>
    <row r="597" spans="1:3" x14ac:dyDescent="0.25">
      <c r="A597" s="19" t="s">
        <v>1483</v>
      </c>
      <c r="C597" s="5">
        <v>7694540</v>
      </c>
    </row>
    <row r="598" spans="1:3" x14ac:dyDescent="0.25">
      <c r="A598" s="19" t="s">
        <v>4222</v>
      </c>
      <c r="C598" s="5">
        <v>5658603.5099999998</v>
      </c>
    </row>
    <row r="599" spans="1:3" x14ac:dyDescent="0.25">
      <c r="A599" s="18" t="s">
        <v>1086</v>
      </c>
      <c r="B599">
        <v>1</v>
      </c>
      <c r="C599" s="5">
        <v>2970240</v>
      </c>
    </row>
    <row r="600" spans="1:3" x14ac:dyDescent="0.25">
      <c r="A600" s="19" t="s">
        <v>1083</v>
      </c>
      <c r="B600">
        <v>1</v>
      </c>
      <c r="C600" s="5">
        <v>2970240</v>
      </c>
    </row>
    <row r="601" spans="1:3" x14ac:dyDescent="0.25">
      <c r="A601" s="18" t="s">
        <v>3388</v>
      </c>
      <c r="B601">
        <v>2</v>
      </c>
      <c r="C601" s="5">
        <v>1386350</v>
      </c>
    </row>
    <row r="602" spans="1:3" x14ac:dyDescent="0.25">
      <c r="A602" s="19" t="s">
        <v>3385</v>
      </c>
      <c r="B602">
        <v>1</v>
      </c>
      <c r="C602" s="5">
        <v>779450</v>
      </c>
    </row>
    <row r="603" spans="1:3" x14ac:dyDescent="0.25">
      <c r="A603" s="19" t="s">
        <v>4219</v>
      </c>
      <c r="B603">
        <v>1</v>
      </c>
      <c r="C603" s="5">
        <v>606900</v>
      </c>
    </row>
    <row r="604" spans="1:3" x14ac:dyDescent="0.25">
      <c r="A604" s="18" t="s">
        <v>2936</v>
      </c>
      <c r="B604">
        <v>5</v>
      </c>
      <c r="C604" s="5">
        <v>1945470.9</v>
      </c>
    </row>
    <row r="605" spans="1:3" x14ac:dyDescent="0.25">
      <c r="A605" s="19" t="s">
        <v>2933</v>
      </c>
      <c r="B605">
        <v>1</v>
      </c>
      <c r="C605" s="5">
        <v>42600</v>
      </c>
    </row>
    <row r="606" spans="1:3" x14ac:dyDescent="0.25">
      <c r="A606" s="19" t="s">
        <v>2939</v>
      </c>
      <c r="B606">
        <v>1</v>
      </c>
      <c r="C606" s="5">
        <v>86334.5</v>
      </c>
    </row>
    <row r="607" spans="1:3" x14ac:dyDescent="0.25">
      <c r="A607" s="19" t="s">
        <v>2944</v>
      </c>
      <c r="B607">
        <v>1</v>
      </c>
      <c r="C607" s="5">
        <v>666330</v>
      </c>
    </row>
    <row r="608" spans="1:3" x14ac:dyDescent="0.25">
      <c r="A608" s="19" t="s">
        <v>2947</v>
      </c>
      <c r="B608">
        <v>1</v>
      </c>
      <c r="C608" s="5">
        <v>265334.3</v>
      </c>
    </row>
    <row r="609" spans="1:3" x14ac:dyDescent="0.25">
      <c r="A609" s="19">
        <v>105303</v>
      </c>
      <c r="B609">
        <v>1</v>
      </c>
      <c r="C609" s="5">
        <v>884872.1</v>
      </c>
    </row>
    <row r="610" spans="1:3" x14ac:dyDescent="0.25">
      <c r="A610" s="18" t="s">
        <v>1521</v>
      </c>
      <c r="B610">
        <v>1</v>
      </c>
      <c r="C610" s="5">
        <v>94463.6</v>
      </c>
    </row>
    <row r="611" spans="1:3" x14ac:dyDescent="0.25">
      <c r="A611" s="19" t="s">
        <v>1518</v>
      </c>
      <c r="B611">
        <v>1</v>
      </c>
      <c r="C611" s="5">
        <v>94463.6</v>
      </c>
    </row>
    <row r="612" spans="1:3" x14ac:dyDescent="0.25">
      <c r="A612" s="18" t="s">
        <v>920</v>
      </c>
      <c r="C612" s="5">
        <v>107320</v>
      </c>
    </row>
    <row r="613" spans="1:3" x14ac:dyDescent="0.25">
      <c r="A613" s="19" t="s">
        <v>917</v>
      </c>
      <c r="C613" s="5">
        <v>107320</v>
      </c>
    </row>
    <row r="614" spans="1:3" x14ac:dyDescent="0.25">
      <c r="A614" s="18" t="s">
        <v>4074</v>
      </c>
      <c r="C614" s="5">
        <v>2275270</v>
      </c>
    </row>
    <row r="615" spans="1:3" x14ac:dyDescent="0.25">
      <c r="A615" s="19" t="s">
        <v>4071</v>
      </c>
      <c r="C615" s="5">
        <v>885241</v>
      </c>
    </row>
    <row r="616" spans="1:3" x14ac:dyDescent="0.25">
      <c r="A616" s="19" t="s">
        <v>4076</v>
      </c>
      <c r="C616" s="5">
        <v>1390029</v>
      </c>
    </row>
    <row r="617" spans="1:3" x14ac:dyDescent="0.25">
      <c r="A617" s="18" t="s">
        <v>2747</v>
      </c>
      <c r="C617" s="5">
        <v>1606500</v>
      </c>
    </row>
    <row r="618" spans="1:3" x14ac:dyDescent="0.25">
      <c r="A618" s="19" t="s">
        <v>2744</v>
      </c>
      <c r="C618" s="5">
        <v>1606500</v>
      </c>
    </row>
    <row r="619" spans="1:3" x14ac:dyDescent="0.25">
      <c r="A619" s="18" t="s">
        <v>1944</v>
      </c>
      <c r="B619">
        <v>4</v>
      </c>
      <c r="C619" s="5">
        <v>4874370.9000000004</v>
      </c>
    </row>
    <row r="620" spans="1:3" x14ac:dyDescent="0.25">
      <c r="A620" s="19" t="s">
        <v>1942</v>
      </c>
      <c r="B620">
        <v>1</v>
      </c>
      <c r="C620" s="5">
        <v>1408365</v>
      </c>
    </row>
    <row r="621" spans="1:3" x14ac:dyDescent="0.25">
      <c r="A621" s="19" t="s">
        <v>1946</v>
      </c>
      <c r="B621">
        <v>1</v>
      </c>
      <c r="C621" s="5">
        <v>582743</v>
      </c>
    </row>
    <row r="622" spans="1:3" x14ac:dyDescent="0.25">
      <c r="A622" s="19" t="s">
        <v>1948</v>
      </c>
      <c r="B622">
        <v>1</v>
      </c>
      <c r="C622" s="5">
        <v>324870</v>
      </c>
    </row>
    <row r="623" spans="1:3" x14ac:dyDescent="0.25">
      <c r="A623" s="19" t="s">
        <v>1951</v>
      </c>
      <c r="B623">
        <v>1</v>
      </c>
      <c r="C623" s="5">
        <v>2558392.9</v>
      </c>
    </row>
    <row r="624" spans="1:3" x14ac:dyDescent="0.25">
      <c r="A624" s="18" t="s">
        <v>4265</v>
      </c>
      <c r="C624" s="5">
        <v>249376.4</v>
      </c>
    </row>
    <row r="625" spans="1:3" x14ac:dyDescent="0.25">
      <c r="A625" s="19" t="s">
        <v>4262</v>
      </c>
      <c r="C625" s="5">
        <v>249376.4</v>
      </c>
    </row>
    <row r="626" spans="1:3" x14ac:dyDescent="0.25">
      <c r="A626" s="18" t="s">
        <v>2038</v>
      </c>
      <c r="B626">
        <v>2</v>
      </c>
      <c r="C626" s="5">
        <v>1128251.6000000001</v>
      </c>
    </row>
    <row r="627" spans="1:3" x14ac:dyDescent="0.25">
      <c r="A627" s="19" t="s">
        <v>2035</v>
      </c>
      <c r="B627">
        <v>1</v>
      </c>
      <c r="C627" s="5">
        <v>691294.8</v>
      </c>
    </row>
    <row r="628" spans="1:3" x14ac:dyDescent="0.25">
      <c r="A628" s="19" t="s">
        <v>2040</v>
      </c>
      <c r="B628">
        <v>1</v>
      </c>
      <c r="C628" s="5">
        <v>436956.8</v>
      </c>
    </row>
    <row r="629" spans="1:3" x14ac:dyDescent="0.25">
      <c r="A629" s="18" t="s">
        <v>3253</v>
      </c>
      <c r="B629">
        <v>1</v>
      </c>
      <c r="C629" s="5">
        <v>71400</v>
      </c>
    </row>
    <row r="630" spans="1:3" x14ac:dyDescent="0.25">
      <c r="A630" s="19" t="s">
        <v>3250</v>
      </c>
      <c r="B630">
        <v>1</v>
      </c>
      <c r="C630" s="5">
        <v>71400</v>
      </c>
    </row>
    <row r="631" spans="1:3" x14ac:dyDescent="0.25">
      <c r="A631" s="18" t="s">
        <v>555</v>
      </c>
      <c r="C631" s="5">
        <v>309400</v>
      </c>
    </row>
    <row r="632" spans="1:3" x14ac:dyDescent="0.25">
      <c r="A632" s="19">
        <v>104734</v>
      </c>
      <c r="C632" s="5">
        <v>309400</v>
      </c>
    </row>
    <row r="633" spans="1:3" x14ac:dyDescent="0.25">
      <c r="A633" s="18" t="s">
        <v>262</v>
      </c>
      <c r="B633">
        <v>2</v>
      </c>
      <c r="C633" s="5">
        <v>3867500</v>
      </c>
    </row>
    <row r="634" spans="1:3" x14ac:dyDescent="0.25">
      <c r="A634" s="19" t="s">
        <v>259</v>
      </c>
      <c r="B634">
        <v>1</v>
      </c>
      <c r="C634" s="5">
        <v>3452190</v>
      </c>
    </row>
    <row r="635" spans="1:3" x14ac:dyDescent="0.25">
      <c r="A635" s="19" t="s">
        <v>270</v>
      </c>
      <c r="B635">
        <v>1</v>
      </c>
      <c r="C635" s="5">
        <v>415310</v>
      </c>
    </row>
    <row r="636" spans="1:3" x14ac:dyDescent="0.25">
      <c r="A636" s="18" t="s">
        <v>899</v>
      </c>
      <c r="B636">
        <v>1</v>
      </c>
      <c r="C636" s="5">
        <v>538566</v>
      </c>
    </row>
    <row r="637" spans="1:3" x14ac:dyDescent="0.25">
      <c r="A637" s="19" t="s">
        <v>896</v>
      </c>
      <c r="B637">
        <v>1</v>
      </c>
      <c r="C637" s="5">
        <v>538566</v>
      </c>
    </row>
    <row r="638" spans="1:3" x14ac:dyDescent="0.25">
      <c r="A638" s="18" t="s">
        <v>3102</v>
      </c>
      <c r="C638" s="5">
        <v>32656536.939999998</v>
      </c>
    </row>
    <row r="639" spans="1:3" x14ac:dyDescent="0.25">
      <c r="A639" s="19" t="s">
        <v>3099</v>
      </c>
      <c r="C639" s="5">
        <v>4612454.4000000004</v>
      </c>
    </row>
    <row r="640" spans="1:3" x14ac:dyDescent="0.25">
      <c r="A640" s="19" t="s">
        <v>3113</v>
      </c>
      <c r="C640" s="5">
        <v>970906</v>
      </c>
    </row>
    <row r="641" spans="1:3" x14ac:dyDescent="0.25">
      <c r="A641" s="19" t="s">
        <v>3282</v>
      </c>
      <c r="C641" s="5">
        <v>982583</v>
      </c>
    </row>
    <row r="642" spans="1:3" x14ac:dyDescent="0.25">
      <c r="A642" s="19" t="s">
        <v>3291</v>
      </c>
      <c r="C642" s="5">
        <v>6078207.5499999998</v>
      </c>
    </row>
    <row r="643" spans="1:3" x14ac:dyDescent="0.25">
      <c r="A643" s="19" t="s">
        <v>3294</v>
      </c>
      <c r="C643" s="5">
        <v>20012385.989999998</v>
      </c>
    </row>
    <row r="644" spans="1:3" x14ac:dyDescent="0.25">
      <c r="A644" s="18" t="s">
        <v>1531</v>
      </c>
      <c r="C644" s="5">
        <v>268538.90000000002</v>
      </c>
    </row>
    <row r="645" spans="1:3" x14ac:dyDescent="0.25">
      <c r="A645" s="19" t="s">
        <v>1528</v>
      </c>
      <c r="C645" s="5">
        <v>268538.90000000002</v>
      </c>
    </row>
    <row r="646" spans="1:3" x14ac:dyDescent="0.25">
      <c r="A646" s="18" t="s">
        <v>3068</v>
      </c>
      <c r="C646" s="5">
        <v>381859.1</v>
      </c>
    </row>
    <row r="647" spans="1:3" x14ac:dyDescent="0.25">
      <c r="A647" s="19" t="s">
        <v>3065</v>
      </c>
      <c r="C647" s="5">
        <v>381859.1</v>
      </c>
    </row>
    <row r="648" spans="1:3" x14ac:dyDescent="0.25">
      <c r="A648" s="18" t="s">
        <v>1935</v>
      </c>
      <c r="C648" s="5">
        <v>717094</v>
      </c>
    </row>
    <row r="649" spans="1:3" x14ac:dyDescent="0.25">
      <c r="A649" s="19" t="s">
        <v>1932</v>
      </c>
      <c r="C649" s="5">
        <v>717094</v>
      </c>
    </row>
    <row r="650" spans="1:3" x14ac:dyDescent="0.25">
      <c r="A650" s="18" t="s">
        <v>3731</v>
      </c>
      <c r="C650" s="5">
        <v>935970.93</v>
      </c>
    </row>
    <row r="651" spans="1:3" x14ac:dyDescent="0.25">
      <c r="A651" s="19" t="s">
        <v>3727</v>
      </c>
      <c r="C651" s="5">
        <v>935970.93</v>
      </c>
    </row>
    <row r="652" spans="1:3" x14ac:dyDescent="0.25">
      <c r="A652" s="18" t="s">
        <v>574</v>
      </c>
      <c r="B652">
        <v>1</v>
      </c>
      <c r="C652" s="5">
        <v>1978613</v>
      </c>
    </row>
    <row r="653" spans="1:3" x14ac:dyDescent="0.25">
      <c r="A653" s="19" t="s">
        <v>571</v>
      </c>
      <c r="C653" s="5">
        <v>1413125</v>
      </c>
    </row>
    <row r="654" spans="1:3" x14ac:dyDescent="0.25">
      <c r="A654" s="19" t="s">
        <v>1077</v>
      </c>
      <c r="B654">
        <v>1</v>
      </c>
      <c r="C654" s="5">
        <v>565488</v>
      </c>
    </row>
    <row r="655" spans="1:3" x14ac:dyDescent="0.25">
      <c r="A655" s="18" t="s">
        <v>869</v>
      </c>
      <c r="B655">
        <v>3</v>
      </c>
      <c r="C655" s="5">
        <v>785043</v>
      </c>
    </row>
    <row r="656" spans="1:3" x14ac:dyDescent="0.25">
      <c r="A656" s="19" t="s">
        <v>866</v>
      </c>
      <c r="B656">
        <v>1</v>
      </c>
      <c r="C656" s="5">
        <v>103768</v>
      </c>
    </row>
    <row r="657" spans="1:3" x14ac:dyDescent="0.25">
      <c r="A657" s="19" t="s">
        <v>2012</v>
      </c>
      <c r="B657">
        <v>1</v>
      </c>
      <c r="C657" s="5">
        <v>181475</v>
      </c>
    </row>
    <row r="658" spans="1:3" x14ac:dyDescent="0.25">
      <c r="A658" s="19" t="s">
        <v>3700</v>
      </c>
      <c r="C658" s="5">
        <v>249900</v>
      </c>
    </row>
    <row r="659" spans="1:3" x14ac:dyDescent="0.25">
      <c r="A659" s="19" t="s">
        <v>3907</v>
      </c>
      <c r="B659">
        <v>1</v>
      </c>
      <c r="C659" s="5">
        <v>249900</v>
      </c>
    </row>
    <row r="660" spans="1:3" x14ac:dyDescent="0.25">
      <c r="A660" s="18" t="s">
        <v>1219</v>
      </c>
      <c r="B660">
        <v>4</v>
      </c>
      <c r="C660" s="5">
        <v>4209207.3100000005</v>
      </c>
    </row>
    <row r="661" spans="1:3" x14ac:dyDescent="0.25">
      <c r="A661" s="19" t="s">
        <v>1216</v>
      </c>
      <c r="B661">
        <v>1</v>
      </c>
      <c r="C661" s="5">
        <v>1438834.95</v>
      </c>
    </row>
    <row r="662" spans="1:3" x14ac:dyDescent="0.25">
      <c r="A662" s="19" t="s">
        <v>1501</v>
      </c>
      <c r="B662">
        <v>1</v>
      </c>
      <c r="C662" s="5">
        <v>622422.36</v>
      </c>
    </row>
    <row r="663" spans="1:3" x14ac:dyDescent="0.25">
      <c r="A663" s="19" t="s">
        <v>2002</v>
      </c>
      <c r="B663">
        <v>1</v>
      </c>
      <c r="C663" s="5">
        <v>446250</v>
      </c>
    </row>
    <row r="664" spans="1:3" x14ac:dyDescent="0.25">
      <c r="A664" s="19" t="s">
        <v>2676</v>
      </c>
      <c r="B664">
        <v>1</v>
      </c>
      <c r="C664" s="5">
        <v>1701700</v>
      </c>
    </row>
    <row r="665" spans="1:3" x14ac:dyDescent="0.25">
      <c r="A665" s="18" t="s">
        <v>1978</v>
      </c>
      <c r="C665" s="5">
        <v>1416100</v>
      </c>
    </row>
    <row r="666" spans="1:3" x14ac:dyDescent="0.25">
      <c r="A666" s="19" t="s">
        <v>1975</v>
      </c>
      <c r="C666" s="5">
        <v>1416100</v>
      </c>
    </row>
    <row r="667" spans="1:3" x14ac:dyDescent="0.25">
      <c r="A667" s="18" t="s">
        <v>2729</v>
      </c>
      <c r="C667" s="5">
        <v>6019010</v>
      </c>
    </row>
    <row r="668" spans="1:3" x14ac:dyDescent="0.25">
      <c r="A668" s="19" t="s">
        <v>2726</v>
      </c>
      <c r="C668" s="5">
        <v>6019010</v>
      </c>
    </row>
    <row r="669" spans="1:3" x14ac:dyDescent="0.25">
      <c r="A669" s="18" t="s">
        <v>4106</v>
      </c>
      <c r="C669" s="5">
        <v>12741156.939999999</v>
      </c>
    </row>
    <row r="670" spans="1:3" x14ac:dyDescent="0.25">
      <c r="A670" s="19" t="s">
        <v>4103</v>
      </c>
      <c r="C670" s="5">
        <v>12741156.939999999</v>
      </c>
    </row>
    <row r="671" spans="1:3" x14ac:dyDescent="0.25">
      <c r="A671" s="18" t="s">
        <v>3079</v>
      </c>
      <c r="B671">
        <v>1</v>
      </c>
      <c r="C671" s="5">
        <v>27515061</v>
      </c>
    </row>
    <row r="672" spans="1:3" x14ac:dyDescent="0.25">
      <c r="A672" s="19" t="s">
        <v>3076</v>
      </c>
      <c r="B672">
        <v>1</v>
      </c>
      <c r="C672" s="5">
        <v>27515061</v>
      </c>
    </row>
    <row r="673" spans="1:3" x14ac:dyDescent="0.25">
      <c r="A673" s="18" t="s">
        <v>3087</v>
      </c>
      <c r="B673">
        <v>2</v>
      </c>
      <c r="C673" s="5">
        <v>13924478.52</v>
      </c>
    </row>
    <row r="674" spans="1:3" x14ac:dyDescent="0.25">
      <c r="A674" s="19" t="s">
        <v>3084</v>
      </c>
      <c r="B674">
        <v>1</v>
      </c>
      <c r="C674" s="5">
        <v>4889046.5199999996</v>
      </c>
    </row>
    <row r="675" spans="1:3" x14ac:dyDescent="0.25">
      <c r="A675" s="19" t="s">
        <v>3473</v>
      </c>
      <c r="B675">
        <v>1</v>
      </c>
      <c r="C675" s="5">
        <v>9035432</v>
      </c>
    </row>
    <row r="676" spans="1:3" x14ac:dyDescent="0.25">
      <c r="A676" s="18" t="s">
        <v>721</v>
      </c>
      <c r="B676">
        <v>1</v>
      </c>
      <c r="C676" s="5">
        <v>2703074.29</v>
      </c>
    </row>
    <row r="677" spans="1:3" x14ac:dyDescent="0.25">
      <c r="A677" s="19" t="s">
        <v>718</v>
      </c>
      <c r="B677">
        <v>1</v>
      </c>
      <c r="C677" s="5">
        <v>2703074.29</v>
      </c>
    </row>
    <row r="678" spans="1:3" x14ac:dyDescent="0.25">
      <c r="A678" s="18" t="s">
        <v>894</v>
      </c>
      <c r="B678">
        <v>1</v>
      </c>
      <c r="C678" s="5">
        <v>944709.5</v>
      </c>
    </row>
    <row r="679" spans="1:3" x14ac:dyDescent="0.25">
      <c r="A679" s="19" t="s">
        <v>891</v>
      </c>
      <c r="B679">
        <v>1</v>
      </c>
      <c r="C679" s="5">
        <v>944709.5</v>
      </c>
    </row>
    <row r="680" spans="1:3" x14ac:dyDescent="0.25">
      <c r="A680" s="18" t="s">
        <v>907</v>
      </c>
      <c r="C680" s="5">
        <v>5868022.5600000005</v>
      </c>
    </row>
    <row r="681" spans="1:3" x14ac:dyDescent="0.25">
      <c r="A681" s="19" t="s">
        <v>904</v>
      </c>
      <c r="C681" s="5">
        <v>1675520</v>
      </c>
    </row>
    <row r="682" spans="1:3" x14ac:dyDescent="0.25">
      <c r="A682" s="19" t="s">
        <v>997</v>
      </c>
      <c r="C682" s="5">
        <v>851445</v>
      </c>
    </row>
    <row r="683" spans="1:3" x14ac:dyDescent="0.25">
      <c r="A683" s="19" t="s">
        <v>1596</v>
      </c>
      <c r="C683" s="5">
        <v>1201900</v>
      </c>
    </row>
    <row r="684" spans="1:3" x14ac:dyDescent="0.25">
      <c r="A684" s="19" t="s">
        <v>3408</v>
      </c>
      <c r="C684" s="5">
        <v>1003897.56</v>
      </c>
    </row>
    <row r="685" spans="1:3" x14ac:dyDescent="0.25">
      <c r="A685" s="19" t="s">
        <v>4028</v>
      </c>
      <c r="C685" s="5">
        <v>1135260</v>
      </c>
    </row>
    <row r="686" spans="1:3" x14ac:dyDescent="0.25">
      <c r="A686" s="18" t="s">
        <v>160</v>
      </c>
      <c r="B686">
        <v>2</v>
      </c>
      <c r="C686" s="5">
        <v>4941739.18</v>
      </c>
    </row>
    <row r="687" spans="1:3" x14ac:dyDescent="0.25">
      <c r="A687" s="19" t="s">
        <v>157</v>
      </c>
      <c r="B687">
        <v>1</v>
      </c>
      <c r="C687" s="5">
        <v>1703104.2</v>
      </c>
    </row>
    <row r="688" spans="1:3" x14ac:dyDescent="0.25">
      <c r="A688" s="19" t="s">
        <v>3297</v>
      </c>
      <c r="B688">
        <v>1</v>
      </c>
      <c r="C688" s="5">
        <v>3238634.98</v>
      </c>
    </row>
    <row r="689" spans="1:3" x14ac:dyDescent="0.25">
      <c r="A689" s="18" t="s">
        <v>4132</v>
      </c>
      <c r="C689" s="5">
        <v>332010</v>
      </c>
    </row>
    <row r="690" spans="1:3" x14ac:dyDescent="0.25">
      <c r="A690" s="19" t="s">
        <v>4129</v>
      </c>
      <c r="C690" s="5">
        <v>332010</v>
      </c>
    </row>
    <row r="691" spans="1:3" x14ac:dyDescent="0.25">
      <c r="A691" s="18" t="s">
        <v>1526</v>
      </c>
      <c r="B691">
        <v>1</v>
      </c>
      <c r="C691" s="5">
        <v>142326.1</v>
      </c>
    </row>
    <row r="692" spans="1:3" x14ac:dyDescent="0.25">
      <c r="A692" s="19" t="s">
        <v>1523</v>
      </c>
      <c r="B692">
        <v>1</v>
      </c>
      <c r="C692" s="5">
        <v>142326.1</v>
      </c>
    </row>
    <row r="693" spans="1:3" x14ac:dyDescent="0.25">
      <c r="A693" s="18" t="s">
        <v>2225</v>
      </c>
      <c r="C693" s="5">
        <v>892500</v>
      </c>
    </row>
    <row r="694" spans="1:3" x14ac:dyDescent="0.25">
      <c r="A694" s="19" t="s">
        <v>2222</v>
      </c>
      <c r="C694" s="5">
        <v>892500</v>
      </c>
    </row>
    <row r="695" spans="1:3" x14ac:dyDescent="0.25">
      <c r="A695" s="18" t="s">
        <v>422</v>
      </c>
      <c r="B695">
        <v>2</v>
      </c>
      <c r="C695" s="5">
        <v>8638686</v>
      </c>
    </row>
    <row r="696" spans="1:3" x14ac:dyDescent="0.25">
      <c r="A696" s="19" t="s">
        <v>419</v>
      </c>
      <c r="B696">
        <v>1</v>
      </c>
      <c r="C696" s="5">
        <v>4319343</v>
      </c>
    </row>
    <row r="697" spans="1:3" x14ac:dyDescent="0.25">
      <c r="A697" s="19" t="s">
        <v>3532</v>
      </c>
      <c r="B697">
        <v>1</v>
      </c>
      <c r="C697" s="5">
        <v>4319343</v>
      </c>
    </row>
    <row r="698" spans="1:3" x14ac:dyDescent="0.25">
      <c r="A698" s="18" t="s">
        <v>1834</v>
      </c>
      <c r="B698">
        <v>1</v>
      </c>
      <c r="C698" s="5">
        <v>1085875</v>
      </c>
    </row>
    <row r="699" spans="1:3" x14ac:dyDescent="0.25">
      <c r="A699" s="19" t="s">
        <v>1831</v>
      </c>
      <c r="B699">
        <v>1</v>
      </c>
      <c r="C699" s="5">
        <v>1085875</v>
      </c>
    </row>
    <row r="700" spans="1:3" x14ac:dyDescent="0.25">
      <c r="A700" s="18" t="s">
        <v>4304</v>
      </c>
      <c r="B700">
        <v>1</v>
      </c>
      <c r="C700" s="5">
        <v>494373.6</v>
      </c>
    </row>
    <row r="701" spans="1:3" x14ac:dyDescent="0.25">
      <c r="A701" s="19" t="s">
        <v>4301</v>
      </c>
      <c r="B701">
        <v>1</v>
      </c>
      <c r="C701" s="5">
        <v>494373.6</v>
      </c>
    </row>
    <row r="702" spans="1:3" x14ac:dyDescent="0.25">
      <c r="A702" s="18" t="s">
        <v>469</v>
      </c>
      <c r="C702" s="5">
        <v>8748880</v>
      </c>
    </row>
    <row r="703" spans="1:3" x14ac:dyDescent="0.25">
      <c r="A703" s="19" t="s">
        <v>466</v>
      </c>
      <c r="C703" s="5">
        <v>809200</v>
      </c>
    </row>
    <row r="704" spans="1:3" x14ac:dyDescent="0.25">
      <c r="A704" s="19" t="s">
        <v>471</v>
      </c>
      <c r="C704" s="5">
        <v>5057500</v>
      </c>
    </row>
    <row r="705" spans="1:3" x14ac:dyDescent="0.25">
      <c r="A705" s="19" t="s">
        <v>474</v>
      </c>
      <c r="C705" s="5">
        <v>85680</v>
      </c>
    </row>
    <row r="706" spans="1:3" x14ac:dyDescent="0.25">
      <c r="A706" s="19" t="s">
        <v>477</v>
      </c>
      <c r="C706" s="5">
        <v>2796500</v>
      </c>
    </row>
    <row r="707" spans="1:3" x14ac:dyDescent="0.25">
      <c r="A707" s="18" t="s">
        <v>4176</v>
      </c>
      <c r="B707">
        <v>1</v>
      </c>
      <c r="C707" s="5">
        <v>13932000</v>
      </c>
    </row>
    <row r="708" spans="1:3" x14ac:dyDescent="0.25">
      <c r="A708" s="19" t="s">
        <v>4173</v>
      </c>
      <c r="B708">
        <v>1</v>
      </c>
      <c r="C708" s="5">
        <v>13932000</v>
      </c>
    </row>
    <row r="709" spans="1:3" x14ac:dyDescent="0.25">
      <c r="A709" s="18" t="s">
        <v>1737</v>
      </c>
      <c r="C709" s="5">
        <v>13447000</v>
      </c>
    </row>
    <row r="710" spans="1:3" x14ac:dyDescent="0.25">
      <c r="A710" s="19" t="s">
        <v>1734</v>
      </c>
      <c r="C710" s="5">
        <v>13447000</v>
      </c>
    </row>
    <row r="711" spans="1:3" x14ac:dyDescent="0.25">
      <c r="A711" s="18" t="s">
        <v>3446</v>
      </c>
      <c r="C711" s="5">
        <v>856800</v>
      </c>
    </row>
    <row r="712" spans="1:3" x14ac:dyDescent="0.25">
      <c r="A712" s="19" t="s">
        <v>3443</v>
      </c>
      <c r="C712" s="5">
        <v>856800</v>
      </c>
    </row>
    <row r="713" spans="1:3" x14ac:dyDescent="0.25">
      <c r="A713" s="18" t="s">
        <v>2346</v>
      </c>
      <c r="B713">
        <v>1</v>
      </c>
      <c r="C713" s="5">
        <v>2036692</v>
      </c>
    </row>
    <row r="714" spans="1:3" x14ac:dyDescent="0.25">
      <c r="A714" s="19" t="s">
        <v>2344</v>
      </c>
      <c r="B714">
        <v>1</v>
      </c>
      <c r="C714" s="5">
        <v>730898</v>
      </c>
    </row>
    <row r="715" spans="1:3" x14ac:dyDescent="0.25">
      <c r="A715" s="19" t="s">
        <v>3110</v>
      </c>
      <c r="C715" s="5">
        <v>1305794</v>
      </c>
    </row>
    <row r="716" spans="1:3" x14ac:dyDescent="0.25">
      <c r="A716" s="18" t="s">
        <v>671</v>
      </c>
      <c r="B716">
        <v>2</v>
      </c>
      <c r="C716" s="5">
        <v>990969</v>
      </c>
    </row>
    <row r="717" spans="1:3" x14ac:dyDescent="0.25">
      <c r="A717" s="19" t="s">
        <v>667</v>
      </c>
      <c r="B717">
        <v>1</v>
      </c>
      <c r="C717" s="5">
        <v>288869</v>
      </c>
    </row>
    <row r="718" spans="1:3" x14ac:dyDescent="0.25">
      <c r="A718" s="19" t="s">
        <v>3655</v>
      </c>
      <c r="B718">
        <v>1</v>
      </c>
      <c r="C718" s="5">
        <v>702100</v>
      </c>
    </row>
    <row r="719" spans="1:3" x14ac:dyDescent="0.25">
      <c r="A719" s="18" t="s">
        <v>1004</v>
      </c>
      <c r="C719" s="5">
        <v>486430</v>
      </c>
    </row>
    <row r="720" spans="1:3" x14ac:dyDescent="0.25">
      <c r="A720" s="19" t="s">
        <v>1000</v>
      </c>
      <c r="C720" s="5">
        <v>486430</v>
      </c>
    </row>
    <row r="721" spans="1:3" x14ac:dyDescent="0.25">
      <c r="A721" s="18" t="s">
        <v>363</v>
      </c>
      <c r="C721" s="5">
        <v>11708674.18</v>
      </c>
    </row>
    <row r="722" spans="1:3" x14ac:dyDescent="0.25">
      <c r="A722" s="19" t="s">
        <v>360</v>
      </c>
      <c r="C722" s="5">
        <v>11708674.18</v>
      </c>
    </row>
    <row r="723" spans="1:3" x14ac:dyDescent="0.25">
      <c r="A723" s="18" t="s">
        <v>3786</v>
      </c>
      <c r="C723" s="5">
        <v>206822</v>
      </c>
    </row>
    <row r="724" spans="1:3" x14ac:dyDescent="0.25">
      <c r="A724" s="19" t="s">
        <v>3783</v>
      </c>
      <c r="C724" s="5">
        <v>206822</v>
      </c>
    </row>
    <row r="725" spans="1:3" x14ac:dyDescent="0.25">
      <c r="A725" s="18" t="s">
        <v>1983</v>
      </c>
      <c r="B725">
        <v>1</v>
      </c>
      <c r="C725" s="5">
        <v>38298960</v>
      </c>
    </row>
    <row r="726" spans="1:3" x14ac:dyDescent="0.25">
      <c r="A726" s="19" t="s">
        <v>1980</v>
      </c>
      <c r="B726">
        <v>1</v>
      </c>
      <c r="C726" s="5">
        <v>38298960</v>
      </c>
    </row>
    <row r="727" spans="1:3" x14ac:dyDescent="0.25">
      <c r="A727" s="18" t="s">
        <v>704</v>
      </c>
      <c r="B727">
        <v>1</v>
      </c>
      <c r="C727" s="5">
        <v>486721.9</v>
      </c>
    </row>
    <row r="728" spans="1:3" x14ac:dyDescent="0.25">
      <c r="A728" s="19" t="s">
        <v>701</v>
      </c>
      <c r="B728">
        <v>1</v>
      </c>
      <c r="C728" s="5">
        <v>267750</v>
      </c>
    </row>
    <row r="729" spans="1:3" x14ac:dyDescent="0.25">
      <c r="A729" s="19" t="s">
        <v>4123</v>
      </c>
      <c r="C729" s="5">
        <v>218971.9</v>
      </c>
    </row>
    <row r="730" spans="1:3" x14ac:dyDescent="0.25">
      <c r="A730" s="18" t="s">
        <v>1915</v>
      </c>
      <c r="C730" s="5">
        <v>3534347.6</v>
      </c>
    </row>
    <row r="731" spans="1:3" x14ac:dyDescent="0.25">
      <c r="A731" s="19" t="s">
        <v>1913</v>
      </c>
      <c r="C731" s="5">
        <v>3534347.6</v>
      </c>
    </row>
    <row r="732" spans="1:3" x14ac:dyDescent="0.25">
      <c r="A732" s="18" t="s">
        <v>688</v>
      </c>
      <c r="B732">
        <v>3</v>
      </c>
      <c r="C732" s="5">
        <v>2565620</v>
      </c>
    </row>
    <row r="733" spans="1:3" x14ac:dyDescent="0.25">
      <c r="A733" s="19" t="s">
        <v>685</v>
      </c>
      <c r="B733">
        <v>1</v>
      </c>
      <c r="C733" s="5">
        <v>389130</v>
      </c>
    </row>
    <row r="734" spans="1:3" x14ac:dyDescent="0.25">
      <c r="A734" s="19" t="s">
        <v>744</v>
      </c>
      <c r="B734">
        <v>1</v>
      </c>
      <c r="C734" s="5">
        <v>1107176</v>
      </c>
    </row>
    <row r="735" spans="1:3" x14ac:dyDescent="0.25">
      <c r="A735" s="19" t="s">
        <v>2956</v>
      </c>
      <c r="B735">
        <v>1</v>
      </c>
      <c r="C735" s="5">
        <v>1069314</v>
      </c>
    </row>
    <row r="736" spans="1:3" x14ac:dyDescent="0.25">
      <c r="A736" s="18" t="s">
        <v>1243</v>
      </c>
      <c r="B736">
        <v>2</v>
      </c>
      <c r="C736" s="5">
        <v>7894950</v>
      </c>
    </row>
    <row r="737" spans="1:3" x14ac:dyDescent="0.25">
      <c r="A737" s="19" t="s">
        <v>1240</v>
      </c>
      <c r="B737">
        <v>1</v>
      </c>
      <c r="C737" s="5">
        <v>6764450</v>
      </c>
    </row>
    <row r="738" spans="1:3" x14ac:dyDescent="0.25">
      <c r="A738" s="19" t="s">
        <v>1245</v>
      </c>
      <c r="B738">
        <v>1</v>
      </c>
      <c r="C738" s="5">
        <v>1130500</v>
      </c>
    </row>
    <row r="739" spans="1:3" x14ac:dyDescent="0.25">
      <c r="A739" s="18" t="s">
        <v>3594</v>
      </c>
      <c r="B739">
        <v>1</v>
      </c>
      <c r="C739" s="5">
        <v>752080</v>
      </c>
    </row>
    <row r="740" spans="1:3" x14ac:dyDescent="0.25">
      <c r="A740" s="19" t="s">
        <v>3591</v>
      </c>
      <c r="B740">
        <v>1</v>
      </c>
      <c r="C740" s="5">
        <v>752080</v>
      </c>
    </row>
    <row r="741" spans="1:3" x14ac:dyDescent="0.25">
      <c r="A741" s="18" t="s">
        <v>768</v>
      </c>
      <c r="C741" s="5">
        <v>20848420</v>
      </c>
    </row>
    <row r="742" spans="1:3" x14ac:dyDescent="0.25">
      <c r="A742" s="19" t="s">
        <v>765</v>
      </c>
      <c r="C742" s="5">
        <v>5071920</v>
      </c>
    </row>
    <row r="743" spans="1:3" x14ac:dyDescent="0.25">
      <c r="A743" s="19" t="s">
        <v>909</v>
      </c>
      <c r="C743" s="5">
        <v>15676540</v>
      </c>
    </row>
    <row r="744" spans="1:3" x14ac:dyDescent="0.25">
      <c r="A744" s="19" t="s">
        <v>2658</v>
      </c>
      <c r="C744" s="5">
        <v>99960</v>
      </c>
    </row>
    <row r="745" spans="1:3" x14ac:dyDescent="0.25">
      <c r="A745" s="18" t="s">
        <v>343</v>
      </c>
      <c r="C745" s="5">
        <v>622112.36</v>
      </c>
    </row>
    <row r="746" spans="1:3" x14ac:dyDescent="0.25">
      <c r="A746" s="19" t="s">
        <v>340</v>
      </c>
      <c r="C746" s="5">
        <v>622112.36</v>
      </c>
    </row>
    <row r="747" spans="1:3" x14ac:dyDescent="0.25">
      <c r="A747" s="18" t="s">
        <v>2369</v>
      </c>
      <c r="B747">
        <v>1</v>
      </c>
      <c r="C747" s="5">
        <v>101150</v>
      </c>
    </row>
    <row r="748" spans="1:3" x14ac:dyDescent="0.25">
      <c r="A748" s="19" t="s">
        <v>2366</v>
      </c>
      <c r="B748">
        <v>1</v>
      </c>
      <c r="C748" s="5">
        <v>101150</v>
      </c>
    </row>
    <row r="749" spans="1:3" x14ac:dyDescent="0.25">
      <c r="A749" s="18" t="s">
        <v>3677</v>
      </c>
      <c r="C749" s="5">
        <v>1434370</v>
      </c>
    </row>
    <row r="750" spans="1:3" x14ac:dyDescent="0.25">
      <c r="A750" s="19" t="s">
        <v>3674</v>
      </c>
      <c r="C750" s="5">
        <v>601370</v>
      </c>
    </row>
    <row r="751" spans="1:3" x14ac:dyDescent="0.25">
      <c r="A751" s="19" t="s">
        <v>3797</v>
      </c>
      <c r="C751" s="5">
        <v>833000</v>
      </c>
    </row>
    <row r="752" spans="1:3" x14ac:dyDescent="0.25">
      <c r="A752" s="18" t="s">
        <v>616</v>
      </c>
      <c r="B752">
        <v>1</v>
      </c>
      <c r="C752" s="5">
        <v>410368.46</v>
      </c>
    </row>
    <row r="753" spans="1:3" x14ac:dyDescent="0.25">
      <c r="A753" s="19" t="s">
        <v>613</v>
      </c>
      <c r="B753">
        <v>1</v>
      </c>
      <c r="C753" s="5">
        <v>410368.46</v>
      </c>
    </row>
    <row r="754" spans="1:3" x14ac:dyDescent="0.25">
      <c r="A754" s="18" t="s">
        <v>206</v>
      </c>
      <c r="C754" s="5">
        <v>24880925.789999999</v>
      </c>
    </row>
    <row r="755" spans="1:3" x14ac:dyDescent="0.25">
      <c r="A755" s="19" t="s">
        <v>203</v>
      </c>
      <c r="C755" s="5">
        <v>5300400.42</v>
      </c>
    </row>
    <row r="756" spans="1:3" x14ac:dyDescent="0.25">
      <c r="A756" s="19" t="s">
        <v>972</v>
      </c>
      <c r="C756" s="5">
        <v>5389212.5</v>
      </c>
    </row>
    <row r="757" spans="1:3" x14ac:dyDescent="0.25">
      <c r="A757" s="19" t="s">
        <v>3467</v>
      </c>
      <c r="C757" s="5">
        <v>952000</v>
      </c>
    </row>
    <row r="758" spans="1:3" x14ac:dyDescent="0.25">
      <c r="A758" s="19" t="s">
        <v>3644</v>
      </c>
      <c r="C758" s="5">
        <v>4489275</v>
      </c>
    </row>
    <row r="759" spans="1:3" x14ac:dyDescent="0.25">
      <c r="A759" s="19" t="s">
        <v>3647</v>
      </c>
      <c r="C759" s="5">
        <v>8750037.8699999992</v>
      </c>
    </row>
    <row r="760" spans="1:3" x14ac:dyDescent="0.25">
      <c r="A760" s="18" t="s">
        <v>427</v>
      </c>
      <c r="C760" s="5">
        <v>7045080</v>
      </c>
    </row>
    <row r="761" spans="1:3" x14ac:dyDescent="0.25">
      <c r="A761" s="19" t="s">
        <v>424</v>
      </c>
      <c r="C761" s="5">
        <v>7045080</v>
      </c>
    </row>
    <row r="762" spans="1:3" x14ac:dyDescent="0.25">
      <c r="A762" s="18" t="s">
        <v>1374</v>
      </c>
      <c r="B762">
        <v>3</v>
      </c>
      <c r="C762" s="5">
        <v>8216399.0299999993</v>
      </c>
    </row>
    <row r="763" spans="1:3" x14ac:dyDescent="0.25">
      <c r="A763" s="19" t="s">
        <v>1371</v>
      </c>
      <c r="B763">
        <v>1</v>
      </c>
      <c r="C763" s="5">
        <v>3563773.92</v>
      </c>
    </row>
    <row r="764" spans="1:3" x14ac:dyDescent="0.25">
      <c r="A764" s="19" t="s">
        <v>2412</v>
      </c>
      <c r="B764">
        <v>1</v>
      </c>
      <c r="C764" s="5">
        <v>1883175</v>
      </c>
    </row>
    <row r="765" spans="1:3" x14ac:dyDescent="0.25">
      <c r="A765" s="19" t="s">
        <v>3691</v>
      </c>
      <c r="B765">
        <v>1</v>
      </c>
      <c r="C765" s="5">
        <v>2769450.11</v>
      </c>
    </row>
    <row r="766" spans="1:3" x14ac:dyDescent="0.25">
      <c r="A766" s="18" t="s">
        <v>2591</v>
      </c>
      <c r="B766">
        <v>5</v>
      </c>
      <c r="C766" s="5">
        <v>3942827</v>
      </c>
    </row>
    <row r="767" spans="1:3" x14ac:dyDescent="0.25">
      <c r="A767" s="19" t="s">
        <v>2588</v>
      </c>
      <c r="B767">
        <v>1</v>
      </c>
      <c r="C767" s="5">
        <v>279650</v>
      </c>
    </row>
    <row r="768" spans="1:3" x14ac:dyDescent="0.25">
      <c r="A768" s="19" t="s">
        <v>3368</v>
      </c>
      <c r="B768">
        <v>1</v>
      </c>
      <c r="C768" s="5">
        <v>2313360</v>
      </c>
    </row>
    <row r="769" spans="1:3" x14ac:dyDescent="0.25">
      <c r="A769" s="19" t="s">
        <v>3422</v>
      </c>
      <c r="B769">
        <v>1</v>
      </c>
      <c r="C769" s="5">
        <v>250257</v>
      </c>
    </row>
    <row r="770" spans="1:3" x14ac:dyDescent="0.25">
      <c r="A770" s="19" t="s">
        <v>3767</v>
      </c>
      <c r="B770">
        <v>1</v>
      </c>
      <c r="C770" s="5">
        <v>385560</v>
      </c>
    </row>
    <row r="771" spans="1:3" x14ac:dyDescent="0.25">
      <c r="A771" s="19" t="s">
        <v>3816</v>
      </c>
      <c r="B771">
        <v>1</v>
      </c>
      <c r="C771" s="5">
        <v>714000</v>
      </c>
    </row>
    <row r="772" spans="1:3" x14ac:dyDescent="0.25">
      <c r="A772" s="18" t="s">
        <v>506</v>
      </c>
      <c r="C772" s="5">
        <v>4849420</v>
      </c>
    </row>
    <row r="773" spans="1:3" x14ac:dyDescent="0.25">
      <c r="A773" s="19" t="s">
        <v>503</v>
      </c>
      <c r="C773" s="5">
        <v>409360</v>
      </c>
    </row>
    <row r="774" spans="1:3" x14ac:dyDescent="0.25">
      <c r="A774" s="19" t="s">
        <v>2607</v>
      </c>
      <c r="C774" s="5">
        <v>4440060</v>
      </c>
    </row>
    <row r="775" spans="1:3" x14ac:dyDescent="0.25">
      <c r="A775" s="18" t="s">
        <v>3055</v>
      </c>
      <c r="C775" s="5">
        <v>4678485</v>
      </c>
    </row>
    <row r="776" spans="1:3" x14ac:dyDescent="0.25">
      <c r="A776" s="19" t="s">
        <v>3053</v>
      </c>
      <c r="C776" s="5">
        <v>4536875</v>
      </c>
    </row>
    <row r="777" spans="1:3" x14ac:dyDescent="0.25">
      <c r="A777" s="19" t="s">
        <v>3663</v>
      </c>
      <c r="C777" s="5">
        <v>141610</v>
      </c>
    </row>
    <row r="778" spans="1:3" x14ac:dyDescent="0.25">
      <c r="A778" s="18" t="s">
        <v>3352</v>
      </c>
      <c r="C778" s="5">
        <v>33793620</v>
      </c>
    </row>
    <row r="779" spans="1:3" x14ac:dyDescent="0.25">
      <c r="A779" s="19" t="s">
        <v>3349</v>
      </c>
      <c r="C779" s="5">
        <v>2156280</v>
      </c>
    </row>
    <row r="780" spans="1:3" x14ac:dyDescent="0.25">
      <c r="A780" s="19" t="s">
        <v>3354</v>
      </c>
      <c r="C780" s="5">
        <v>1120980</v>
      </c>
    </row>
    <row r="781" spans="1:3" x14ac:dyDescent="0.25">
      <c r="A781" s="19" t="s">
        <v>3357</v>
      </c>
      <c r="C781" s="5">
        <v>9639000</v>
      </c>
    </row>
    <row r="782" spans="1:3" x14ac:dyDescent="0.25">
      <c r="A782" s="19" t="s">
        <v>3625</v>
      </c>
      <c r="C782" s="5">
        <v>724710</v>
      </c>
    </row>
    <row r="783" spans="1:3" x14ac:dyDescent="0.25">
      <c r="A783" s="19" t="s">
        <v>3694</v>
      </c>
      <c r="C783" s="5">
        <v>2786980</v>
      </c>
    </row>
    <row r="784" spans="1:3" x14ac:dyDescent="0.25">
      <c r="A784" s="19" t="s">
        <v>3937</v>
      </c>
      <c r="C784" s="5">
        <v>17365670</v>
      </c>
    </row>
    <row r="785" spans="1:3" x14ac:dyDescent="0.25">
      <c r="A785" s="18" t="s">
        <v>653</v>
      </c>
      <c r="B785">
        <v>10</v>
      </c>
      <c r="C785" s="5">
        <v>20337100</v>
      </c>
    </row>
    <row r="786" spans="1:3" x14ac:dyDescent="0.25">
      <c r="A786" s="19" t="s">
        <v>650</v>
      </c>
      <c r="C786" s="5">
        <v>892500</v>
      </c>
    </row>
    <row r="787" spans="1:3" x14ac:dyDescent="0.25">
      <c r="A787" s="19" t="s">
        <v>978</v>
      </c>
      <c r="B787">
        <v>1</v>
      </c>
      <c r="C787" s="5">
        <v>975800</v>
      </c>
    </row>
    <row r="788" spans="1:3" x14ac:dyDescent="0.25">
      <c r="A788" s="19" t="s">
        <v>1504</v>
      </c>
      <c r="B788">
        <v>1</v>
      </c>
      <c r="C788" s="5">
        <v>9543800</v>
      </c>
    </row>
    <row r="789" spans="1:3" x14ac:dyDescent="0.25">
      <c r="A789" s="19" t="s">
        <v>2371</v>
      </c>
      <c r="B789">
        <v>1</v>
      </c>
      <c r="C789" s="5">
        <v>440300</v>
      </c>
    </row>
    <row r="790" spans="1:3" x14ac:dyDescent="0.25">
      <c r="A790" s="19" t="s">
        <v>2613</v>
      </c>
      <c r="B790">
        <v>1</v>
      </c>
      <c r="C790" s="5">
        <v>309400</v>
      </c>
    </row>
    <row r="791" spans="1:3" x14ac:dyDescent="0.25">
      <c r="A791" s="19" t="s">
        <v>3040</v>
      </c>
      <c r="B791">
        <v>1</v>
      </c>
      <c r="C791" s="5">
        <v>595000</v>
      </c>
    </row>
    <row r="792" spans="1:3" x14ac:dyDescent="0.25">
      <c r="A792" s="19" t="s">
        <v>3119</v>
      </c>
      <c r="B792">
        <v>1</v>
      </c>
      <c r="C792" s="5">
        <v>1541050</v>
      </c>
    </row>
    <row r="793" spans="1:3" x14ac:dyDescent="0.25">
      <c r="A793" s="19" t="s">
        <v>4100</v>
      </c>
      <c r="B793">
        <v>1</v>
      </c>
      <c r="C793" s="5">
        <v>773500</v>
      </c>
    </row>
    <row r="794" spans="1:3" x14ac:dyDescent="0.25">
      <c r="A794" s="19" t="s">
        <v>4134</v>
      </c>
      <c r="B794">
        <v>1</v>
      </c>
      <c r="C794" s="5">
        <v>374850</v>
      </c>
    </row>
    <row r="795" spans="1:3" x14ac:dyDescent="0.25">
      <c r="A795" s="19" t="s">
        <v>4137</v>
      </c>
      <c r="B795">
        <v>1</v>
      </c>
      <c r="C795" s="5">
        <v>57120</v>
      </c>
    </row>
    <row r="796" spans="1:3" x14ac:dyDescent="0.25">
      <c r="A796" s="19" t="s">
        <v>4156</v>
      </c>
      <c r="B796">
        <v>1</v>
      </c>
      <c r="C796" s="5">
        <v>4833780</v>
      </c>
    </row>
    <row r="797" spans="1:3" x14ac:dyDescent="0.25">
      <c r="A797" s="18" t="s">
        <v>2596</v>
      </c>
      <c r="B797">
        <v>3</v>
      </c>
      <c r="C797" s="5">
        <v>1956241</v>
      </c>
    </row>
    <row r="798" spans="1:3" x14ac:dyDescent="0.25">
      <c r="A798" s="19" t="s">
        <v>2593</v>
      </c>
      <c r="B798">
        <v>1</v>
      </c>
      <c r="C798" s="5">
        <v>1040060</v>
      </c>
    </row>
    <row r="799" spans="1:3" x14ac:dyDescent="0.25">
      <c r="A799" s="19" t="s">
        <v>3377</v>
      </c>
      <c r="B799">
        <v>1</v>
      </c>
      <c r="C799" s="5">
        <v>103411</v>
      </c>
    </row>
    <row r="800" spans="1:3" x14ac:dyDescent="0.25">
      <c r="A800" s="19" t="s">
        <v>3758</v>
      </c>
      <c r="C800" s="5">
        <v>749700</v>
      </c>
    </row>
    <row r="801" spans="1:3" x14ac:dyDescent="0.25">
      <c r="A801" s="19" t="s">
        <v>3761</v>
      </c>
      <c r="B801">
        <v>1</v>
      </c>
      <c r="C801" s="5">
        <v>63070</v>
      </c>
    </row>
    <row r="802" spans="1:3" x14ac:dyDescent="0.25">
      <c r="A802" s="18" t="s">
        <v>1460</v>
      </c>
      <c r="B802">
        <v>1</v>
      </c>
      <c r="C802" s="5">
        <v>1340414.81</v>
      </c>
    </row>
    <row r="803" spans="1:3" x14ac:dyDescent="0.25">
      <c r="A803" s="19" t="s">
        <v>1457</v>
      </c>
      <c r="B803">
        <v>1</v>
      </c>
      <c r="C803" s="5">
        <v>1340414.81</v>
      </c>
    </row>
    <row r="804" spans="1:3" x14ac:dyDescent="0.25">
      <c r="A804" s="18" t="s">
        <v>4238</v>
      </c>
      <c r="B804">
        <v>1</v>
      </c>
      <c r="C804" s="5">
        <v>2350000</v>
      </c>
    </row>
    <row r="805" spans="1:3" x14ac:dyDescent="0.25">
      <c r="A805" s="19" t="s">
        <v>4235</v>
      </c>
      <c r="B805">
        <v>1</v>
      </c>
      <c r="C805" s="5">
        <v>2350000</v>
      </c>
    </row>
    <row r="806" spans="1:3" x14ac:dyDescent="0.25">
      <c r="A806" s="18" t="s">
        <v>3707</v>
      </c>
      <c r="B806">
        <v>1</v>
      </c>
      <c r="C806" s="5">
        <v>7479150</v>
      </c>
    </row>
    <row r="807" spans="1:3" x14ac:dyDescent="0.25">
      <c r="A807" s="19" t="s">
        <v>3704</v>
      </c>
      <c r="B807">
        <v>1</v>
      </c>
      <c r="C807" s="5">
        <v>7479150</v>
      </c>
    </row>
    <row r="808" spans="1:3" x14ac:dyDescent="0.25">
      <c r="A808" s="18" t="s">
        <v>1658</v>
      </c>
      <c r="B808">
        <v>3</v>
      </c>
      <c r="C808" s="5">
        <v>9145031</v>
      </c>
    </row>
    <row r="809" spans="1:3" x14ac:dyDescent="0.25">
      <c r="A809" s="19" t="s">
        <v>1655</v>
      </c>
      <c r="B809">
        <v>1</v>
      </c>
      <c r="C809" s="5">
        <v>203371</v>
      </c>
    </row>
    <row r="810" spans="1:3" x14ac:dyDescent="0.25">
      <c r="A810" s="19" t="s">
        <v>2821</v>
      </c>
      <c r="B810">
        <v>1</v>
      </c>
      <c r="C810" s="5">
        <v>7968240</v>
      </c>
    </row>
    <row r="811" spans="1:3" x14ac:dyDescent="0.25">
      <c r="A811" s="19" t="s">
        <v>2959</v>
      </c>
      <c r="B811">
        <v>1</v>
      </c>
      <c r="C811" s="5">
        <v>973420</v>
      </c>
    </row>
    <row r="812" spans="1:3" x14ac:dyDescent="0.25">
      <c r="A812" s="18" t="s">
        <v>580</v>
      </c>
      <c r="C812" s="5">
        <v>777070</v>
      </c>
    </row>
    <row r="813" spans="1:3" x14ac:dyDescent="0.25">
      <c r="A813" s="19" t="s">
        <v>577</v>
      </c>
      <c r="C813" s="5">
        <v>493850</v>
      </c>
    </row>
    <row r="814" spans="1:3" x14ac:dyDescent="0.25">
      <c r="A814" s="19" t="s">
        <v>582</v>
      </c>
      <c r="C814" s="5">
        <v>283220</v>
      </c>
    </row>
    <row r="815" spans="1:3" x14ac:dyDescent="0.25">
      <c r="A815" s="18" t="s">
        <v>2291</v>
      </c>
      <c r="B815">
        <v>1</v>
      </c>
      <c r="C815" s="5">
        <v>174930</v>
      </c>
    </row>
    <row r="816" spans="1:3" x14ac:dyDescent="0.25">
      <c r="A816" s="19" t="s">
        <v>2288</v>
      </c>
      <c r="B816">
        <v>1</v>
      </c>
      <c r="C816" s="5">
        <v>174930</v>
      </c>
    </row>
    <row r="817" spans="1:3" x14ac:dyDescent="0.25">
      <c r="A817" s="18" t="s">
        <v>989</v>
      </c>
      <c r="B817">
        <v>1</v>
      </c>
      <c r="C817" s="5">
        <v>6598380.2999999998</v>
      </c>
    </row>
    <row r="818" spans="1:3" x14ac:dyDescent="0.25">
      <c r="A818" s="19" t="s">
        <v>986</v>
      </c>
      <c r="B818">
        <v>1</v>
      </c>
      <c r="C818" s="5">
        <v>2730170.6</v>
      </c>
    </row>
    <row r="819" spans="1:3" x14ac:dyDescent="0.25">
      <c r="A819" s="19" t="s">
        <v>1539</v>
      </c>
      <c r="C819" s="5">
        <v>1643985</v>
      </c>
    </row>
    <row r="820" spans="1:3" x14ac:dyDescent="0.25">
      <c r="A820" s="19" t="s">
        <v>1577</v>
      </c>
      <c r="C820" s="5">
        <v>794325</v>
      </c>
    </row>
    <row r="821" spans="1:3" x14ac:dyDescent="0.25">
      <c r="A821" s="19" t="s">
        <v>1580</v>
      </c>
      <c r="C821" s="5">
        <v>518738.4</v>
      </c>
    </row>
    <row r="822" spans="1:3" x14ac:dyDescent="0.25">
      <c r="A822" s="19" t="s">
        <v>1726</v>
      </c>
      <c r="C822" s="5">
        <v>545781.6</v>
      </c>
    </row>
    <row r="823" spans="1:3" x14ac:dyDescent="0.25">
      <c r="A823" s="19" t="s">
        <v>1959</v>
      </c>
      <c r="C823" s="5">
        <v>365379.7</v>
      </c>
    </row>
    <row r="824" spans="1:3" x14ac:dyDescent="0.25">
      <c r="A824" s="18" t="s">
        <v>432</v>
      </c>
      <c r="B824">
        <v>1</v>
      </c>
      <c r="C824" s="5">
        <v>1547000</v>
      </c>
    </row>
    <row r="825" spans="1:3" x14ac:dyDescent="0.25">
      <c r="A825" s="19" t="s">
        <v>429</v>
      </c>
      <c r="B825">
        <v>1</v>
      </c>
      <c r="C825" s="5">
        <v>1547000</v>
      </c>
    </row>
    <row r="826" spans="1:3" x14ac:dyDescent="0.25">
      <c r="A826" s="18" t="s">
        <v>1075</v>
      </c>
      <c r="C826" s="5">
        <v>4972293.7300000004</v>
      </c>
    </row>
    <row r="827" spans="1:3" x14ac:dyDescent="0.25">
      <c r="A827" s="19" t="s">
        <v>1072</v>
      </c>
      <c r="C827" s="5">
        <v>1943545</v>
      </c>
    </row>
    <row r="828" spans="1:3" x14ac:dyDescent="0.25">
      <c r="A828" s="19" t="s">
        <v>2456</v>
      </c>
      <c r="C828" s="5">
        <v>2131021.06</v>
      </c>
    </row>
    <row r="829" spans="1:3" x14ac:dyDescent="0.25">
      <c r="A829" s="19" t="s">
        <v>3641</v>
      </c>
      <c r="C829" s="5">
        <v>897727.67</v>
      </c>
    </row>
    <row r="830" spans="1:3" x14ac:dyDescent="0.25">
      <c r="A830" s="18" t="s">
        <v>2664</v>
      </c>
      <c r="C830" s="5">
        <v>5724425</v>
      </c>
    </row>
    <row r="831" spans="1:3" x14ac:dyDescent="0.25">
      <c r="A831" s="19" t="s">
        <v>2661</v>
      </c>
      <c r="C831" s="5">
        <v>3980550</v>
      </c>
    </row>
    <row r="832" spans="1:3" x14ac:dyDescent="0.25">
      <c r="A832" s="19" t="s">
        <v>4213</v>
      </c>
      <c r="C832" s="5">
        <v>1743875</v>
      </c>
    </row>
    <row r="833" spans="1:3" x14ac:dyDescent="0.25">
      <c r="A833" s="18" t="s">
        <v>3139</v>
      </c>
      <c r="C833" s="5">
        <v>2913720.5</v>
      </c>
    </row>
    <row r="834" spans="1:3" x14ac:dyDescent="0.25">
      <c r="A834" s="19" t="s">
        <v>3136</v>
      </c>
      <c r="C834" s="5">
        <v>2512036</v>
      </c>
    </row>
    <row r="835" spans="1:3" x14ac:dyDescent="0.25">
      <c r="A835" s="19" t="s">
        <v>3491</v>
      </c>
      <c r="C835" s="5">
        <v>401684.5</v>
      </c>
    </row>
    <row r="836" spans="1:3" x14ac:dyDescent="0.25">
      <c r="A836" s="18" t="s">
        <v>2563</v>
      </c>
      <c r="B836">
        <v>2</v>
      </c>
      <c r="C836" s="5">
        <v>16220500</v>
      </c>
    </row>
    <row r="837" spans="1:3" x14ac:dyDescent="0.25">
      <c r="A837" s="19" t="s">
        <v>2560</v>
      </c>
      <c r="B837">
        <v>1</v>
      </c>
      <c r="C837" s="5">
        <v>9460500</v>
      </c>
    </row>
    <row r="838" spans="1:3" x14ac:dyDescent="0.25">
      <c r="A838" s="19" t="s">
        <v>2950</v>
      </c>
      <c r="B838">
        <v>1</v>
      </c>
      <c r="C838" s="5">
        <v>6760000</v>
      </c>
    </row>
    <row r="839" spans="1:3" x14ac:dyDescent="0.25">
      <c r="A839" s="18" t="s">
        <v>1866</v>
      </c>
      <c r="B839">
        <v>1</v>
      </c>
      <c r="C839" s="5">
        <v>17017000</v>
      </c>
    </row>
    <row r="840" spans="1:3" x14ac:dyDescent="0.25">
      <c r="A840" s="19" t="s">
        <v>1862</v>
      </c>
      <c r="B840">
        <v>1</v>
      </c>
      <c r="C840" s="5">
        <v>17017000</v>
      </c>
    </row>
    <row r="841" spans="1:3" x14ac:dyDescent="0.25">
      <c r="A841" s="18" t="s">
        <v>2706</v>
      </c>
      <c r="B841">
        <v>1</v>
      </c>
      <c r="C841" s="5">
        <v>4722515</v>
      </c>
    </row>
    <row r="842" spans="1:3" x14ac:dyDescent="0.25">
      <c r="A842" s="19" t="s">
        <v>2703</v>
      </c>
      <c r="B842">
        <v>1</v>
      </c>
      <c r="C842" s="5">
        <v>4722515</v>
      </c>
    </row>
    <row r="843" spans="1:3" x14ac:dyDescent="0.25">
      <c r="A843" s="18" t="s">
        <v>1555</v>
      </c>
      <c r="B843">
        <v>1</v>
      </c>
      <c r="C843" s="5">
        <v>4165000</v>
      </c>
    </row>
    <row r="844" spans="1:3" x14ac:dyDescent="0.25">
      <c r="A844" s="19" t="s">
        <v>1552</v>
      </c>
      <c r="B844">
        <v>1</v>
      </c>
      <c r="C844" s="5">
        <v>4165000</v>
      </c>
    </row>
    <row r="845" spans="1:3" x14ac:dyDescent="0.25">
      <c r="A845" s="18" t="s">
        <v>1311</v>
      </c>
      <c r="B845">
        <v>4</v>
      </c>
      <c r="C845" s="5">
        <v>2482407.83</v>
      </c>
    </row>
    <row r="846" spans="1:3" x14ac:dyDescent="0.25">
      <c r="A846" s="19" t="s">
        <v>1308</v>
      </c>
      <c r="B846">
        <v>1</v>
      </c>
      <c r="C846" s="5">
        <v>1519541.94</v>
      </c>
    </row>
    <row r="847" spans="1:3" x14ac:dyDescent="0.25">
      <c r="A847" s="19" t="s">
        <v>1583</v>
      </c>
      <c r="B847">
        <v>1</v>
      </c>
      <c r="C847" s="5">
        <v>123928.98</v>
      </c>
    </row>
    <row r="848" spans="1:3" x14ac:dyDescent="0.25">
      <c r="A848" s="19" t="s">
        <v>2015</v>
      </c>
      <c r="B848">
        <v>1</v>
      </c>
      <c r="C848" s="5">
        <v>82939.429999999993</v>
      </c>
    </row>
    <row r="849" spans="1:3" x14ac:dyDescent="0.25">
      <c r="A849" s="19" t="s">
        <v>2074</v>
      </c>
      <c r="B849">
        <v>1</v>
      </c>
      <c r="C849" s="5">
        <v>755997.48</v>
      </c>
    </row>
    <row r="850" spans="1:3" x14ac:dyDescent="0.25">
      <c r="A850" s="18" t="s">
        <v>404</v>
      </c>
      <c r="B850">
        <v>2</v>
      </c>
      <c r="C850" s="5">
        <v>2549400</v>
      </c>
    </row>
    <row r="851" spans="1:3" x14ac:dyDescent="0.25">
      <c r="A851" s="19" t="s">
        <v>401</v>
      </c>
      <c r="B851">
        <v>1</v>
      </c>
      <c r="C851" s="5">
        <v>2094400</v>
      </c>
    </row>
    <row r="852" spans="1:3" x14ac:dyDescent="0.25">
      <c r="A852" s="19" t="s">
        <v>2535</v>
      </c>
      <c r="B852">
        <v>1</v>
      </c>
      <c r="C852" s="5">
        <v>455000</v>
      </c>
    </row>
    <row r="853" spans="1:3" x14ac:dyDescent="0.25">
      <c r="A853" s="18" t="s">
        <v>40</v>
      </c>
      <c r="C853" s="5">
        <v>2271479.14</v>
      </c>
    </row>
    <row r="854" spans="1:3" x14ac:dyDescent="0.25">
      <c r="A854" s="19" t="s">
        <v>33</v>
      </c>
      <c r="C854" s="5">
        <v>2271479.14</v>
      </c>
    </row>
    <row r="855" spans="1:3" x14ac:dyDescent="0.25">
      <c r="A855" s="18" t="s">
        <v>48</v>
      </c>
      <c r="C855" s="5">
        <v>19962970</v>
      </c>
    </row>
    <row r="856" spans="1:3" x14ac:dyDescent="0.25">
      <c r="A856" s="19" t="s">
        <v>45</v>
      </c>
      <c r="C856" s="5">
        <v>19962970</v>
      </c>
    </row>
    <row r="857" spans="1:3" x14ac:dyDescent="0.25">
      <c r="A857" s="18" t="s">
        <v>107</v>
      </c>
      <c r="C857" s="5">
        <v>2387145.9499999997</v>
      </c>
    </row>
    <row r="858" spans="1:3" x14ac:dyDescent="0.25">
      <c r="A858" s="19" t="s">
        <v>104</v>
      </c>
      <c r="C858" s="5">
        <v>2337439.65</v>
      </c>
    </row>
    <row r="859" spans="1:3" x14ac:dyDescent="0.25">
      <c r="A859" s="19" t="s">
        <v>1287</v>
      </c>
      <c r="C859" s="5">
        <v>49706.3</v>
      </c>
    </row>
    <row r="860" spans="1:3" x14ac:dyDescent="0.25">
      <c r="A860" s="18" t="s">
        <v>118</v>
      </c>
      <c r="C860" s="5">
        <v>224000.84</v>
      </c>
    </row>
    <row r="861" spans="1:3" x14ac:dyDescent="0.25">
      <c r="A861" s="19" t="s">
        <v>115</v>
      </c>
      <c r="C861" s="5">
        <v>224000.84</v>
      </c>
    </row>
    <row r="862" spans="1:3" x14ac:dyDescent="0.25">
      <c r="A862" s="18" t="s">
        <v>123</v>
      </c>
      <c r="C862" s="5">
        <v>2337439.65</v>
      </c>
    </row>
    <row r="863" spans="1:3" x14ac:dyDescent="0.25">
      <c r="A863" s="19" t="s">
        <v>120</v>
      </c>
      <c r="C863" s="5">
        <v>2337439.65</v>
      </c>
    </row>
    <row r="864" spans="1:3" x14ac:dyDescent="0.25">
      <c r="A864" s="18" t="s">
        <v>128</v>
      </c>
      <c r="B864">
        <v>1</v>
      </c>
      <c r="C864" s="5">
        <v>4197080.16</v>
      </c>
    </row>
    <row r="865" spans="1:3" x14ac:dyDescent="0.25">
      <c r="A865" s="19" t="s">
        <v>125</v>
      </c>
      <c r="B865">
        <v>1</v>
      </c>
      <c r="C865" s="5">
        <v>4197080.16</v>
      </c>
    </row>
    <row r="866" spans="1:3" x14ac:dyDescent="0.25">
      <c r="A866" s="18" t="s">
        <v>134</v>
      </c>
      <c r="C866" s="5">
        <v>361908.75</v>
      </c>
    </row>
    <row r="867" spans="1:3" x14ac:dyDescent="0.25">
      <c r="A867" s="19" t="s">
        <v>131</v>
      </c>
      <c r="C867" s="5">
        <v>361908.75</v>
      </c>
    </row>
    <row r="868" spans="1:3" x14ac:dyDescent="0.25">
      <c r="A868" s="18" t="s">
        <v>139</v>
      </c>
      <c r="B868">
        <v>3</v>
      </c>
      <c r="C868" s="5">
        <v>9675849.5399999991</v>
      </c>
    </row>
    <row r="869" spans="1:3" x14ac:dyDescent="0.25">
      <c r="A869" s="19" t="s">
        <v>136</v>
      </c>
      <c r="B869">
        <v>1</v>
      </c>
      <c r="C869" s="5">
        <v>326090.94</v>
      </c>
    </row>
    <row r="870" spans="1:3" x14ac:dyDescent="0.25">
      <c r="A870" s="19" t="s">
        <v>837</v>
      </c>
      <c r="B870">
        <v>1</v>
      </c>
      <c r="C870" s="5">
        <v>2337439.65</v>
      </c>
    </row>
    <row r="871" spans="1:3" x14ac:dyDescent="0.25">
      <c r="A871" s="19" t="s">
        <v>1712</v>
      </c>
      <c r="B871">
        <v>1</v>
      </c>
      <c r="C871" s="5">
        <v>2337439.65</v>
      </c>
    </row>
    <row r="872" spans="1:3" x14ac:dyDescent="0.25">
      <c r="A872" s="19" t="s">
        <v>3924</v>
      </c>
      <c r="C872" s="5">
        <v>4674879.3</v>
      </c>
    </row>
    <row r="873" spans="1:3" x14ac:dyDescent="0.25">
      <c r="A873" s="18" t="s">
        <v>152</v>
      </c>
      <c r="B873">
        <v>1</v>
      </c>
      <c r="C873" s="5">
        <v>2923092.2</v>
      </c>
    </row>
    <row r="874" spans="1:3" x14ac:dyDescent="0.25">
      <c r="A874" s="19" t="s">
        <v>149</v>
      </c>
      <c r="C874" s="5">
        <v>2142000</v>
      </c>
    </row>
    <row r="875" spans="1:3" x14ac:dyDescent="0.25">
      <c r="A875" s="19" t="s">
        <v>154</v>
      </c>
      <c r="C875" s="5">
        <v>602592.19999999995</v>
      </c>
    </row>
    <row r="876" spans="1:3" x14ac:dyDescent="0.25">
      <c r="A876" s="19" t="s">
        <v>1717</v>
      </c>
      <c r="B876">
        <v>1</v>
      </c>
      <c r="C876" s="5">
        <v>178500</v>
      </c>
    </row>
    <row r="877" spans="1:3" x14ac:dyDescent="0.25">
      <c r="A877" s="18" t="s">
        <v>166</v>
      </c>
      <c r="B877">
        <v>1</v>
      </c>
      <c r="C877" s="5">
        <v>273711.90000000002</v>
      </c>
    </row>
    <row r="878" spans="1:3" x14ac:dyDescent="0.25">
      <c r="A878" s="19" t="s">
        <v>163</v>
      </c>
      <c r="B878">
        <v>1</v>
      </c>
      <c r="C878" s="5">
        <v>273711.90000000002</v>
      </c>
    </row>
    <row r="879" spans="1:3" x14ac:dyDescent="0.25">
      <c r="A879" s="18" t="s">
        <v>178</v>
      </c>
      <c r="B879">
        <v>1</v>
      </c>
      <c r="C879" s="5">
        <v>4105108</v>
      </c>
    </row>
    <row r="880" spans="1:3" x14ac:dyDescent="0.25">
      <c r="A880" s="19" t="s">
        <v>175</v>
      </c>
      <c r="B880">
        <v>1</v>
      </c>
      <c r="C880" s="5">
        <v>4105108</v>
      </c>
    </row>
    <row r="881" spans="1:3" x14ac:dyDescent="0.25">
      <c r="A881" s="18" t="s">
        <v>194</v>
      </c>
      <c r="B881">
        <v>2</v>
      </c>
      <c r="C881" s="5">
        <v>436968</v>
      </c>
    </row>
    <row r="882" spans="1:3" x14ac:dyDescent="0.25">
      <c r="A882" s="19" t="s">
        <v>901</v>
      </c>
      <c r="B882">
        <v>1</v>
      </c>
      <c r="C882" s="5">
        <v>103768</v>
      </c>
    </row>
    <row r="883" spans="1:3" x14ac:dyDescent="0.25">
      <c r="A883" s="19">
        <v>104657</v>
      </c>
      <c r="B883">
        <v>1</v>
      </c>
      <c r="C883" s="5">
        <v>333200</v>
      </c>
    </row>
    <row r="884" spans="1:3" x14ac:dyDescent="0.25">
      <c r="A884" s="18" t="s">
        <v>216</v>
      </c>
      <c r="C884" s="5">
        <v>13101400</v>
      </c>
    </row>
    <row r="885" spans="1:3" x14ac:dyDescent="0.25">
      <c r="A885" s="19" t="s">
        <v>213</v>
      </c>
      <c r="C885" s="5">
        <v>5854100</v>
      </c>
    </row>
    <row r="886" spans="1:3" x14ac:dyDescent="0.25">
      <c r="A886" s="19" t="s">
        <v>219</v>
      </c>
      <c r="C886" s="5">
        <v>464100</v>
      </c>
    </row>
    <row r="887" spans="1:3" x14ac:dyDescent="0.25">
      <c r="A887" s="19" t="s">
        <v>3541</v>
      </c>
      <c r="C887" s="5">
        <v>6783200</v>
      </c>
    </row>
    <row r="888" spans="1:3" x14ac:dyDescent="0.25">
      <c r="A888" s="18" t="s">
        <v>225</v>
      </c>
      <c r="B888">
        <v>2</v>
      </c>
      <c r="C888" s="5">
        <v>5797680</v>
      </c>
    </row>
    <row r="889" spans="1:3" x14ac:dyDescent="0.25">
      <c r="A889" s="19" t="s">
        <v>222</v>
      </c>
      <c r="B889">
        <v>1</v>
      </c>
      <c r="C889" s="5">
        <v>4867100</v>
      </c>
    </row>
    <row r="890" spans="1:3" x14ac:dyDescent="0.25">
      <c r="A890" s="19" t="s">
        <v>2557</v>
      </c>
      <c r="B890">
        <v>1</v>
      </c>
      <c r="C890" s="5">
        <v>930580</v>
      </c>
    </row>
    <row r="891" spans="1:3" x14ac:dyDescent="0.25">
      <c r="A891" s="18" t="s">
        <v>231</v>
      </c>
      <c r="C891" s="5">
        <v>8925000</v>
      </c>
    </row>
    <row r="892" spans="1:3" x14ac:dyDescent="0.25">
      <c r="A892" s="19" t="s">
        <v>228</v>
      </c>
      <c r="C892" s="5">
        <v>8925000</v>
      </c>
    </row>
    <row r="893" spans="1:3" x14ac:dyDescent="0.25">
      <c r="A893" s="18" t="s">
        <v>236</v>
      </c>
      <c r="B893">
        <v>1</v>
      </c>
      <c r="C893" s="5">
        <v>4005419.4600000004</v>
      </c>
    </row>
    <row r="894" spans="1:3" x14ac:dyDescent="0.25">
      <c r="A894" s="19" t="s">
        <v>233</v>
      </c>
      <c r="C894" s="5">
        <v>248197.6</v>
      </c>
    </row>
    <row r="895" spans="1:3" x14ac:dyDescent="0.25">
      <c r="A895" s="19" t="s">
        <v>239</v>
      </c>
      <c r="C895" s="5">
        <v>1368104.08</v>
      </c>
    </row>
    <row r="896" spans="1:3" x14ac:dyDescent="0.25">
      <c r="A896" s="19" t="s">
        <v>3508</v>
      </c>
      <c r="C896" s="5">
        <v>376983.6</v>
      </c>
    </row>
    <row r="897" spans="1:3" x14ac:dyDescent="0.25">
      <c r="A897" s="19" t="s">
        <v>3511</v>
      </c>
      <c r="C897" s="5">
        <v>357276.08</v>
      </c>
    </row>
    <row r="898" spans="1:3" x14ac:dyDescent="0.25">
      <c r="A898" s="19" t="s">
        <v>3514</v>
      </c>
      <c r="C898" s="5">
        <v>246817.9</v>
      </c>
    </row>
    <row r="899" spans="1:3" x14ac:dyDescent="0.25">
      <c r="A899" s="19" t="s">
        <v>3517</v>
      </c>
      <c r="C899" s="5">
        <v>554295</v>
      </c>
    </row>
    <row r="900" spans="1:3" x14ac:dyDescent="0.25">
      <c r="A900" s="19" t="s">
        <v>3520</v>
      </c>
      <c r="C900" s="5">
        <v>382144.7</v>
      </c>
    </row>
    <row r="901" spans="1:3" x14ac:dyDescent="0.25">
      <c r="A901" s="19" t="s">
        <v>4117</v>
      </c>
      <c r="B901">
        <v>1</v>
      </c>
      <c r="C901" s="5">
        <v>471600.5</v>
      </c>
    </row>
    <row r="902" spans="1:3" x14ac:dyDescent="0.25">
      <c r="A902" s="18" t="s">
        <v>245</v>
      </c>
      <c r="C902" s="5">
        <v>1122429</v>
      </c>
    </row>
    <row r="903" spans="1:3" x14ac:dyDescent="0.25">
      <c r="A903" s="19" t="s">
        <v>242</v>
      </c>
      <c r="C903" s="5">
        <v>197337.7</v>
      </c>
    </row>
    <row r="904" spans="1:3" x14ac:dyDescent="0.25">
      <c r="A904" s="19" t="s">
        <v>247</v>
      </c>
      <c r="C904" s="5">
        <v>167694.79999999999</v>
      </c>
    </row>
    <row r="905" spans="1:3" x14ac:dyDescent="0.25">
      <c r="A905" s="19" t="s">
        <v>250</v>
      </c>
      <c r="C905" s="5">
        <v>141978.9</v>
      </c>
    </row>
    <row r="906" spans="1:3" x14ac:dyDescent="0.25">
      <c r="A906" s="19" t="s">
        <v>253</v>
      </c>
      <c r="C906" s="5">
        <v>141978.9</v>
      </c>
    </row>
    <row r="907" spans="1:3" x14ac:dyDescent="0.25">
      <c r="A907" s="19" t="s">
        <v>256</v>
      </c>
      <c r="C907" s="5">
        <v>187555.9</v>
      </c>
    </row>
    <row r="908" spans="1:3" x14ac:dyDescent="0.25">
      <c r="A908" s="19" t="s">
        <v>2095</v>
      </c>
      <c r="C908" s="5">
        <v>156675.4</v>
      </c>
    </row>
    <row r="909" spans="1:3" x14ac:dyDescent="0.25">
      <c r="A909" s="19" t="s">
        <v>3070</v>
      </c>
      <c r="C909" s="5">
        <v>129207.4</v>
      </c>
    </row>
    <row r="910" spans="1:3" x14ac:dyDescent="0.25">
      <c r="A910" s="18" t="s">
        <v>268</v>
      </c>
      <c r="C910" s="5">
        <v>8725794</v>
      </c>
    </row>
    <row r="911" spans="1:3" x14ac:dyDescent="0.25">
      <c r="A911" s="19" t="s">
        <v>265</v>
      </c>
      <c r="C911" s="5">
        <v>3622122</v>
      </c>
    </row>
    <row r="912" spans="1:3" x14ac:dyDescent="0.25">
      <c r="A912" s="19" t="s">
        <v>279</v>
      </c>
      <c r="C912" s="5">
        <v>2069410</v>
      </c>
    </row>
    <row r="913" spans="1:3" x14ac:dyDescent="0.25">
      <c r="A913" s="19" t="s">
        <v>352</v>
      </c>
      <c r="C913" s="5">
        <v>2240532</v>
      </c>
    </row>
    <row r="914" spans="1:3" x14ac:dyDescent="0.25">
      <c r="A914" s="19" t="s">
        <v>1454</v>
      </c>
      <c r="C914" s="5">
        <v>793730</v>
      </c>
    </row>
    <row r="915" spans="1:3" x14ac:dyDescent="0.25">
      <c r="A915" s="18" t="s">
        <v>285</v>
      </c>
      <c r="C915" s="5">
        <v>1864722.6</v>
      </c>
    </row>
    <row r="916" spans="1:3" x14ac:dyDescent="0.25">
      <c r="A916" s="19" t="s">
        <v>282</v>
      </c>
      <c r="C916" s="5">
        <v>789819.1</v>
      </c>
    </row>
    <row r="917" spans="1:3" x14ac:dyDescent="0.25">
      <c r="A917" s="19" t="s">
        <v>287</v>
      </c>
      <c r="C917" s="5">
        <v>1074903.5</v>
      </c>
    </row>
    <row r="918" spans="1:3" x14ac:dyDescent="0.25">
      <c r="A918" s="18" t="s">
        <v>299</v>
      </c>
      <c r="C918" s="5">
        <v>579773.94999999995</v>
      </c>
    </row>
    <row r="919" spans="1:3" x14ac:dyDescent="0.25">
      <c r="A919" s="19" t="s">
        <v>296</v>
      </c>
      <c r="C919" s="5">
        <v>335829.9</v>
      </c>
    </row>
    <row r="920" spans="1:3" x14ac:dyDescent="0.25">
      <c r="A920" s="19" t="s">
        <v>682</v>
      </c>
      <c r="C920" s="5">
        <v>243944.05</v>
      </c>
    </row>
    <row r="921" spans="1:3" x14ac:dyDescent="0.25">
      <c r="A921" s="18" t="s">
        <v>311</v>
      </c>
      <c r="C921" s="5">
        <v>85666910</v>
      </c>
    </row>
    <row r="922" spans="1:3" x14ac:dyDescent="0.25">
      <c r="A922" s="19" t="s">
        <v>308</v>
      </c>
      <c r="C922" s="5">
        <v>30568720</v>
      </c>
    </row>
    <row r="923" spans="1:3" x14ac:dyDescent="0.25">
      <c r="A923" s="19" t="s">
        <v>1859</v>
      </c>
      <c r="C923" s="5">
        <v>55098190</v>
      </c>
    </row>
    <row r="924" spans="1:3" x14ac:dyDescent="0.25">
      <c r="A924" s="18" t="s">
        <v>316</v>
      </c>
      <c r="B924">
        <v>1</v>
      </c>
      <c r="C924" s="5">
        <v>414120</v>
      </c>
    </row>
    <row r="925" spans="1:3" x14ac:dyDescent="0.25">
      <c r="A925" s="19" t="s">
        <v>313</v>
      </c>
      <c r="B925">
        <v>1</v>
      </c>
      <c r="C925" s="5">
        <v>414120</v>
      </c>
    </row>
    <row r="926" spans="1:3" x14ac:dyDescent="0.25">
      <c r="A926" s="18" t="s">
        <v>322</v>
      </c>
      <c r="B926">
        <v>3</v>
      </c>
      <c r="C926" s="5">
        <v>8622740</v>
      </c>
    </row>
    <row r="927" spans="1:3" x14ac:dyDescent="0.25">
      <c r="A927" s="19" t="s">
        <v>319</v>
      </c>
      <c r="B927">
        <v>1</v>
      </c>
      <c r="C927" s="5">
        <v>1021020</v>
      </c>
    </row>
    <row r="928" spans="1:3" x14ac:dyDescent="0.25">
      <c r="A928" s="19" t="s">
        <v>324</v>
      </c>
      <c r="B928">
        <v>1</v>
      </c>
      <c r="C928" s="5">
        <v>5202680</v>
      </c>
    </row>
    <row r="929" spans="1:3" x14ac:dyDescent="0.25">
      <c r="A929" s="19" t="s">
        <v>327</v>
      </c>
      <c r="B929">
        <v>1</v>
      </c>
      <c r="C929" s="5">
        <v>2399040</v>
      </c>
    </row>
    <row r="930" spans="1:3" x14ac:dyDescent="0.25">
      <c r="A930" s="18" t="s">
        <v>333</v>
      </c>
      <c r="C930" s="5">
        <v>622995.93999999994</v>
      </c>
    </row>
    <row r="931" spans="1:3" x14ac:dyDescent="0.25">
      <c r="A931" s="19" t="s">
        <v>330</v>
      </c>
      <c r="C931" s="5">
        <v>622995.93999999994</v>
      </c>
    </row>
    <row r="932" spans="1:3" x14ac:dyDescent="0.25">
      <c r="A932" s="18" t="s">
        <v>349</v>
      </c>
      <c r="B932">
        <v>1</v>
      </c>
      <c r="C932" s="5">
        <v>240000</v>
      </c>
    </row>
    <row r="933" spans="1:3" x14ac:dyDescent="0.25">
      <c r="A933" s="19" t="s">
        <v>346</v>
      </c>
      <c r="B933">
        <v>1</v>
      </c>
      <c r="C933" s="5">
        <v>240000</v>
      </c>
    </row>
    <row r="934" spans="1:3" x14ac:dyDescent="0.25">
      <c r="A934" s="18" t="s">
        <v>358</v>
      </c>
      <c r="C934" s="5">
        <v>11972766.119999999</v>
      </c>
    </row>
    <row r="935" spans="1:3" x14ac:dyDescent="0.25">
      <c r="A935" s="19" t="s">
        <v>355</v>
      </c>
      <c r="C935" s="5">
        <v>11972766.119999999</v>
      </c>
    </row>
    <row r="936" spans="1:3" x14ac:dyDescent="0.25">
      <c r="A936" s="18" t="s">
        <v>368</v>
      </c>
      <c r="B936">
        <v>1</v>
      </c>
      <c r="C936" s="5">
        <v>1756440</v>
      </c>
    </row>
    <row r="937" spans="1:3" x14ac:dyDescent="0.25">
      <c r="A937" s="19" t="s">
        <v>365</v>
      </c>
      <c r="B937">
        <v>1</v>
      </c>
      <c r="C937" s="5">
        <v>1756440</v>
      </c>
    </row>
    <row r="938" spans="1:3" x14ac:dyDescent="0.25">
      <c r="A938" s="18" t="s">
        <v>382</v>
      </c>
      <c r="B938">
        <v>1</v>
      </c>
      <c r="C938" s="5">
        <v>428400</v>
      </c>
    </row>
    <row r="939" spans="1:3" x14ac:dyDescent="0.25">
      <c r="A939" s="19" t="s">
        <v>379</v>
      </c>
      <c r="B939">
        <v>1</v>
      </c>
      <c r="C939" s="5">
        <v>428400</v>
      </c>
    </row>
    <row r="940" spans="1:3" x14ac:dyDescent="0.25">
      <c r="A940" s="18" t="s">
        <v>387</v>
      </c>
      <c r="B940">
        <v>1</v>
      </c>
      <c r="C940" s="5">
        <v>882182.91</v>
      </c>
    </row>
    <row r="941" spans="1:3" x14ac:dyDescent="0.25">
      <c r="A941" s="19" t="s">
        <v>384</v>
      </c>
      <c r="B941">
        <v>1</v>
      </c>
      <c r="C941" s="5">
        <v>882182.91</v>
      </c>
    </row>
    <row r="942" spans="1:3" x14ac:dyDescent="0.25">
      <c r="A942" s="18" t="s">
        <v>398</v>
      </c>
      <c r="B942">
        <v>2</v>
      </c>
      <c r="C942" s="5">
        <v>7081050</v>
      </c>
    </row>
    <row r="943" spans="1:3" x14ac:dyDescent="0.25">
      <c r="A943" s="19" t="s">
        <v>395</v>
      </c>
      <c r="B943">
        <v>1</v>
      </c>
      <c r="C943" s="5">
        <v>3526050</v>
      </c>
    </row>
    <row r="944" spans="1:3" x14ac:dyDescent="0.25">
      <c r="A944" s="19" t="s">
        <v>2472</v>
      </c>
      <c r="B944">
        <v>1</v>
      </c>
      <c r="C944" s="5">
        <v>3555000</v>
      </c>
    </row>
    <row r="945" spans="1:3" x14ac:dyDescent="0.25">
      <c r="A945" s="18" t="s">
        <v>452</v>
      </c>
      <c r="B945">
        <v>1</v>
      </c>
      <c r="C945" s="5">
        <v>571200</v>
      </c>
    </row>
    <row r="946" spans="1:3" x14ac:dyDescent="0.25">
      <c r="A946" s="19" t="s">
        <v>449</v>
      </c>
      <c r="B946">
        <v>1</v>
      </c>
      <c r="C946" s="5">
        <v>571200</v>
      </c>
    </row>
    <row r="947" spans="1:3" x14ac:dyDescent="0.25">
      <c r="A947" s="18" t="s">
        <v>458</v>
      </c>
      <c r="B947">
        <v>1</v>
      </c>
      <c r="C947" s="5">
        <v>4165000</v>
      </c>
    </row>
    <row r="948" spans="1:3" x14ac:dyDescent="0.25">
      <c r="A948" s="19" t="s">
        <v>455</v>
      </c>
      <c r="B948">
        <v>1</v>
      </c>
      <c r="C948" s="5">
        <v>4165000</v>
      </c>
    </row>
    <row r="949" spans="1:3" x14ac:dyDescent="0.25">
      <c r="A949" s="18" t="s">
        <v>511</v>
      </c>
      <c r="B949">
        <v>1</v>
      </c>
      <c r="C949" s="5">
        <v>15710292.9</v>
      </c>
    </row>
    <row r="950" spans="1:3" x14ac:dyDescent="0.25">
      <c r="A950" s="19" t="s">
        <v>508</v>
      </c>
      <c r="C950" s="5">
        <v>1462515.5</v>
      </c>
    </row>
    <row r="951" spans="1:3" x14ac:dyDescent="0.25">
      <c r="A951" s="19" t="s">
        <v>513</v>
      </c>
      <c r="C951" s="5">
        <v>7508900</v>
      </c>
    </row>
    <row r="952" spans="1:3" x14ac:dyDescent="0.25">
      <c r="A952" s="19" t="s">
        <v>515</v>
      </c>
      <c r="C952" s="5">
        <v>1981728</v>
      </c>
    </row>
    <row r="953" spans="1:3" x14ac:dyDescent="0.25">
      <c r="A953" s="19" t="s">
        <v>518</v>
      </c>
      <c r="C953" s="5">
        <v>3389239</v>
      </c>
    </row>
    <row r="954" spans="1:3" x14ac:dyDescent="0.25">
      <c r="A954" s="19" t="s">
        <v>2543</v>
      </c>
      <c r="B954">
        <v>1</v>
      </c>
      <c r="C954" s="5">
        <v>1367910.3999999999</v>
      </c>
    </row>
    <row r="955" spans="1:3" x14ac:dyDescent="0.25">
      <c r="A955" s="18" t="s">
        <v>523</v>
      </c>
      <c r="B955">
        <v>1</v>
      </c>
      <c r="C955" s="5">
        <v>5712000</v>
      </c>
    </row>
    <row r="956" spans="1:3" x14ac:dyDescent="0.25">
      <c r="A956" s="19">
        <v>104728</v>
      </c>
      <c r="B956">
        <v>1</v>
      </c>
      <c r="C956" s="5">
        <v>5712000</v>
      </c>
    </row>
    <row r="957" spans="1:3" x14ac:dyDescent="0.25">
      <c r="A957" s="18" t="s">
        <v>535</v>
      </c>
      <c r="C957" s="5">
        <v>10706641.9</v>
      </c>
    </row>
    <row r="958" spans="1:3" x14ac:dyDescent="0.25">
      <c r="A958" s="19" t="s">
        <v>532</v>
      </c>
      <c r="C958" s="5">
        <v>1059293.97</v>
      </c>
    </row>
    <row r="959" spans="1:3" x14ac:dyDescent="0.25">
      <c r="A959" s="19" t="s">
        <v>562</v>
      </c>
      <c r="C959" s="5">
        <v>6677249.46</v>
      </c>
    </row>
    <row r="960" spans="1:3" x14ac:dyDescent="0.25">
      <c r="A960" s="19" t="s">
        <v>3073</v>
      </c>
      <c r="C960" s="5">
        <v>2970098.47</v>
      </c>
    </row>
    <row r="961" spans="1:3" x14ac:dyDescent="0.25">
      <c r="A961" s="18" t="s">
        <v>540</v>
      </c>
      <c r="B961">
        <v>1</v>
      </c>
      <c r="C961" s="5">
        <v>319110.40000000002</v>
      </c>
    </row>
    <row r="962" spans="1:3" x14ac:dyDescent="0.25">
      <c r="A962" s="19" t="s">
        <v>537</v>
      </c>
      <c r="B962">
        <v>1</v>
      </c>
      <c r="C962" s="5">
        <v>319110.40000000002</v>
      </c>
    </row>
    <row r="963" spans="1:3" x14ac:dyDescent="0.25">
      <c r="A963" s="18" t="s">
        <v>546</v>
      </c>
      <c r="C963" s="5">
        <v>48530853.700000003</v>
      </c>
    </row>
    <row r="964" spans="1:3" x14ac:dyDescent="0.25">
      <c r="A964" s="19" t="s">
        <v>543</v>
      </c>
      <c r="C964" s="5">
        <v>5213985</v>
      </c>
    </row>
    <row r="965" spans="1:3" x14ac:dyDescent="0.25">
      <c r="A965" s="19" t="s">
        <v>3885</v>
      </c>
      <c r="C965" s="5">
        <v>43316868.700000003</v>
      </c>
    </row>
    <row r="966" spans="1:3" x14ac:dyDescent="0.25">
      <c r="A966" s="18" t="s">
        <v>560</v>
      </c>
      <c r="C966" s="5">
        <v>739449.34</v>
      </c>
    </row>
    <row r="967" spans="1:3" x14ac:dyDescent="0.25">
      <c r="A967" s="19" t="s">
        <v>557</v>
      </c>
      <c r="C967" s="5">
        <v>739449.34</v>
      </c>
    </row>
    <row r="968" spans="1:3" x14ac:dyDescent="0.25">
      <c r="A968" s="18" t="s">
        <v>588</v>
      </c>
      <c r="B968">
        <v>3</v>
      </c>
      <c r="C968" s="5">
        <v>8737370.9299999997</v>
      </c>
    </row>
    <row r="969" spans="1:3" x14ac:dyDescent="0.25">
      <c r="A969" s="19" t="s">
        <v>585</v>
      </c>
      <c r="B969">
        <v>1</v>
      </c>
      <c r="C969" s="5">
        <v>6475980</v>
      </c>
    </row>
    <row r="970" spans="1:3" x14ac:dyDescent="0.25">
      <c r="A970" s="19" t="s">
        <v>2881</v>
      </c>
      <c r="B970">
        <v>1</v>
      </c>
      <c r="C970" s="5">
        <v>195041</v>
      </c>
    </row>
    <row r="971" spans="1:3" x14ac:dyDescent="0.25">
      <c r="A971" s="19" t="s">
        <v>2884</v>
      </c>
      <c r="B971">
        <v>1</v>
      </c>
      <c r="C971" s="5">
        <v>1182320.93</v>
      </c>
    </row>
    <row r="972" spans="1:3" x14ac:dyDescent="0.25">
      <c r="A972" s="19" t="s">
        <v>2887</v>
      </c>
      <c r="C972" s="5">
        <v>884029</v>
      </c>
    </row>
    <row r="973" spans="1:3" x14ac:dyDescent="0.25">
      <c r="A973" s="18" t="s">
        <v>621</v>
      </c>
      <c r="B973">
        <v>2</v>
      </c>
      <c r="C973" s="5">
        <v>1728999.79</v>
      </c>
    </row>
    <row r="974" spans="1:3" x14ac:dyDescent="0.25">
      <c r="A974" s="19" t="s">
        <v>618</v>
      </c>
      <c r="B974">
        <v>1</v>
      </c>
      <c r="C974" s="5">
        <v>1312499.79</v>
      </c>
    </row>
    <row r="975" spans="1:3" x14ac:dyDescent="0.25">
      <c r="A975" s="19" t="s">
        <v>2374</v>
      </c>
      <c r="B975">
        <v>1</v>
      </c>
      <c r="C975" s="5">
        <v>416500</v>
      </c>
    </row>
    <row r="976" spans="1:3" x14ac:dyDescent="0.25">
      <c r="A976" s="18" t="s">
        <v>638</v>
      </c>
      <c r="B976">
        <v>2</v>
      </c>
      <c r="C976" s="5">
        <v>16892698.550000001</v>
      </c>
    </row>
    <row r="977" spans="1:3" x14ac:dyDescent="0.25">
      <c r="A977" s="19" t="s">
        <v>635</v>
      </c>
      <c r="B977">
        <v>1</v>
      </c>
      <c r="C977" s="5">
        <v>13875386.91</v>
      </c>
    </row>
    <row r="978" spans="1:3" x14ac:dyDescent="0.25">
      <c r="A978" s="19" t="s">
        <v>2673</v>
      </c>
      <c r="B978">
        <v>1</v>
      </c>
      <c r="C978" s="5">
        <v>3017311.64</v>
      </c>
    </row>
    <row r="979" spans="1:3" x14ac:dyDescent="0.25">
      <c r="A979" s="18" t="s">
        <v>643</v>
      </c>
      <c r="B979">
        <v>3</v>
      </c>
      <c r="C979" s="5">
        <v>9226750</v>
      </c>
    </row>
    <row r="980" spans="1:3" x14ac:dyDescent="0.25">
      <c r="A980" s="19" t="s">
        <v>640</v>
      </c>
      <c r="B980">
        <v>1</v>
      </c>
      <c r="C980" s="5">
        <v>220150</v>
      </c>
    </row>
    <row r="981" spans="1:3" x14ac:dyDescent="0.25">
      <c r="A981" s="19" t="s">
        <v>1212</v>
      </c>
      <c r="B981">
        <v>1</v>
      </c>
      <c r="C981" s="5">
        <v>3653300</v>
      </c>
    </row>
    <row r="982" spans="1:3" x14ac:dyDescent="0.25">
      <c r="A982" s="19" t="s">
        <v>1802</v>
      </c>
      <c r="C982" s="5">
        <v>3653300</v>
      </c>
    </row>
    <row r="983" spans="1:3" x14ac:dyDescent="0.25">
      <c r="A983" s="19" t="s">
        <v>2052</v>
      </c>
      <c r="B983">
        <v>1</v>
      </c>
      <c r="C983" s="5">
        <v>1700000</v>
      </c>
    </row>
    <row r="984" spans="1:3" x14ac:dyDescent="0.25">
      <c r="A984" s="18" t="s">
        <v>675</v>
      </c>
      <c r="C984" s="5">
        <v>8306200</v>
      </c>
    </row>
    <row r="985" spans="1:3" x14ac:dyDescent="0.25">
      <c r="A985" s="19">
        <v>104760</v>
      </c>
      <c r="C985" s="5">
        <v>8306200</v>
      </c>
    </row>
    <row r="986" spans="1:3" x14ac:dyDescent="0.25">
      <c r="A986" s="18" t="s">
        <v>680</v>
      </c>
      <c r="C986" s="5">
        <v>649740</v>
      </c>
    </row>
    <row r="987" spans="1:3" x14ac:dyDescent="0.25">
      <c r="A987" s="19" t="s">
        <v>677</v>
      </c>
      <c r="C987" s="5">
        <v>649740</v>
      </c>
    </row>
    <row r="988" spans="1:3" x14ac:dyDescent="0.25">
      <c r="A988" s="18" t="s">
        <v>693</v>
      </c>
      <c r="B988">
        <v>1</v>
      </c>
      <c r="C988" s="5">
        <v>401982</v>
      </c>
    </row>
    <row r="989" spans="1:3" x14ac:dyDescent="0.25">
      <c r="A989" s="19" t="s">
        <v>690</v>
      </c>
      <c r="B989">
        <v>1</v>
      </c>
      <c r="C989" s="5">
        <v>401982</v>
      </c>
    </row>
    <row r="990" spans="1:3" x14ac:dyDescent="0.25">
      <c r="A990" s="18" t="s">
        <v>699</v>
      </c>
      <c r="C990" s="5">
        <v>5495063</v>
      </c>
    </row>
    <row r="991" spans="1:3" x14ac:dyDescent="0.25">
      <c r="A991" s="19" t="s">
        <v>696</v>
      </c>
      <c r="C991" s="5">
        <v>785043</v>
      </c>
    </row>
    <row r="992" spans="1:3" x14ac:dyDescent="0.25">
      <c r="A992" s="19" t="s">
        <v>3116</v>
      </c>
      <c r="C992" s="5">
        <v>4710020</v>
      </c>
    </row>
    <row r="993" spans="1:3" x14ac:dyDescent="0.25">
      <c r="A993" s="18" t="s">
        <v>736</v>
      </c>
      <c r="B993">
        <v>3</v>
      </c>
      <c r="C993" s="5">
        <v>18111378.5</v>
      </c>
    </row>
    <row r="994" spans="1:3" x14ac:dyDescent="0.25">
      <c r="A994" s="19" t="s">
        <v>733</v>
      </c>
      <c r="B994">
        <v>1</v>
      </c>
      <c r="C994" s="5">
        <v>8447988.5</v>
      </c>
    </row>
    <row r="995" spans="1:3" x14ac:dyDescent="0.25">
      <c r="A995" s="19" t="s">
        <v>3360</v>
      </c>
      <c r="B995">
        <v>1</v>
      </c>
      <c r="C995" s="5">
        <v>1219150</v>
      </c>
    </row>
    <row r="996" spans="1:3" x14ac:dyDescent="0.25">
      <c r="A996" s="19" t="s">
        <v>3733</v>
      </c>
      <c r="B996">
        <v>1</v>
      </c>
      <c r="C996" s="5">
        <v>8444240</v>
      </c>
    </row>
    <row r="997" spans="1:3" x14ac:dyDescent="0.25">
      <c r="A997" s="18" t="s">
        <v>741</v>
      </c>
      <c r="B997">
        <v>1</v>
      </c>
      <c r="C997" s="5">
        <v>2551375</v>
      </c>
    </row>
    <row r="998" spans="1:3" x14ac:dyDescent="0.25">
      <c r="A998" s="19" t="s">
        <v>738</v>
      </c>
      <c r="B998">
        <v>1</v>
      </c>
      <c r="C998" s="5">
        <v>515025</v>
      </c>
    </row>
    <row r="999" spans="1:3" x14ac:dyDescent="0.25">
      <c r="A999" s="19">
        <v>105197</v>
      </c>
      <c r="C999" s="5">
        <v>1721000</v>
      </c>
    </row>
    <row r="1000" spans="1:3" x14ac:dyDescent="0.25">
      <c r="A1000" s="19" t="s">
        <v>4034</v>
      </c>
      <c r="C1000" s="5">
        <v>315350</v>
      </c>
    </row>
    <row r="1001" spans="1:3" x14ac:dyDescent="0.25">
      <c r="A1001" s="18" t="s">
        <v>758</v>
      </c>
      <c r="B1001">
        <v>1</v>
      </c>
      <c r="C1001" s="5">
        <v>202833.12</v>
      </c>
    </row>
    <row r="1002" spans="1:3" x14ac:dyDescent="0.25">
      <c r="A1002" s="19" t="s">
        <v>755</v>
      </c>
      <c r="B1002">
        <v>1</v>
      </c>
      <c r="C1002" s="5">
        <v>202833.12</v>
      </c>
    </row>
    <row r="1003" spans="1:3" x14ac:dyDescent="0.25">
      <c r="A1003" s="18" t="s">
        <v>773</v>
      </c>
      <c r="B1003">
        <v>1</v>
      </c>
      <c r="C1003" s="5">
        <v>462553</v>
      </c>
    </row>
    <row r="1004" spans="1:3" x14ac:dyDescent="0.25">
      <c r="A1004" s="19" t="s">
        <v>770</v>
      </c>
      <c r="B1004">
        <v>1</v>
      </c>
      <c r="C1004" s="5">
        <v>462553</v>
      </c>
    </row>
    <row r="1005" spans="1:3" x14ac:dyDescent="0.25">
      <c r="A1005" s="18" t="s">
        <v>783</v>
      </c>
      <c r="B1005">
        <v>2</v>
      </c>
      <c r="C1005" s="5">
        <v>216363.42</v>
      </c>
    </row>
    <row r="1006" spans="1:3" x14ac:dyDescent="0.25">
      <c r="A1006" s="19" t="s">
        <v>780</v>
      </c>
      <c r="B1006">
        <v>1</v>
      </c>
      <c r="C1006" s="5">
        <v>108181.71</v>
      </c>
    </row>
    <row r="1007" spans="1:3" x14ac:dyDescent="0.25">
      <c r="A1007" s="19" t="s">
        <v>786</v>
      </c>
      <c r="B1007">
        <v>1</v>
      </c>
      <c r="C1007" s="5">
        <v>108181.71</v>
      </c>
    </row>
    <row r="1008" spans="1:3" x14ac:dyDescent="0.25">
      <c r="A1008" s="18" t="s">
        <v>796</v>
      </c>
      <c r="C1008" s="5">
        <v>1147452.74</v>
      </c>
    </row>
    <row r="1009" spans="1:3" x14ac:dyDescent="0.25">
      <c r="A1009" s="19" t="s">
        <v>793</v>
      </c>
      <c r="C1009" s="5">
        <v>1147452.74</v>
      </c>
    </row>
    <row r="1010" spans="1:3" x14ac:dyDescent="0.25">
      <c r="A1010" s="18" t="s">
        <v>800</v>
      </c>
      <c r="B1010">
        <v>1</v>
      </c>
      <c r="C1010" s="5">
        <v>10519600</v>
      </c>
    </row>
    <row r="1011" spans="1:3" x14ac:dyDescent="0.25">
      <c r="A1011" s="19" t="s">
        <v>802</v>
      </c>
      <c r="C1011" s="5">
        <v>1547000</v>
      </c>
    </row>
    <row r="1012" spans="1:3" x14ac:dyDescent="0.25">
      <c r="A1012" s="19">
        <v>104786</v>
      </c>
      <c r="C1012" s="5">
        <v>3712800</v>
      </c>
    </row>
    <row r="1013" spans="1:3" x14ac:dyDescent="0.25">
      <c r="A1013" s="19" t="s">
        <v>2065</v>
      </c>
      <c r="B1013">
        <v>1</v>
      </c>
      <c r="C1013" s="5">
        <v>5259800</v>
      </c>
    </row>
    <row r="1014" spans="1:3" x14ac:dyDescent="0.25">
      <c r="A1014" s="18" t="s">
        <v>815</v>
      </c>
      <c r="B1014">
        <v>1</v>
      </c>
      <c r="C1014" s="5">
        <v>1445425.4000000001</v>
      </c>
    </row>
    <row r="1015" spans="1:3" x14ac:dyDescent="0.25">
      <c r="A1015" s="19" t="s">
        <v>812</v>
      </c>
      <c r="B1015">
        <v>1</v>
      </c>
      <c r="C1015" s="5">
        <v>241510.1</v>
      </c>
    </row>
    <row r="1016" spans="1:3" x14ac:dyDescent="0.25">
      <c r="A1016" s="19" t="s">
        <v>818</v>
      </c>
      <c r="C1016" s="5">
        <v>1024760.8</v>
      </c>
    </row>
    <row r="1017" spans="1:3" x14ac:dyDescent="0.25">
      <c r="A1017" s="19" t="s">
        <v>1011</v>
      </c>
      <c r="C1017" s="5">
        <v>179154.5</v>
      </c>
    </row>
    <row r="1018" spans="1:3" x14ac:dyDescent="0.25">
      <c r="A1018" s="18" t="s">
        <v>823</v>
      </c>
      <c r="C1018" s="5">
        <v>1527424.5</v>
      </c>
    </row>
    <row r="1019" spans="1:3" x14ac:dyDescent="0.25">
      <c r="A1019" s="19">
        <v>104792</v>
      </c>
      <c r="C1019" s="5">
        <v>478380</v>
      </c>
    </row>
    <row r="1020" spans="1:3" x14ac:dyDescent="0.25">
      <c r="A1020" s="19" t="s">
        <v>1763</v>
      </c>
      <c r="C1020" s="5">
        <v>825324.5</v>
      </c>
    </row>
    <row r="1021" spans="1:3" x14ac:dyDescent="0.25">
      <c r="A1021" s="19" t="s">
        <v>3081</v>
      </c>
      <c r="C1021" s="5">
        <v>223720</v>
      </c>
    </row>
    <row r="1022" spans="1:3" x14ac:dyDescent="0.25">
      <c r="A1022" s="18" t="s">
        <v>859</v>
      </c>
      <c r="B1022">
        <v>1</v>
      </c>
      <c r="C1022" s="5">
        <v>14024637.899999999</v>
      </c>
    </row>
    <row r="1023" spans="1:3" x14ac:dyDescent="0.25">
      <c r="A1023" s="19" t="s">
        <v>856</v>
      </c>
      <c r="B1023">
        <v>1</v>
      </c>
      <c r="C1023" s="5">
        <v>4674879.3</v>
      </c>
    </row>
    <row r="1024" spans="1:3" x14ac:dyDescent="0.25">
      <c r="A1024" s="19" t="s">
        <v>1706</v>
      </c>
      <c r="C1024" s="5">
        <v>2337439.65</v>
      </c>
    </row>
    <row r="1025" spans="1:3" x14ac:dyDescent="0.25">
      <c r="A1025" s="19" t="s">
        <v>1709</v>
      </c>
      <c r="C1025" s="5">
        <v>2337439.65</v>
      </c>
    </row>
    <row r="1026" spans="1:3" x14ac:dyDescent="0.25">
      <c r="A1026" s="19">
        <v>105004</v>
      </c>
      <c r="C1026" s="5">
        <v>4674879.3</v>
      </c>
    </row>
    <row r="1027" spans="1:3" x14ac:dyDescent="0.25">
      <c r="A1027" s="18" t="s">
        <v>864</v>
      </c>
      <c r="B1027">
        <v>1</v>
      </c>
      <c r="C1027" s="5">
        <v>1586865</v>
      </c>
    </row>
    <row r="1028" spans="1:3" x14ac:dyDescent="0.25">
      <c r="A1028" s="19" t="s">
        <v>861</v>
      </c>
      <c r="B1028">
        <v>1</v>
      </c>
      <c r="C1028" s="5">
        <v>1586865</v>
      </c>
    </row>
    <row r="1029" spans="1:3" x14ac:dyDescent="0.25">
      <c r="A1029" s="18" t="s">
        <v>878</v>
      </c>
      <c r="C1029" s="5">
        <v>821949.06</v>
      </c>
    </row>
    <row r="1030" spans="1:3" x14ac:dyDescent="0.25">
      <c r="A1030" s="19" t="s">
        <v>875</v>
      </c>
      <c r="C1030" s="5">
        <v>344350</v>
      </c>
    </row>
    <row r="1031" spans="1:3" x14ac:dyDescent="0.25">
      <c r="A1031" s="19" t="s">
        <v>2601</v>
      </c>
      <c r="C1031" s="5">
        <v>393347.06</v>
      </c>
    </row>
    <row r="1032" spans="1:3" x14ac:dyDescent="0.25">
      <c r="A1032" s="19" t="s">
        <v>3794</v>
      </c>
      <c r="C1032" s="5">
        <v>84252</v>
      </c>
    </row>
    <row r="1033" spans="1:3" x14ac:dyDescent="0.25">
      <c r="A1033" s="18" t="s">
        <v>886</v>
      </c>
      <c r="B1033">
        <v>1</v>
      </c>
      <c r="C1033" s="5">
        <v>5450200</v>
      </c>
    </row>
    <row r="1034" spans="1:3" x14ac:dyDescent="0.25">
      <c r="A1034" s="19" t="s">
        <v>883</v>
      </c>
      <c r="B1034">
        <v>1</v>
      </c>
      <c r="C1034" s="5">
        <v>493850</v>
      </c>
    </row>
    <row r="1035" spans="1:3" x14ac:dyDescent="0.25">
      <c r="A1035" s="19" t="s">
        <v>888</v>
      </c>
      <c r="C1035" s="5">
        <v>4956350</v>
      </c>
    </row>
    <row r="1036" spans="1:3" x14ac:dyDescent="0.25">
      <c r="A1036" s="18" t="s">
        <v>931</v>
      </c>
      <c r="B1036">
        <v>1</v>
      </c>
      <c r="C1036" s="5">
        <v>6396250</v>
      </c>
    </row>
    <row r="1037" spans="1:3" x14ac:dyDescent="0.25">
      <c r="A1037" s="19" t="s">
        <v>928</v>
      </c>
      <c r="C1037" s="5">
        <v>1808800</v>
      </c>
    </row>
    <row r="1038" spans="1:3" x14ac:dyDescent="0.25">
      <c r="A1038" s="19" t="s">
        <v>3300</v>
      </c>
      <c r="B1038">
        <v>1</v>
      </c>
      <c r="C1038" s="5">
        <v>4587450</v>
      </c>
    </row>
    <row r="1039" spans="1:3" x14ac:dyDescent="0.25">
      <c r="A1039" s="18" t="s">
        <v>941</v>
      </c>
      <c r="C1039" s="5">
        <v>281435</v>
      </c>
    </row>
    <row r="1040" spans="1:3" x14ac:dyDescent="0.25">
      <c r="A1040" s="19" t="s">
        <v>938</v>
      </c>
      <c r="C1040" s="5">
        <v>124950</v>
      </c>
    </row>
    <row r="1041" spans="1:3" x14ac:dyDescent="0.25">
      <c r="A1041" s="19" t="s">
        <v>1642</v>
      </c>
      <c r="C1041" s="5">
        <v>78540</v>
      </c>
    </row>
    <row r="1042" spans="1:3" x14ac:dyDescent="0.25">
      <c r="A1042" s="19" t="s">
        <v>2986</v>
      </c>
      <c r="C1042" s="5">
        <v>77945</v>
      </c>
    </row>
    <row r="1043" spans="1:3" x14ac:dyDescent="0.25">
      <c r="A1043" s="18" t="s">
        <v>970</v>
      </c>
      <c r="B1043">
        <v>1</v>
      </c>
      <c r="C1043" s="5">
        <v>128024.96000000001</v>
      </c>
    </row>
    <row r="1044" spans="1:3" x14ac:dyDescent="0.25">
      <c r="A1044" s="19" t="s">
        <v>967</v>
      </c>
      <c r="B1044">
        <v>1</v>
      </c>
      <c r="C1044" s="5">
        <v>128024.96000000001</v>
      </c>
    </row>
    <row r="1045" spans="1:3" x14ac:dyDescent="0.25">
      <c r="A1045" s="18" t="s">
        <v>984</v>
      </c>
      <c r="B1045">
        <v>1</v>
      </c>
      <c r="C1045" s="5">
        <v>5896851.0300000003</v>
      </c>
    </row>
    <row r="1046" spans="1:3" x14ac:dyDescent="0.25">
      <c r="A1046" s="19" t="s">
        <v>981</v>
      </c>
      <c r="B1046">
        <v>1</v>
      </c>
      <c r="C1046" s="5">
        <v>5896851.0300000003</v>
      </c>
    </row>
    <row r="1047" spans="1:3" x14ac:dyDescent="0.25">
      <c r="A1047" s="18" t="s">
        <v>995</v>
      </c>
      <c r="B1047">
        <v>1</v>
      </c>
      <c r="C1047" s="5">
        <v>19117485.66</v>
      </c>
    </row>
    <row r="1048" spans="1:3" x14ac:dyDescent="0.25">
      <c r="A1048" s="19" t="s">
        <v>992</v>
      </c>
      <c r="B1048">
        <v>1</v>
      </c>
      <c r="C1048" s="5">
        <v>19117485.66</v>
      </c>
    </row>
    <row r="1049" spans="1:3" x14ac:dyDescent="0.25">
      <c r="A1049" s="18" t="s">
        <v>1009</v>
      </c>
      <c r="B1049">
        <v>1</v>
      </c>
      <c r="C1049" s="5">
        <v>923215</v>
      </c>
    </row>
    <row r="1050" spans="1:3" x14ac:dyDescent="0.25">
      <c r="A1050" s="19" t="s">
        <v>1006</v>
      </c>
      <c r="B1050">
        <v>1</v>
      </c>
      <c r="C1050" s="5">
        <v>923215</v>
      </c>
    </row>
    <row r="1051" spans="1:3" x14ac:dyDescent="0.25">
      <c r="A1051" s="18" t="s">
        <v>1029</v>
      </c>
      <c r="C1051" s="5">
        <v>487500</v>
      </c>
    </row>
    <row r="1052" spans="1:3" x14ac:dyDescent="0.25">
      <c r="A1052" s="19" t="s">
        <v>1026</v>
      </c>
      <c r="C1052" s="5">
        <v>487500</v>
      </c>
    </row>
    <row r="1053" spans="1:3" x14ac:dyDescent="0.25">
      <c r="A1053" s="18" t="s">
        <v>1034</v>
      </c>
      <c r="B1053">
        <v>1</v>
      </c>
      <c r="C1053" s="5">
        <v>314874</v>
      </c>
    </row>
    <row r="1054" spans="1:3" x14ac:dyDescent="0.25">
      <c r="A1054" s="19" t="s">
        <v>1031</v>
      </c>
      <c r="B1054">
        <v>1</v>
      </c>
      <c r="C1054" s="5">
        <v>314874</v>
      </c>
    </row>
    <row r="1055" spans="1:3" x14ac:dyDescent="0.25">
      <c r="A1055" s="18" t="s">
        <v>1048</v>
      </c>
      <c r="B1055">
        <v>1</v>
      </c>
      <c r="C1055" s="5">
        <v>291822.3</v>
      </c>
    </row>
    <row r="1056" spans="1:3" x14ac:dyDescent="0.25">
      <c r="A1056" s="19" t="s">
        <v>1045</v>
      </c>
      <c r="B1056">
        <v>1</v>
      </c>
      <c r="C1056" s="5">
        <v>291822.3</v>
      </c>
    </row>
    <row r="1057" spans="1:3" x14ac:dyDescent="0.25">
      <c r="A1057" s="18" t="s">
        <v>1054</v>
      </c>
      <c r="B1057">
        <v>2</v>
      </c>
      <c r="C1057" s="5">
        <v>11126228.68</v>
      </c>
    </row>
    <row r="1058" spans="1:3" x14ac:dyDescent="0.25">
      <c r="A1058" s="19" t="s">
        <v>1051</v>
      </c>
      <c r="B1058">
        <v>1</v>
      </c>
      <c r="C1058" s="5">
        <v>8059705.7800000003</v>
      </c>
    </row>
    <row r="1059" spans="1:3" x14ac:dyDescent="0.25">
      <c r="A1059" s="19" t="s">
        <v>1080</v>
      </c>
      <c r="B1059">
        <v>1</v>
      </c>
      <c r="C1059" s="5">
        <v>3066522.9</v>
      </c>
    </row>
    <row r="1060" spans="1:3" x14ac:dyDescent="0.25">
      <c r="A1060" s="18" t="s">
        <v>1059</v>
      </c>
      <c r="B1060">
        <v>1</v>
      </c>
      <c r="C1060" s="5">
        <v>689701.39</v>
      </c>
    </row>
    <row r="1061" spans="1:3" x14ac:dyDescent="0.25">
      <c r="A1061" s="19" t="s">
        <v>1056</v>
      </c>
      <c r="B1061">
        <v>1</v>
      </c>
      <c r="C1061" s="5">
        <v>689701.39</v>
      </c>
    </row>
    <row r="1062" spans="1:3" x14ac:dyDescent="0.25">
      <c r="A1062" s="18" t="s">
        <v>1091</v>
      </c>
      <c r="C1062" s="5">
        <v>191590</v>
      </c>
    </row>
    <row r="1063" spans="1:3" x14ac:dyDescent="0.25">
      <c r="A1063" s="19" t="s">
        <v>1088</v>
      </c>
      <c r="C1063" s="5">
        <v>191590</v>
      </c>
    </row>
    <row r="1064" spans="1:3" x14ac:dyDescent="0.25">
      <c r="A1064" s="18" t="s">
        <v>1096</v>
      </c>
      <c r="B1064">
        <v>2</v>
      </c>
      <c r="C1064" s="5">
        <v>16612400</v>
      </c>
    </row>
    <row r="1065" spans="1:3" x14ac:dyDescent="0.25">
      <c r="A1065" s="19" t="s">
        <v>1093</v>
      </c>
      <c r="B1065">
        <v>1</v>
      </c>
      <c r="C1065" s="5">
        <v>8306200</v>
      </c>
    </row>
    <row r="1066" spans="1:3" x14ac:dyDescent="0.25">
      <c r="A1066" s="19" t="s">
        <v>2009</v>
      </c>
      <c r="B1066">
        <v>1</v>
      </c>
      <c r="C1066" s="5">
        <v>8306200</v>
      </c>
    </row>
    <row r="1067" spans="1:3" x14ac:dyDescent="0.25">
      <c r="A1067" s="18" t="s">
        <v>1102</v>
      </c>
      <c r="C1067" s="5">
        <v>110908</v>
      </c>
    </row>
    <row r="1068" spans="1:3" x14ac:dyDescent="0.25">
      <c r="A1068" s="19" t="s">
        <v>1099</v>
      </c>
      <c r="C1068" s="5">
        <v>110908</v>
      </c>
    </row>
    <row r="1069" spans="1:3" x14ac:dyDescent="0.25">
      <c r="A1069" s="18" t="s">
        <v>1107</v>
      </c>
      <c r="B1069">
        <v>1</v>
      </c>
      <c r="C1069" s="5">
        <v>571200</v>
      </c>
    </row>
    <row r="1070" spans="1:3" x14ac:dyDescent="0.25">
      <c r="A1070" s="19" t="s">
        <v>1104</v>
      </c>
      <c r="B1070">
        <v>1</v>
      </c>
      <c r="C1070" s="5">
        <v>571200</v>
      </c>
    </row>
    <row r="1071" spans="1:3" x14ac:dyDescent="0.25">
      <c r="A1071" s="18" t="s">
        <v>1117</v>
      </c>
      <c r="C1071" s="5">
        <v>2556114.89</v>
      </c>
    </row>
    <row r="1072" spans="1:3" x14ac:dyDescent="0.25">
      <c r="A1072" s="19" t="s">
        <v>1114</v>
      </c>
      <c r="C1072" s="5">
        <v>474881.4</v>
      </c>
    </row>
    <row r="1073" spans="1:3" x14ac:dyDescent="0.25">
      <c r="A1073" s="19" t="s">
        <v>1119</v>
      </c>
      <c r="C1073" s="5">
        <v>67592</v>
      </c>
    </row>
    <row r="1074" spans="1:3" x14ac:dyDescent="0.25">
      <c r="A1074" s="19" t="s">
        <v>2092</v>
      </c>
      <c r="C1074" s="5">
        <v>527980.39</v>
      </c>
    </row>
    <row r="1075" spans="1:3" x14ac:dyDescent="0.25">
      <c r="A1075" s="19" t="s">
        <v>2268</v>
      </c>
      <c r="C1075" s="5">
        <v>1179825.5</v>
      </c>
    </row>
    <row r="1076" spans="1:3" x14ac:dyDescent="0.25">
      <c r="A1076" s="19" t="s">
        <v>3904</v>
      </c>
      <c r="C1076" s="5">
        <v>305835.59999999998</v>
      </c>
    </row>
    <row r="1077" spans="1:3" x14ac:dyDescent="0.25">
      <c r="A1077" s="18" t="s">
        <v>1139</v>
      </c>
      <c r="C1077" s="5">
        <v>1079330</v>
      </c>
    </row>
    <row r="1078" spans="1:3" x14ac:dyDescent="0.25">
      <c r="A1078" s="19" t="s">
        <v>1136</v>
      </c>
      <c r="C1078" s="5">
        <v>1079330</v>
      </c>
    </row>
    <row r="1079" spans="1:3" x14ac:dyDescent="0.25">
      <c r="A1079" s="18" t="s">
        <v>1161</v>
      </c>
      <c r="B1079">
        <v>2</v>
      </c>
      <c r="C1079" s="5">
        <v>10299385.74</v>
      </c>
    </row>
    <row r="1080" spans="1:3" x14ac:dyDescent="0.25">
      <c r="A1080" s="19" t="s">
        <v>1158</v>
      </c>
      <c r="B1080">
        <v>1</v>
      </c>
      <c r="C1080" s="5">
        <v>5694085.7400000002</v>
      </c>
    </row>
    <row r="1081" spans="1:3" x14ac:dyDescent="0.25">
      <c r="A1081" s="19" t="s">
        <v>3470</v>
      </c>
      <c r="B1081">
        <v>1</v>
      </c>
      <c r="C1081" s="5">
        <v>4605300</v>
      </c>
    </row>
    <row r="1082" spans="1:3" x14ac:dyDescent="0.25">
      <c r="A1082" s="18" t="s">
        <v>1176</v>
      </c>
      <c r="B1082">
        <v>1</v>
      </c>
      <c r="C1082" s="5">
        <v>715894.48</v>
      </c>
    </row>
    <row r="1083" spans="1:3" x14ac:dyDescent="0.25">
      <c r="A1083" s="19" t="s">
        <v>1173</v>
      </c>
      <c r="B1083">
        <v>1</v>
      </c>
      <c r="C1083" s="5">
        <v>715894.48</v>
      </c>
    </row>
    <row r="1084" spans="1:3" x14ac:dyDescent="0.25">
      <c r="A1084" s="18" t="s">
        <v>1189</v>
      </c>
      <c r="C1084" s="5">
        <v>95081</v>
      </c>
    </row>
    <row r="1085" spans="1:3" x14ac:dyDescent="0.25">
      <c r="A1085" s="19" t="s">
        <v>1186</v>
      </c>
      <c r="C1085" s="5">
        <v>95081</v>
      </c>
    </row>
    <row r="1086" spans="1:3" x14ac:dyDescent="0.25">
      <c r="A1086" s="18" t="s">
        <v>1195</v>
      </c>
      <c r="B1086">
        <v>1</v>
      </c>
      <c r="C1086" s="5">
        <v>39641.279999999999</v>
      </c>
    </row>
    <row r="1087" spans="1:3" x14ac:dyDescent="0.25">
      <c r="A1087" s="19" t="s">
        <v>1192</v>
      </c>
      <c r="B1087">
        <v>1</v>
      </c>
      <c r="C1087" s="5">
        <v>39641.279999999999</v>
      </c>
    </row>
    <row r="1088" spans="1:3" x14ac:dyDescent="0.25">
      <c r="A1088" s="18" t="s">
        <v>1200</v>
      </c>
      <c r="B1088">
        <v>1</v>
      </c>
      <c r="C1088" s="5">
        <v>111283.48</v>
      </c>
    </row>
    <row r="1089" spans="1:3" x14ac:dyDescent="0.25">
      <c r="A1089" s="19" t="s">
        <v>1197</v>
      </c>
      <c r="B1089">
        <v>1</v>
      </c>
      <c r="C1089" s="5">
        <v>111283.48</v>
      </c>
    </row>
    <row r="1090" spans="1:3" x14ac:dyDescent="0.25">
      <c r="A1090" s="18" t="s">
        <v>1205</v>
      </c>
      <c r="C1090" s="5">
        <v>3078782.47</v>
      </c>
    </row>
    <row r="1091" spans="1:3" x14ac:dyDescent="0.25">
      <c r="A1091" s="19" t="s">
        <v>1202</v>
      </c>
      <c r="C1091" s="5">
        <v>115906</v>
      </c>
    </row>
    <row r="1092" spans="1:3" x14ac:dyDescent="0.25">
      <c r="A1092" s="19" t="s">
        <v>1610</v>
      </c>
      <c r="C1092" s="5">
        <v>501061.59</v>
      </c>
    </row>
    <row r="1093" spans="1:3" x14ac:dyDescent="0.25">
      <c r="A1093" s="19" t="s">
        <v>2571</v>
      </c>
      <c r="C1093" s="5">
        <v>1448349</v>
      </c>
    </row>
    <row r="1094" spans="1:3" x14ac:dyDescent="0.25">
      <c r="A1094" s="19" t="s">
        <v>3849</v>
      </c>
      <c r="C1094" s="5">
        <v>1013465.88</v>
      </c>
    </row>
    <row r="1095" spans="1:3" x14ac:dyDescent="0.25">
      <c r="A1095" s="18" t="s">
        <v>1210</v>
      </c>
      <c r="B1095">
        <v>1</v>
      </c>
      <c r="C1095" s="5">
        <v>3258971</v>
      </c>
    </row>
    <row r="1096" spans="1:3" x14ac:dyDescent="0.25">
      <c r="A1096" s="19" t="s">
        <v>1207</v>
      </c>
      <c r="B1096">
        <v>1</v>
      </c>
      <c r="C1096" s="5">
        <v>3258971</v>
      </c>
    </row>
    <row r="1097" spans="1:3" x14ac:dyDescent="0.25">
      <c r="A1097" s="18" t="s">
        <v>1225</v>
      </c>
      <c r="B1097">
        <v>2</v>
      </c>
      <c r="C1097" s="5">
        <v>553269.35000000009</v>
      </c>
    </row>
    <row r="1098" spans="1:3" x14ac:dyDescent="0.25">
      <c r="A1098" s="19" t="s">
        <v>1221</v>
      </c>
      <c r="B1098">
        <v>1</v>
      </c>
      <c r="C1098" s="5">
        <v>343416.15</v>
      </c>
    </row>
    <row r="1099" spans="1:3" x14ac:dyDescent="0.25">
      <c r="A1099" s="19" t="s">
        <v>1227</v>
      </c>
      <c r="B1099">
        <v>1</v>
      </c>
      <c r="C1099" s="5">
        <v>209853.2</v>
      </c>
    </row>
    <row r="1100" spans="1:3" x14ac:dyDescent="0.25">
      <c r="A1100" s="18" t="s">
        <v>1233</v>
      </c>
      <c r="B1100">
        <v>1</v>
      </c>
      <c r="C1100" s="5">
        <v>7445235</v>
      </c>
    </row>
    <row r="1101" spans="1:3" x14ac:dyDescent="0.25">
      <c r="A1101" s="19" t="s">
        <v>1230</v>
      </c>
      <c r="B1101">
        <v>1</v>
      </c>
      <c r="C1101" s="5">
        <v>7445235</v>
      </c>
    </row>
    <row r="1102" spans="1:3" x14ac:dyDescent="0.25">
      <c r="A1102" s="18" t="s">
        <v>1238</v>
      </c>
      <c r="C1102" s="5">
        <v>1623755</v>
      </c>
    </row>
    <row r="1103" spans="1:3" x14ac:dyDescent="0.25">
      <c r="A1103" s="19" t="s">
        <v>1235</v>
      </c>
      <c r="C1103" s="5">
        <v>1623755</v>
      </c>
    </row>
    <row r="1104" spans="1:3" x14ac:dyDescent="0.25">
      <c r="A1104" s="18" t="s">
        <v>1251</v>
      </c>
      <c r="C1104" s="5">
        <v>10623491.76</v>
      </c>
    </row>
    <row r="1105" spans="1:3" x14ac:dyDescent="0.25">
      <c r="A1105" s="19" t="s">
        <v>1248</v>
      </c>
      <c r="C1105" s="5">
        <v>5311745.88</v>
      </c>
    </row>
    <row r="1106" spans="1:3" x14ac:dyDescent="0.25">
      <c r="A1106" s="19" t="s">
        <v>2459</v>
      </c>
      <c r="C1106" s="5">
        <v>5311745.88</v>
      </c>
    </row>
    <row r="1107" spans="1:3" x14ac:dyDescent="0.25">
      <c r="A1107" s="18" t="s">
        <v>1285</v>
      </c>
      <c r="C1107" s="5">
        <v>7099804.1799999997</v>
      </c>
    </row>
    <row r="1108" spans="1:3" x14ac:dyDescent="0.25">
      <c r="A1108" s="19" t="s">
        <v>1282</v>
      </c>
      <c r="C1108" s="5">
        <v>7099804.1799999997</v>
      </c>
    </row>
    <row r="1109" spans="1:3" x14ac:dyDescent="0.25">
      <c r="A1109" s="18" t="s">
        <v>1301</v>
      </c>
      <c r="C1109" s="5">
        <v>1690321.22</v>
      </c>
    </row>
    <row r="1110" spans="1:3" x14ac:dyDescent="0.25">
      <c r="A1110" s="19" t="s">
        <v>1298</v>
      </c>
      <c r="C1110" s="5">
        <v>1690321.22</v>
      </c>
    </row>
    <row r="1111" spans="1:3" x14ac:dyDescent="0.25">
      <c r="A1111" s="18" t="s">
        <v>1321</v>
      </c>
      <c r="B1111">
        <v>4</v>
      </c>
      <c r="C1111" s="5">
        <v>19565584.920000002</v>
      </c>
    </row>
    <row r="1112" spans="1:3" x14ac:dyDescent="0.25">
      <c r="A1112" s="19" t="s">
        <v>1318</v>
      </c>
      <c r="B1112">
        <v>1</v>
      </c>
      <c r="C1112" s="5">
        <v>117454.19</v>
      </c>
    </row>
    <row r="1113" spans="1:3" x14ac:dyDescent="0.25">
      <c r="A1113" s="19" t="s">
        <v>1323</v>
      </c>
      <c r="B1113">
        <v>1</v>
      </c>
      <c r="C1113" s="5">
        <v>294138.25</v>
      </c>
    </row>
    <row r="1114" spans="1:3" x14ac:dyDescent="0.25">
      <c r="A1114" s="19" t="s">
        <v>1326</v>
      </c>
      <c r="B1114">
        <v>1</v>
      </c>
      <c r="C1114" s="5">
        <v>473610.48</v>
      </c>
    </row>
    <row r="1115" spans="1:3" x14ac:dyDescent="0.25">
      <c r="A1115" s="19" t="s">
        <v>2501</v>
      </c>
      <c r="B1115">
        <v>1</v>
      </c>
      <c r="C1115" s="5">
        <v>18680382</v>
      </c>
    </row>
    <row r="1116" spans="1:3" x14ac:dyDescent="0.25">
      <c r="A1116" s="18" t="s">
        <v>1337</v>
      </c>
      <c r="C1116" s="5">
        <v>4475887.5</v>
      </c>
    </row>
    <row r="1117" spans="1:3" x14ac:dyDescent="0.25">
      <c r="A1117" s="19" t="s">
        <v>1334</v>
      </c>
      <c r="C1117" s="5">
        <v>4475887.5</v>
      </c>
    </row>
    <row r="1118" spans="1:3" x14ac:dyDescent="0.25">
      <c r="A1118" s="18" t="s">
        <v>1364</v>
      </c>
      <c r="C1118" s="5">
        <v>343433.54</v>
      </c>
    </row>
    <row r="1119" spans="1:3" x14ac:dyDescent="0.25">
      <c r="A1119" s="19" t="s">
        <v>1361</v>
      </c>
      <c r="C1119" s="5">
        <v>343433.54</v>
      </c>
    </row>
    <row r="1120" spans="1:3" x14ac:dyDescent="0.25">
      <c r="A1120" s="18" t="s">
        <v>1384</v>
      </c>
      <c r="C1120" s="5">
        <v>761600</v>
      </c>
    </row>
    <row r="1121" spans="1:3" x14ac:dyDescent="0.25">
      <c r="A1121" s="19" t="s">
        <v>1381</v>
      </c>
      <c r="C1121" s="5">
        <v>761600</v>
      </c>
    </row>
    <row r="1122" spans="1:3" x14ac:dyDescent="0.25">
      <c r="A1122" s="18" t="s">
        <v>1389</v>
      </c>
      <c r="B1122">
        <v>1</v>
      </c>
      <c r="C1122" s="5">
        <v>689248</v>
      </c>
    </row>
    <row r="1123" spans="1:3" x14ac:dyDescent="0.25">
      <c r="A1123" s="19" t="s">
        <v>1386</v>
      </c>
      <c r="B1123">
        <v>1</v>
      </c>
      <c r="C1123" s="5">
        <v>689248</v>
      </c>
    </row>
    <row r="1124" spans="1:3" x14ac:dyDescent="0.25">
      <c r="A1124" s="18" t="s">
        <v>1430</v>
      </c>
      <c r="C1124" s="5">
        <v>1785000</v>
      </c>
    </row>
    <row r="1125" spans="1:3" x14ac:dyDescent="0.25">
      <c r="A1125" s="19" t="s">
        <v>1427</v>
      </c>
      <c r="C1125" s="5">
        <v>499800</v>
      </c>
    </row>
    <row r="1126" spans="1:3" x14ac:dyDescent="0.25">
      <c r="A1126" s="19" t="s">
        <v>1868</v>
      </c>
      <c r="C1126" s="5">
        <v>1285200</v>
      </c>
    </row>
    <row r="1127" spans="1:3" x14ac:dyDescent="0.25">
      <c r="A1127" s="18" t="s">
        <v>1452</v>
      </c>
      <c r="B1127">
        <v>1</v>
      </c>
      <c r="C1127" s="5">
        <v>15301091.4</v>
      </c>
    </row>
    <row r="1128" spans="1:3" x14ac:dyDescent="0.25">
      <c r="A1128" s="19" t="s">
        <v>1449</v>
      </c>
      <c r="B1128">
        <v>1</v>
      </c>
      <c r="C1128" s="5">
        <v>15301091.4</v>
      </c>
    </row>
    <row r="1129" spans="1:3" x14ac:dyDescent="0.25">
      <c r="A1129" s="18" t="s">
        <v>1465</v>
      </c>
      <c r="C1129" s="5">
        <v>237762</v>
      </c>
    </row>
    <row r="1130" spans="1:3" x14ac:dyDescent="0.25">
      <c r="A1130" s="19" t="s">
        <v>1462</v>
      </c>
      <c r="C1130" s="5">
        <v>237762</v>
      </c>
    </row>
    <row r="1131" spans="1:3" x14ac:dyDescent="0.25">
      <c r="A1131" s="18" t="s">
        <v>1470</v>
      </c>
      <c r="B1131">
        <v>1</v>
      </c>
      <c r="C1131" s="5">
        <v>357000</v>
      </c>
    </row>
    <row r="1132" spans="1:3" x14ac:dyDescent="0.25">
      <c r="A1132" s="19" t="s">
        <v>1467</v>
      </c>
      <c r="B1132">
        <v>1</v>
      </c>
      <c r="C1132" s="5">
        <v>357000</v>
      </c>
    </row>
    <row r="1133" spans="1:3" x14ac:dyDescent="0.25">
      <c r="A1133" s="18" t="s">
        <v>1545</v>
      </c>
      <c r="B1133">
        <v>1</v>
      </c>
      <c r="C1133" s="5">
        <v>1356600</v>
      </c>
    </row>
    <row r="1134" spans="1:3" x14ac:dyDescent="0.25">
      <c r="A1134" s="19" t="s">
        <v>1542</v>
      </c>
      <c r="B1134">
        <v>1</v>
      </c>
      <c r="C1134" s="5">
        <v>1356600</v>
      </c>
    </row>
    <row r="1135" spans="1:3" x14ac:dyDescent="0.25">
      <c r="A1135" s="18" t="s">
        <v>1550</v>
      </c>
      <c r="B1135">
        <v>1</v>
      </c>
      <c r="C1135" s="5">
        <v>32844</v>
      </c>
    </row>
    <row r="1136" spans="1:3" x14ac:dyDescent="0.25">
      <c r="A1136" s="19" t="s">
        <v>1547</v>
      </c>
      <c r="B1136">
        <v>1</v>
      </c>
      <c r="C1136" s="5">
        <v>32844</v>
      </c>
    </row>
    <row r="1137" spans="1:3" x14ac:dyDescent="0.25">
      <c r="A1137" s="18" t="s">
        <v>1560</v>
      </c>
      <c r="B1137">
        <v>2</v>
      </c>
      <c r="C1137" s="5">
        <v>16865572.5</v>
      </c>
    </row>
    <row r="1138" spans="1:3" x14ac:dyDescent="0.25">
      <c r="A1138" s="19" t="s">
        <v>1557</v>
      </c>
      <c r="B1138">
        <v>1</v>
      </c>
      <c r="C1138" s="5">
        <v>14951160</v>
      </c>
    </row>
    <row r="1139" spans="1:3" x14ac:dyDescent="0.25">
      <c r="A1139" s="19" t="s">
        <v>2032</v>
      </c>
      <c r="B1139">
        <v>1</v>
      </c>
      <c r="C1139" s="5">
        <v>1914412.5</v>
      </c>
    </row>
    <row r="1140" spans="1:3" x14ac:dyDescent="0.25">
      <c r="A1140" s="18" t="s">
        <v>1565</v>
      </c>
      <c r="B1140">
        <v>1</v>
      </c>
      <c r="C1140" s="5">
        <v>175000</v>
      </c>
    </row>
    <row r="1141" spans="1:3" x14ac:dyDescent="0.25">
      <c r="A1141" s="19" t="s">
        <v>1562</v>
      </c>
      <c r="B1141">
        <v>1</v>
      </c>
      <c r="C1141" s="5">
        <v>175000</v>
      </c>
    </row>
    <row r="1142" spans="1:3" x14ac:dyDescent="0.25">
      <c r="A1142" s="18" t="s">
        <v>1602</v>
      </c>
      <c r="B1142">
        <v>1</v>
      </c>
      <c r="C1142" s="5">
        <v>679980.4</v>
      </c>
    </row>
    <row r="1143" spans="1:3" x14ac:dyDescent="0.25">
      <c r="A1143" s="19" t="s">
        <v>1599</v>
      </c>
      <c r="B1143">
        <v>1</v>
      </c>
      <c r="C1143" s="5">
        <v>679980.4</v>
      </c>
    </row>
    <row r="1144" spans="1:3" x14ac:dyDescent="0.25">
      <c r="A1144" s="18" t="s">
        <v>1617</v>
      </c>
      <c r="C1144" s="5">
        <v>4343559.5</v>
      </c>
    </row>
    <row r="1145" spans="1:3" x14ac:dyDescent="0.25">
      <c r="A1145" s="19" t="s">
        <v>1613</v>
      </c>
      <c r="C1145" s="5">
        <v>4343559.5</v>
      </c>
    </row>
    <row r="1146" spans="1:3" x14ac:dyDescent="0.25">
      <c r="A1146" s="18" t="s">
        <v>1640</v>
      </c>
      <c r="B1146">
        <v>1</v>
      </c>
      <c r="C1146" s="5">
        <v>4066300</v>
      </c>
    </row>
    <row r="1147" spans="1:3" x14ac:dyDescent="0.25">
      <c r="A1147" s="19" t="s">
        <v>1637</v>
      </c>
      <c r="B1147">
        <v>1</v>
      </c>
      <c r="C1147" s="5">
        <v>321300</v>
      </c>
    </row>
    <row r="1148" spans="1:3" x14ac:dyDescent="0.25">
      <c r="A1148" s="19" t="s">
        <v>3538</v>
      </c>
      <c r="C1148" s="5">
        <v>3210000</v>
      </c>
    </row>
    <row r="1149" spans="1:3" x14ac:dyDescent="0.25">
      <c r="A1149" s="19" t="s">
        <v>3554</v>
      </c>
      <c r="C1149" s="5">
        <v>535000</v>
      </c>
    </row>
    <row r="1150" spans="1:3" x14ac:dyDescent="0.25">
      <c r="A1150" s="18" t="s">
        <v>1648</v>
      </c>
      <c r="B1150">
        <v>1</v>
      </c>
      <c r="C1150" s="5">
        <v>6854400</v>
      </c>
    </row>
    <row r="1151" spans="1:3" x14ac:dyDescent="0.25">
      <c r="A1151" s="19" t="s">
        <v>1645</v>
      </c>
      <c r="B1151">
        <v>1</v>
      </c>
      <c r="C1151" s="5">
        <v>6854400</v>
      </c>
    </row>
    <row r="1152" spans="1:3" x14ac:dyDescent="0.25">
      <c r="A1152" s="18" t="s">
        <v>1671</v>
      </c>
      <c r="B1152">
        <v>2</v>
      </c>
      <c r="C1152" s="5">
        <v>23256408</v>
      </c>
    </row>
    <row r="1153" spans="1:3" x14ac:dyDescent="0.25">
      <c r="A1153" s="19" t="s">
        <v>1668</v>
      </c>
      <c r="C1153" s="5">
        <v>8751022</v>
      </c>
    </row>
    <row r="1154" spans="1:3" x14ac:dyDescent="0.25">
      <c r="A1154" s="19" t="s">
        <v>1673</v>
      </c>
      <c r="B1154">
        <v>1</v>
      </c>
      <c r="C1154" s="5">
        <v>1656361</v>
      </c>
    </row>
    <row r="1155" spans="1:3" x14ac:dyDescent="0.25">
      <c r="A1155" s="19" t="s">
        <v>2355</v>
      </c>
      <c r="B1155">
        <v>1</v>
      </c>
      <c r="C1155" s="5">
        <v>12137405</v>
      </c>
    </row>
    <row r="1156" spans="1:3" x14ac:dyDescent="0.25">
      <c r="A1156" s="19">
        <v>105157</v>
      </c>
      <c r="C1156" s="5">
        <v>711620</v>
      </c>
    </row>
    <row r="1157" spans="1:3" x14ac:dyDescent="0.25">
      <c r="A1157" s="18" t="s">
        <v>1680</v>
      </c>
      <c r="B1157">
        <v>1</v>
      </c>
      <c r="C1157" s="5">
        <v>1517059.6</v>
      </c>
    </row>
    <row r="1158" spans="1:3" x14ac:dyDescent="0.25">
      <c r="A1158" s="19" t="s">
        <v>1677</v>
      </c>
      <c r="B1158">
        <v>1</v>
      </c>
      <c r="C1158" s="5">
        <v>1517059.6</v>
      </c>
    </row>
    <row r="1159" spans="1:3" x14ac:dyDescent="0.25">
      <c r="A1159" s="18" t="s">
        <v>1724</v>
      </c>
      <c r="B1159">
        <v>1</v>
      </c>
      <c r="C1159" s="5">
        <v>1124550</v>
      </c>
    </row>
    <row r="1160" spans="1:3" x14ac:dyDescent="0.25">
      <c r="A1160" s="19" t="s">
        <v>1721</v>
      </c>
      <c r="B1160">
        <v>1</v>
      </c>
      <c r="C1160" s="5">
        <v>1124550</v>
      </c>
    </row>
    <row r="1161" spans="1:3" x14ac:dyDescent="0.25">
      <c r="A1161" s="18" t="s">
        <v>1732</v>
      </c>
      <c r="B1161">
        <v>2</v>
      </c>
      <c r="C1161" s="5">
        <v>15323699.02</v>
      </c>
    </row>
    <row r="1162" spans="1:3" x14ac:dyDescent="0.25">
      <c r="A1162" s="19" t="s">
        <v>1729</v>
      </c>
      <c r="B1162">
        <v>1</v>
      </c>
      <c r="C1162" s="5">
        <v>2082500</v>
      </c>
    </row>
    <row r="1163" spans="1:3" x14ac:dyDescent="0.25">
      <c r="A1163" s="19" t="s">
        <v>1985</v>
      </c>
      <c r="C1163" s="5">
        <v>3722389.02</v>
      </c>
    </row>
    <row r="1164" spans="1:3" x14ac:dyDescent="0.25">
      <c r="A1164" s="19" t="s">
        <v>2610</v>
      </c>
      <c r="B1164">
        <v>1</v>
      </c>
      <c r="C1164" s="5">
        <v>9518810</v>
      </c>
    </row>
    <row r="1165" spans="1:3" x14ac:dyDescent="0.25">
      <c r="A1165" s="18" t="s">
        <v>1742</v>
      </c>
      <c r="B1165">
        <v>1</v>
      </c>
      <c r="C1165" s="5">
        <v>18564000</v>
      </c>
    </row>
    <row r="1166" spans="1:3" x14ac:dyDescent="0.25">
      <c r="A1166" s="19" t="s">
        <v>1739</v>
      </c>
      <c r="B1166">
        <v>1</v>
      </c>
      <c r="C1166" s="5">
        <v>18564000</v>
      </c>
    </row>
    <row r="1167" spans="1:3" x14ac:dyDescent="0.25">
      <c r="A1167" s="18" t="s">
        <v>1747</v>
      </c>
      <c r="B1167">
        <v>1</v>
      </c>
      <c r="C1167" s="5">
        <v>904400</v>
      </c>
    </row>
    <row r="1168" spans="1:3" x14ac:dyDescent="0.25">
      <c r="A1168" s="19" t="s">
        <v>1744</v>
      </c>
      <c r="B1168">
        <v>1</v>
      </c>
      <c r="C1168" s="5">
        <v>904400</v>
      </c>
    </row>
    <row r="1169" spans="1:3" x14ac:dyDescent="0.25">
      <c r="A1169" s="18" t="s">
        <v>1755</v>
      </c>
      <c r="B1169">
        <v>2</v>
      </c>
      <c r="C1169" s="5">
        <v>3177300</v>
      </c>
    </row>
    <row r="1170" spans="1:3" x14ac:dyDescent="0.25">
      <c r="A1170" s="19" t="s">
        <v>1752</v>
      </c>
      <c r="B1170">
        <v>1</v>
      </c>
      <c r="C1170" s="5">
        <v>1588650</v>
      </c>
    </row>
    <row r="1171" spans="1:3" x14ac:dyDescent="0.25">
      <c r="A1171" s="19" t="s">
        <v>1757</v>
      </c>
      <c r="B1171">
        <v>1</v>
      </c>
      <c r="C1171" s="5">
        <v>1588650</v>
      </c>
    </row>
    <row r="1172" spans="1:3" x14ac:dyDescent="0.25">
      <c r="A1172" s="18" t="s">
        <v>1769</v>
      </c>
      <c r="B1172">
        <v>1</v>
      </c>
      <c r="C1172" s="5">
        <v>1408293.6</v>
      </c>
    </row>
    <row r="1173" spans="1:3" x14ac:dyDescent="0.25">
      <c r="A1173" s="19" t="s">
        <v>1766</v>
      </c>
      <c r="B1173">
        <v>1</v>
      </c>
      <c r="C1173" s="5">
        <v>1408293.6</v>
      </c>
    </row>
    <row r="1174" spans="1:3" x14ac:dyDescent="0.25">
      <c r="A1174" s="18" t="s">
        <v>1785</v>
      </c>
      <c r="C1174" s="5">
        <v>2337439.65</v>
      </c>
    </row>
    <row r="1175" spans="1:3" x14ac:dyDescent="0.25">
      <c r="A1175" s="19" t="s">
        <v>1782</v>
      </c>
      <c r="C1175" s="5">
        <v>2337439.65</v>
      </c>
    </row>
    <row r="1176" spans="1:3" x14ac:dyDescent="0.25">
      <c r="A1176" s="18" t="s">
        <v>1789</v>
      </c>
      <c r="C1176" s="5">
        <v>3120890.73</v>
      </c>
    </row>
    <row r="1177" spans="1:3" x14ac:dyDescent="0.25">
      <c r="A1177" s="19">
        <v>105021</v>
      </c>
      <c r="C1177" s="5">
        <v>3120890.73</v>
      </c>
    </row>
    <row r="1178" spans="1:3" x14ac:dyDescent="0.25">
      <c r="A1178" s="18" t="s">
        <v>1794</v>
      </c>
      <c r="B1178">
        <v>3</v>
      </c>
      <c r="C1178" s="5">
        <v>19199514.739999998</v>
      </c>
    </row>
    <row r="1179" spans="1:3" x14ac:dyDescent="0.25">
      <c r="A1179" s="19" t="s">
        <v>1791</v>
      </c>
      <c r="B1179">
        <v>1</v>
      </c>
      <c r="C1179" s="5">
        <v>6611111.6399999997</v>
      </c>
    </row>
    <row r="1180" spans="1:3" x14ac:dyDescent="0.25">
      <c r="A1180" s="19" t="s">
        <v>1796</v>
      </c>
      <c r="B1180">
        <v>1</v>
      </c>
      <c r="C1180" s="5">
        <v>6611111.6399999997</v>
      </c>
    </row>
    <row r="1181" spans="1:3" x14ac:dyDescent="0.25">
      <c r="A1181" s="19" t="s">
        <v>1820</v>
      </c>
      <c r="B1181">
        <v>1</v>
      </c>
      <c r="C1181" s="5">
        <v>5977291.46</v>
      </c>
    </row>
    <row r="1182" spans="1:3" x14ac:dyDescent="0.25">
      <c r="A1182" s="18" t="s">
        <v>1818</v>
      </c>
      <c r="B1182">
        <v>1</v>
      </c>
      <c r="C1182" s="5">
        <v>2434809.02</v>
      </c>
    </row>
    <row r="1183" spans="1:3" x14ac:dyDescent="0.25">
      <c r="A1183" s="19" t="s">
        <v>1815</v>
      </c>
      <c r="B1183">
        <v>1</v>
      </c>
      <c r="C1183" s="5">
        <v>2434809.02</v>
      </c>
    </row>
    <row r="1184" spans="1:3" x14ac:dyDescent="0.25">
      <c r="A1184" s="18" t="s">
        <v>1826</v>
      </c>
      <c r="B1184">
        <v>1</v>
      </c>
      <c r="C1184" s="5">
        <v>364140</v>
      </c>
    </row>
    <row r="1185" spans="1:3" x14ac:dyDescent="0.25">
      <c r="A1185" s="19" t="s">
        <v>1823</v>
      </c>
      <c r="B1185">
        <v>1</v>
      </c>
      <c r="C1185" s="5">
        <v>364140</v>
      </c>
    </row>
    <row r="1186" spans="1:3" x14ac:dyDescent="0.25">
      <c r="A1186" s="18" t="s">
        <v>1847</v>
      </c>
      <c r="B1186">
        <v>1</v>
      </c>
      <c r="C1186" s="5">
        <v>22066170</v>
      </c>
    </row>
    <row r="1187" spans="1:3" x14ac:dyDescent="0.25">
      <c r="A1187" s="19" t="s">
        <v>1844</v>
      </c>
      <c r="B1187">
        <v>1</v>
      </c>
      <c r="C1187" s="5">
        <v>22066170</v>
      </c>
    </row>
    <row r="1188" spans="1:3" x14ac:dyDescent="0.25">
      <c r="A1188" s="18" t="s">
        <v>1857</v>
      </c>
      <c r="B1188">
        <v>1</v>
      </c>
      <c r="C1188" s="5">
        <v>34347251.530000001</v>
      </c>
    </row>
    <row r="1189" spans="1:3" x14ac:dyDescent="0.25">
      <c r="A1189" s="19" t="s">
        <v>1854</v>
      </c>
      <c r="C1189" s="5">
        <v>13276258.800000001</v>
      </c>
    </row>
    <row r="1190" spans="1:3" x14ac:dyDescent="0.25">
      <c r="A1190" s="19" t="s">
        <v>2136</v>
      </c>
      <c r="C1190" s="5">
        <v>6234172</v>
      </c>
    </row>
    <row r="1191" spans="1:3" x14ac:dyDescent="0.25">
      <c r="A1191" s="19" t="s">
        <v>4037</v>
      </c>
      <c r="C1191" s="5">
        <v>13955685.23</v>
      </c>
    </row>
    <row r="1192" spans="1:3" x14ac:dyDescent="0.25">
      <c r="A1192" s="19" t="s">
        <v>4097</v>
      </c>
      <c r="B1192">
        <v>1</v>
      </c>
      <c r="C1192" s="5">
        <v>881135.5</v>
      </c>
    </row>
    <row r="1193" spans="1:3" x14ac:dyDescent="0.25">
      <c r="A1193" s="18" t="s">
        <v>1874</v>
      </c>
      <c r="B1193">
        <v>4</v>
      </c>
      <c r="C1193" s="5">
        <v>42674718.460000001</v>
      </c>
    </row>
    <row r="1194" spans="1:3" x14ac:dyDescent="0.25">
      <c r="A1194" s="19" t="s">
        <v>1871</v>
      </c>
      <c r="B1194">
        <v>1</v>
      </c>
      <c r="C1194" s="5">
        <v>6527047.8700000001</v>
      </c>
    </row>
    <row r="1195" spans="1:3" x14ac:dyDescent="0.25">
      <c r="A1195" s="19" t="s">
        <v>1876</v>
      </c>
      <c r="B1195">
        <v>1</v>
      </c>
      <c r="C1195" s="5">
        <v>5471398.6600000001</v>
      </c>
    </row>
    <row r="1196" spans="1:3" x14ac:dyDescent="0.25">
      <c r="A1196" s="19" t="s">
        <v>1879</v>
      </c>
      <c r="C1196" s="5">
        <v>20495312.579999998</v>
      </c>
    </row>
    <row r="1197" spans="1:3" x14ac:dyDescent="0.25">
      <c r="A1197" s="19" t="s">
        <v>1996</v>
      </c>
      <c r="B1197">
        <v>1</v>
      </c>
      <c r="C1197" s="5">
        <v>2014311.88</v>
      </c>
    </row>
    <row r="1198" spans="1:3" x14ac:dyDescent="0.25">
      <c r="A1198" s="19" t="s">
        <v>1999</v>
      </c>
      <c r="B1198">
        <v>1</v>
      </c>
      <c r="C1198" s="5">
        <v>8166647.4699999997</v>
      </c>
    </row>
    <row r="1199" spans="1:3" x14ac:dyDescent="0.25">
      <c r="A1199" s="18" t="s">
        <v>1890</v>
      </c>
      <c r="C1199" s="5">
        <v>5109270.95</v>
      </c>
    </row>
    <row r="1200" spans="1:3" x14ac:dyDescent="0.25">
      <c r="A1200" s="19" t="s">
        <v>1887</v>
      </c>
      <c r="C1200" s="5">
        <v>5109270.95</v>
      </c>
    </row>
    <row r="1201" spans="1:3" x14ac:dyDescent="0.25">
      <c r="A1201" s="18" t="s">
        <v>1920</v>
      </c>
      <c r="B1201">
        <v>1</v>
      </c>
      <c r="C1201" s="5">
        <v>3370903.48</v>
      </c>
    </row>
    <row r="1202" spans="1:3" x14ac:dyDescent="0.25">
      <c r="A1202" s="19" t="s">
        <v>1917</v>
      </c>
      <c r="B1202">
        <v>1</v>
      </c>
      <c r="C1202" s="5">
        <v>3370903.48</v>
      </c>
    </row>
    <row r="1203" spans="1:3" x14ac:dyDescent="0.25">
      <c r="A1203" s="18" t="s">
        <v>1925</v>
      </c>
      <c r="C1203" s="5">
        <v>2180784.48</v>
      </c>
    </row>
    <row r="1204" spans="1:3" x14ac:dyDescent="0.25">
      <c r="A1204" s="19" t="s">
        <v>1922</v>
      </c>
      <c r="C1204" s="5">
        <v>1852344.48</v>
      </c>
    </row>
    <row r="1205" spans="1:3" x14ac:dyDescent="0.25">
      <c r="A1205" s="19" t="s">
        <v>4259</v>
      </c>
      <c r="C1205" s="5">
        <v>328440</v>
      </c>
    </row>
    <row r="1206" spans="1:3" x14ac:dyDescent="0.25">
      <c r="A1206" s="18" t="s">
        <v>1930</v>
      </c>
      <c r="B1206">
        <v>1</v>
      </c>
      <c r="C1206" s="5">
        <v>175126.35</v>
      </c>
    </row>
    <row r="1207" spans="1:3" x14ac:dyDescent="0.25">
      <c r="A1207" s="19" t="s">
        <v>1927</v>
      </c>
      <c r="B1207">
        <v>1</v>
      </c>
      <c r="C1207" s="5">
        <v>87465</v>
      </c>
    </row>
    <row r="1208" spans="1:3" x14ac:dyDescent="0.25">
      <c r="A1208" s="19" t="s">
        <v>3585</v>
      </c>
      <c r="C1208" s="5">
        <v>87661.35</v>
      </c>
    </row>
    <row r="1209" spans="1:3" x14ac:dyDescent="0.25">
      <c r="A1209" s="18" t="s">
        <v>1940</v>
      </c>
      <c r="B1209">
        <v>1</v>
      </c>
      <c r="C1209" s="5">
        <v>303450</v>
      </c>
    </row>
    <row r="1210" spans="1:3" x14ac:dyDescent="0.25">
      <c r="A1210" s="19" t="s">
        <v>1937</v>
      </c>
      <c r="B1210">
        <v>1</v>
      </c>
      <c r="C1210" s="5">
        <v>303450</v>
      </c>
    </row>
    <row r="1211" spans="1:3" x14ac:dyDescent="0.25">
      <c r="A1211" s="18" t="s">
        <v>1957</v>
      </c>
      <c r="B1211">
        <v>1</v>
      </c>
      <c r="C1211" s="5">
        <v>2856000</v>
      </c>
    </row>
    <row r="1212" spans="1:3" x14ac:dyDescent="0.25">
      <c r="A1212" s="19" t="s">
        <v>1954</v>
      </c>
      <c r="B1212">
        <v>1</v>
      </c>
      <c r="C1212" s="5">
        <v>2856000</v>
      </c>
    </row>
    <row r="1213" spans="1:3" x14ac:dyDescent="0.25">
      <c r="A1213" s="18" t="s">
        <v>1991</v>
      </c>
      <c r="C1213" s="5">
        <v>9418160.4600000009</v>
      </c>
    </row>
    <row r="1214" spans="1:3" x14ac:dyDescent="0.25">
      <c r="A1214" s="19" t="s">
        <v>1988</v>
      </c>
      <c r="C1214" s="5">
        <v>9418160.4600000009</v>
      </c>
    </row>
    <row r="1215" spans="1:3" x14ac:dyDescent="0.25">
      <c r="A1215" s="18" t="s">
        <v>2058</v>
      </c>
      <c r="C1215" s="5">
        <v>2457350</v>
      </c>
    </row>
    <row r="1216" spans="1:3" x14ac:dyDescent="0.25">
      <c r="A1216" s="19" t="s">
        <v>2055</v>
      </c>
      <c r="C1216" s="5">
        <v>1731450</v>
      </c>
    </row>
    <row r="1217" spans="1:3" x14ac:dyDescent="0.25">
      <c r="A1217" s="19" t="s">
        <v>2511</v>
      </c>
      <c r="C1217" s="5">
        <v>362950</v>
      </c>
    </row>
    <row r="1218" spans="1:3" x14ac:dyDescent="0.25">
      <c r="A1218" s="19" t="s">
        <v>3697</v>
      </c>
      <c r="C1218" s="5">
        <v>362950</v>
      </c>
    </row>
    <row r="1219" spans="1:3" x14ac:dyDescent="0.25">
      <c r="A1219" s="18" t="s">
        <v>2063</v>
      </c>
      <c r="C1219" s="5">
        <v>831249.51</v>
      </c>
    </row>
    <row r="1220" spans="1:3" x14ac:dyDescent="0.25">
      <c r="A1220" s="19" t="s">
        <v>2060</v>
      </c>
      <c r="C1220" s="5">
        <v>831249.51</v>
      </c>
    </row>
    <row r="1221" spans="1:3" x14ac:dyDescent="0.25">
      <c r="A1221" s="18" t="s">
        <v>2071</v>
      </c>
      <c r="B1221">
        <v>1</v>
      </c>
      <c r="C1221" s="5">
        <v>7621950</v>
      </c>
    </row>
    <row r="1222" spans="1:3" x14ac:dyDescent="0.25">
      <c r="A1222" s="19" t="s">
        <v>2068</v>
      </c>
      <c r="B1222">
        <v>1</v>
      </c>
      <c r="C1222" s="5">
        <v>7621950</v>
      </c>
    </row>
    <row r="1223" spans="1:3" x14ac:dyDescent="0.25">
      <c r="A1223" s="18" t="s">
        <v>2080</v>
      </c>
      <c r="C1223" s="5">
        <v>392938</v>
      </c>
    </row>
    <row r="1224" spans="1:3" x14ac:dyDescent="0.25">
      <c r="A1224" s="19" t="s">
        <v>2077</v>
      </c>
      <c r="C1224" s="5">
        <v>392938</v>
      </c>
    </row>
    <row r="1225" spans="1:3" x14ac:dyDescent="0.25">
      <c r="A1225" s="18" t="s">
        <v>2085</v>
      </c>
      <c r="B1225">
        <v>1</v>
      </c>
      <c r="C1225" s="5">
        <v>3183547.5</v>
      </c>
    </row>
    <row r="1226" spans="1:3" x14ac:dyDescent="0.25">
      <c r="A1226" s="19" t="s">
        <v>2082</v>
      </c>
      <c r="B1226">
        <v>1</v>
      </c>
      <c r="C1226" s="5">
        <v>3183547.5</v>
      </c>
    </row>
    <row r="1227" spans="1:3" x14ac:dyDescent="0.25">
      <c r="A1227" s="18" t="s">
        <v>2101</v>
      </c>
      <c r="C1227" s="5">
        <v>322490</v>
      </c>
    </row>
    <row r="1228" spans="1:3" x14ac:dyDescent="0.25">
      <c r="A1228" s="19" t="s">
        <v>2098</v>
      </c>
      <c r="C1228" s="5">
        <v>322490</v>
      </c>
    </row>
    <row r="1229" spans="1:3" x14ac:dyDescent="0.25">
      <c r="A1229" s="18" t="s">
        <v>2111</v>
      </c>
      <c r="C1229" s="5">
        <v>4998000</v>
      </c>
    </row>
    <row r="1230" spans="1:3" x14ac:dyDescent="0.25">
      <c r="A1230" s="19" t="s">
        <v>2108</v>
      </c>
      <c r="C1230" s="5">
        <v>4998000</v>
      </c>
    </row>
    <row r="1231" spans="1:3" x14ac:dyDescent="0.25">
      <c r="A1231" s="18" t="s">
        <v>2116</v>
      </c>
      <c r="C1231" s="5">
        <v>2007902.47</v>
      </c>
    </row>
    <row r="1232" spans="1:3" x14ac:dyDescent="0.25">
      <c r="A1232" s="19" t="s">
        <v>2113</v>
      </c>
      <c r="C1232" s="5">
        <v>997461.57</v>
      </c>
    </row>
    <row r="1233" spans="1:3" x14ac:dyDescent="0.25">
      <c r="A1233" s="19" t="s">
        <v>2118</v>
      </c>
      <c r="C1233" s="5">
        <v>1010440.9</v>
      </c>
    </row>
    <row r="1234" spans="1:3" x14ac:dyDescent="0.25">
      <c r="A1234" s="18" t="s">
        <v>2134</v>
      </c>
      <c r="C1234" s="5">
        <v>238000</v>
      </c>
    </row>
    <row r="1235" spans="1:3" x14ac:dyDescent="0.25">
      <c r="A1235" s="19" t="s">
        <v>2131</v>
      </c>
      <c r="C1235" s="5">
        <v>238000</v>
      </c>
    </row>
    <row r="1236" spans="1:3" x14ac:dyDescent="0.25">
      <c r="A1236" s="18" t="s">
        <v>2147</v>
      </c>
      <c r="B1236">
        <v>2</v>
      </c>
      <c r="C1236" s="5">
        <v>13012421.52</v>
      </c>
    </row>
    <row r="1237" spans="1:3" x14ac:dyDescent="0.25">
      <c r="A1237" s="19" t="s">
        <v>2144</v>
      </c>
      <c r="B1237">
        <v>1</v>
      </c>
      <c r="C1237" s="5">
        <v>7287169.6799999997</v>
      </c>
    </row>
    <row r="1238" spans="1:3" x14ac:dyDescent="0.25">
      <c r="A1238" s="19" t="s">
        <v>2154</v>
      </c>
      <c r="B1238">
        <v>1</v>
      </c>
      <c r="C1238" s="5">
        <v>5725251.8399999999</v>
      </c>
    </row>
    <row r="1239" spans="1:3" x14ac:dyDescent="0.25">
      <c r="A1239" s="18" t="s">
        <v>2163</v>
      </c>
      <c r="B1239">
        <v>2</v>
      </c>
      <c r="C1239" s="5">
        <v>315945</v>
      </c>
    </row>
    <row r="1240" spans="1:3" x14ac:dyDescent="0.25">
      <c r="A1240" s="19" t="s">
        <v>2160</v>
      </c>
      <c r="B1240">
        <v>1</v>
      </c>
      <c r="C1240" s="5">
        <v>210630</v>
      </c>
    </row>
    <row r="1241" spans="1:3" x14ac:dyDescent="0.25">
      <c r="A1241" s="19" t="s">
        <v>2953</v>
      </c>
      <c r="B1241">
        <v>1</v>
      </c>
      <c r="C1241" s="5">
        <v>105315</v>
      </c>
    </row>
    <row r="1242" spans="1:3" x14ac:dyDescent="0.25">
      <c r="A1242" s="18" t="s">
        <v>2168</v>
      </c>
      <c r="C1242" s="5">
        <v>65381325.100000001</v>
      </c>
    </row>
    <row r="1243" spans="1:3" x14ac:dyDescent="0.25">
      <c r="A1243" s="19" t="s">
        <v>2165</v>
      </c>
      <c r="C1243" s="5">
        <v>65381325.100000001</v>
      </c>
    </row>
    <row r="1244" spans="1:3" x14ac:dyDescent="0.25">
      <c r="A1244" s="18" t="s">
        <v>2173</v>
      </c>
      <c r="B1244">
        <v>1</v>
      </c>
      <c r="C1244" s="5">
        <v>1423240</v>
      </c>
    </row>
    <row r="1245" spans="1:3" x14ac:dyDescent="0.25">
      <c r="A1245" s="19" t="s">
        <v>2170</v>
      </c>
      <c r="B1245">
        <v>1</v>
      </c>
      <c r="C1245" s="5">
        <v>1423240</v>
      </c>
    </row>
    <row r="1246" spans="1:3" x14ac:dyDescent="0.25">
      <c r="A1246" s="18" t="s">
        <v>2183</v>
      </c>
      <c r="B1246">
        <v>1</v>
      </c>
      <c r="C1246" s="5">
        <v>603925</v>
      </c>
    </row>
    <row r="1247" spans="1:3" x14ac:dyDescent="0.25">
      <c r="A1247" s="19" t="s">
        <v>2180</v>
      </c>
      <c r="B1247">
        <v>1</v>
      </c>
      <c r="C1247" s="5">
        <v>603925</v>
      </c>
    </row>
    <row r="1248" spans="1:3" x14ac:dyDescent="0.25">
      <c r="A1248" s="18" t="s">
        <v>2189</v>
      </c>
      <c r="B1248">
        <v>1</v>
      </c>
      <c r="C1248" s="5">
        <v>4539850</v>
      </c>
    </row>
    <row r="1249" spans="1:3" x14ac:dyDescent="0.25">
      <c r="A1249" s="19" t="s">
        <v>2186</v>
      </c>
      <c r="B1249">
        <v>1</v>
      </c>
      <c r="C1249" s="5">
        <v>4539850</v>
      </c>
    </row>
    <row r="1250" spans="1:3" x14ac:dyDescent="0.25">
      <c r="A1250" s="18" t="s">
        <v>2204</v>
      </c>
      <c r="B1250">
        <v>1</v>
      </c>
      <c r="C1250" s="5">
        <v>523481</v>
      </c>
    </row>
    <row r="1251" spans="1:3" x14ac:dyDescent="0.25">
      <c r="A1251" s="19" t="s">
        <v>2201</v>
      </c>
      <c r="B1251">
        <v>1</v>
      </c>
      <c r="C1251" s="5">
        <v>523481</v>
      </c>
    </row>
    <row r="1252" spans="1:3" x14ac:dyDescent="0.25">
      <c r="A1252" s="18" t="s">
        <v>2209</v>
      </c>
      <c r="C1252" s="5">
        <v>737151.8</v>
      </c>
    </row>
    <row r="1253" spans="1:3" x14ac:dyDescent="0.25">
      <c r="A1253" s="19" t="s">
        <v>2206</v>
      </c>
      <c r="C1253" s="5">
        <v>737151.8</v>
      </c>
    </row>
    <row r="1254" spans="1:3" x14ac:dyDescent="0.25">
      <c r="A1254" s="18" t="s">
        <v>2220</v>
      </c>
      <c r="B1254">
        <v>1</v>
      </c>
      <c r="C1254" s="5">
        <v>535500</v>
      </c>
    </row>
    <row r="1255" spans="1:3" x14ac:dyDescent="0.25">
      <c r="A1255" s="19" t="s">
        <v>2217</v>
      </c>
      <c r="B1255">
        <v>1</v>
      </c>
      <c r="C1255" s="5">
        <v>535500</v>
      </c>
    </row>
    <row r="1256" spans="1:3" x14ac:dyDescent="0.25">
      <c r="A1256" s="18" t="s">
        <v>2230</v>
      </c>
      <c r="B1256">
        <v>1</v>
      </c>
      <c r="C1256" s="5">
        <v>2380000</v>
      </c>
    </row>
    <row r="1257" spans="1:3" x14ac:dyDescent="0.25">
      <c r="A1257" s="19" t="s">
        <v>2227</v>
      </c>
      <c r="B1257">
        <v>1</v>
      </c>
      <c r="C1257" s="5">
        <v>2380000</v>
      </c>
    </row>
    <row r="1258" spans="1:3" x14ac:dyDescent="0.25">
      <c r="A1258" s="18" t="s">
        <v>2238</v>
      </c>
      <c r="C1258" s="5">
        <v>3213000</v>
      </c>
    </row>
    <row r="1259" spans="1:3" x14ac:dyDescent="0.25">
      <c r="A1259" s="19" t="s">
        <v>2235</v>
      </c>
      <c r="C1259" s="5">
        <v>3213000</v>
      </c>
    </row>
    <row r="1260" spans="1:3" x14ac:dyDescent="0.25">
      <c r="A1260" s="18" t="s">
        <v>2277</v>
      </c>
      <c r="B1260">
        <v>1</v>
      </c>
      <c r="C1260" s="5">
        <v>523600</v>
      </c>
    </row>
    <row r="1261" spans="1:3" x14ac:dyDescent="0.25">
      <c r="A1261" s="19" t="s">
        <v>2274</v>
      </c>
      <c r="B1261">
        <v>1</v>
      </c>
      <c r="C1261" s="5">
        <v>523600</v>
      </c>
    </row>
    <row r="1262" spans="1:3" x14ac:dyDescent="0.25">
      <c r="A1262" s="18" t="s">
        <v>2296</v>
      </c>
      <c r="B1262">
        <v>2</v>
      </c>
      <c r="C1262" s="5">
        <v>1094058.6299999999</v>
      </c>
    </row>
    <row r="1263" spans="1:3" x14ac:dyDescent="0.25">
      <c r="A1263" s="19" t="s">
        <v>2293</v>
      </c>
      <c r="B1263">
        <v>1</v>
      </c>
      <c r="C1263" s="5">
        <v>377678.63</v>
      </c>
    </row>
    <row r="1264" spans="1:3" x14ac:dyDescent="0.25">
      <c r="A1264" s="19" t="s">
        <v>4020</v>
      </c>
      <c r="B1264">
        <v>1</v>
      </c>
      <c r="C1264" s="5">
        <v>716380</v>
      </c>
    </row>
    <row r="1265" spans="1:3" x14ac:dyDescent="0.25">
      <c r="A1265" s="18" t="s">
        <v>2309</v>
      </c>
      <c r="B1265">
        <v>1</v>
      </c>
      <c r="C1265" s="5">
        <v>1071000</v>
      </c>
    </row>
    <row r="1266" spans="1:3" x14ac:dyDescent="0.25">
      <c r="A1266" s="19" t="s">
        <v>2306</v>
      </c>
      <c r="B1266">
        <v>1</v>
      </c>
      <c r="C1266" s="5">
        <v>1071000</v>
      </c>
    </row>
    <row r="1267" spans="1:3" x14ac:dyDescent="0.25">
      <c r="A1267" s="18" t="s">
        <v>2314</v>
      </c>
      <c r="B1267">
        <v>1</v>
      </c>
      <c r="C1267" s="5">
        <v>368900</v>
      </c>
    </row>
    <row r="1268" spans="1:3" x14ac:dyDescent="0.25">
      <c r="A1268" s="19" t="s">
        <v>2311</v>
      </c>
      <c r="B1268">
        <v>1</v>
      </c>
      <c r="C1268" s="5">
        <v>368900</v>
      </c>
    </row>
    <row r="1269" spans="1:3" x14ac:dyDescent="0.25">
      <c r="A1269" s="18" t="s">
        <v>2319</v>
      </c>
      <c r="B1269">
        <v>1</v>
      </c>
      <c r="C1269" s="5">
        <v>6104700</v>
      </c>
    </row>
    <row r="1270" spans="1:3" x14ac:dyDescent="0.25">
      <c r="A1270" s="19" t="s">
        <v>2316</v>
      </c>
      <c r="B1270">
        <v>1</v>
      </c>
      <c r="C1270" s="5">
        <v>6104700</v>
      </c>
    </row>
    <row r="1271" spans="1:3" x14ac:dyDescent="0.25">
      <c r="A1271" s="18" t="s">
        <v>2327</v>
      </c>
      <c r="B1271">
        <v>1</v>
      </c>
      <c r="C1271" s="5">
        <v>57762.6</v>
      </c>
    </row>
    <row r="1272" spans="1:3" x14ac:dyDescent="0.25">
      <c r="A1272" s="19" t="s">
        <v>2324</v>
      </c>
      <c r="B1272">
        <v>1</v>
      </c>
      <c r="C1272" s="5">
        <v>57762.6</v>
      </c>
    </row>
    <row r="1273" spans="1:3" x14ac:dyDescent="0.25">
      <c r="A1273" s="18" t="s">
        <v>2332</v>
      </c>
      <c r="B1273">
        <v>1</v>
      </c>
      <c r="C1273" s="5">
        <v>55311.199999999997</v>
      </c>
    </row>
    <row r="1274" spans="1:3" x14ac:dyDescent="0.25">
      <c r="A1274" s="19" t="s">
        <v>2329</v>
      </c>
      <c r="B1274">
        <v>1</v>
      </c>
      <c r="C1274" s="5">
        <v>55311.199999999997</v>
      </c>
    </row>
    <row r="1275" spans="1:3" x14ac:dyDescent="0.25">
      <c r="A1275" s="18" t="s">
        <v>2337</v>
      </c>
      <c r="B1275">
        <v>1</v>
      </c>
      <c r="C1275" s="5">
        <v>95128.6</v>
      </c>
    </row>
    <row r="1276" spans="1:3" x14ac:dyDescent="0.25">
      <c r="A1276" s="19" t="s">
        <v>2334</v>
      </c>
      <c r="B1276">
        <v>1</v>
      </c>
      <c r="C1276" s="5">
        <v>95128.6</v>
      </c>
    </row>
    <row r="1277" spans="1:3" x14ac:dyDescent="0.25">
      <c r="A1277" s="18" t="s">
        <v>2342</v>
      </c>
      <c r="B1277">
        <v>1</v>
      </c>
      <c r="C1277" s="5">
        <v>54029094</v>
      </c>
    </row>
    <row r="1278" spans="1:3" x14ac:dyDescent="0.25">
      <c r="A1278" s="19" t="s">
        <v>2339</v>
      </c>
      <c r="B1278">
        <v>1</v>
      </c>
      <c r="C1278" s="5">
        <v>54029094</v>
      </c>
    </row>
    <row r="1279" spans="1:3" x14ac:dyDescent="0.25">
      <c r="A1279" s="18" t="s">
        <v>2351</v>
      </c>
      <c r="C1279" s="5">
        <v>6658050</v>
      </c>
    </row>
    <row r="1280" spans="1:3" x14ac:dyDescent="0.25">
      <c r="A1280" s="19" t="s">
        <v>2348</v>
      </c>
      <c r="C1280" s="5">
        <v>3604510</v>
      </c>
    </row>
    <row r="1281" spans="1:3" x14ac:dyDescent="0.25">
      <c r="A1281" s="19" t="s">
        <v>2498</v>
      </c>
      <c r="C1281" s="5">
        <v>3053540</v>
      </c>
    </row>
    <row r="1282" spans="1:3" x14ac:dyDescent="0.25">
      <c r="A1282" s="18" t="s">
        <v>2361</v>
      </c>
      <c r="C1282" s="5">
        <v>878770</v>
      </c>
    </row>
    <row r="1283" spans="1:3" x14ac:dyDescent="0.25">
      <c r="A1283" s="19" t="s">
        <v>2358</v>
      </c>
      <c r="C1283" s="5">
        <v>700270</v>
      </c>
    </row>
    <row r="1284" spans="1:3" x14ac:dyDescent="0.25">
      <c r="A1284" s="19" t="s">
        <v>3288</v>
      </c>
      <c r="C1284" s="5">
        <v>178500</v>
      </c>
    </row>
    <row r="1285" spans="1:3" x14ac:dyDescent="0.25">
      <c r="A1285" s="18" t="s">
        <v>2392</v>
      </c>
      <c r="C1285" s="5">
        <v>8187200</v>
      </c>
    </row>
    <row r="1286" spans="1:3" x14ac:dyDescent="0.25">
      <c r="A1286" s="19" t="s">
        <v>2389</v>
      </c>
      <c r="C1286" s="5">
        <v>8187200</v>
      </c>
    </row>
    <row r="1287" spans="1:3" x14ac:dyDescent="0.25">
      <c r="A1287" s="18" t="s">
        <v>2405</v>
      </c>
      <c r="C1287" s="5">
        <v>386750</v>
      </c>
    </row>
    <row r="1288" spans="1:3" x14ac:dyDescent="0.25">
      <c r="A1288" s="19" t="s">
        <v>2402</v>
      </c>
      <c r="C1288" s="5">
        <v>386750</v>
      </c>
    </row>
    <row r="1289" spans="1:3" x14ac:dyDescent="0.25">
      <c r="A1289" s="18" t="s">
        <v>2410</v>
      </c>
      <c r="B1289">
        <v>1</v>
      </c>
      <c r="C1289" s="5">
        <v>9758000</v>
      </c>
    </row>
    <row r="1290" spans="1:3" x14ac:dyDescent="0.25">
      <c r="A1290" s="19" t="s">
        <v>2407</v>
      </c>
      <c r="B1290">
        <v>1</v>
      </c>
      <c r="C1290" s="5">
        <v>9758000</v>
      </c>
    </row>
    <row r="1291" spans="1:3" x14ac:dyDescent="0.25">
      <c r="A1291" s="18" t="s">
        <v>2418</v>
      </c>
      <c r="B1291">
        <v>2</v>
      </c>
      <c r="C1291" s="5">
        <v>16439003.01</v>
      </c>
    </row>
    <row r="1292" spans="1:3" x14ac:dyDescent="0.25">
      <c r="A1292" s="19" t="s">
        <v>2415</v>
      </c>
      <c r="B1292">
        <v>1</v>
      </c>
      <c r="C1292" s="5">
        <v>5479667.6699999999</v>
      </c>
    </row>
    <row r="1293" spans="1:3" x14ac:dyDescent="0.25">
      <c r="A1293" s="19" t="s">
        <v>2420</v>
      </c>
      <c r="B1293">
        <v>1</v>
      </c>
      <c r="C1293" s="5">
        <v>5479667.6699999999</v>
      </c>
    </row>
    <row r="1294" spans="1:3" x14ac:dyDescent="0.25">
      <c r="A1294" s="19" t="s">
        <v>3337</v>
      </c>
      <c r="C1294" s="5">
        <v>5479667.6699999999</v>
      </c>
    </row>
    <row r="1295" spans="1:3" x14ac:dyDescent="0.25">
      <c r="A1295" s="18" t="s">
        <v>2426</v>
      </c>
      <c r="B1295">
        <v>1</v>
      </c>
      <c r="C1295" s="5">
        <v>5198776.2</v>
      </c>
    </row>
    <row r="1296" spans="1:3" x14ac:dyDescent="0.25">
      <c r="A1296" s="19" t="s">
        <v>2423</v>
      </c>
      <c r="B1296">
        <v>1</v>
      </c>
      <c r="C1296" s="5">
        <v>505000</v>
      </c>
    </row>
    <row r="1297" spans="1:3" x14ac:dyDescent="0.25">
      <c r="A1297" s="19" t="s">
        <v>3780</v>
      </c>
      <c r="C1297" s="5">
        <v>4693776.2</v>
      </c>
    </row>
    <row r="1298" spans="1:3" x14ac:dyDescent="0.25">
      <c r="A1298" s="18" t="s">
        <v>2431</v>
      </c>
      <c r="B1298">
        <v>1</v>
      </c>
      <c r="C1298" s="5">
        <v>65226061.100000001</v>
      </c>
    </row>
    <row r="1299" spans="1:3" x14ac:dyDescent="0.25">
      <c r="A1299" s="19" t="s">
        <v>2428</v>
      </c>
      <c r="B1299">
        <v>1</v>
      </c>
      <c r="C1299" s="5">
        <v>45466527.600000001</v>
      </c>
    </row>
    <row r="1300" spans="1:3" x14ac:dyDescent="0.25">
      <c r="A1300" s="19" t="s">
        <v>4207</v>
      </c>
      <c r="C1300" s="5">
        <v>19759533.5</v>
      </c>
    </row>
    <row r="1301" spans="1:3" x14ac:dyDescent="0.25">
      <c r="A1301" s="18" t="s">
        <v>2439</v>
      </c>
      <c r="C1301" s="5">
        <v>453830.23</v>
      </c>
    </row>
    <row r="1302" spans="1:3" x14ac:dyDescent="0.25">
      <c r="A1302" s="19" t="s">
        <v>2436</v>
      </c>
      <c r="C1302" s="5">
        <v>453830.23</v>
      </c>
    </row>
    <row r="1303" spans="1:3" x14ac:dyDescent="0.25">
      <c r="A1303" s="18" t="s">
        <v>2465</v>
      </c>
      <c r="B1303">
        <v>1</v>
      </c>
      <c r="C1303" s="5">
        <v>333200</v>
      </c>
    </row>
    <row r="1304" spans="1:3" x14ac:dyDescent="0.25">
      <c r="A1304" s="19" t="s">
        <v>2462</v>
      </c>
      <c r="B1304">
        <v>1</v>
      </c>
      <c r="C1304" s="5">
        <v>333200</v>
      </c>
    </row>
    <row r="1305" spans="1:3" x14ac:dyDescent="0.25">
      <c r="A1305" s="18" t="s">
        <v>2490</v>
      </c>
      <c r="C1305" s="5">
        <v>42364514.079999998</v>
      </c>
    </row>
    <row r="1306" spans="1:3" x14ac:dyDescent="0.25">
      <c r="A1306" s="19" t="s">
        <v>2487</v>
      </c>
      <c r="C1306" s="5">
        <v>21122500</v>
      </c>
    </row>
    <row r="1307" spans="1:3" x14ac:dyDescent="0.25">
      <c r="A1307" s="19" t="s">
        <v>3411</v>
      </c>
      <c r="C1307" s="5">
        <v>21242014.079999998</v>
      </c>
    </row>
    <row r="1308" spans="1:3" x14ac:dyDescent="0.25">
      <c r="A1308" s="18" t="s">
        <v>2507</v>
      </c>
      <c r="B1308">
        <v>3</v>
      </c>
      <c r="C1308" s="5">
        <v>21685471.149999999</v>
      </c>
    </row>
    <row r="1309" spans="1:3" x14ac:dyDescent="0.25">
      <c r="A1309" s="19" t="s">
        <v>2504</v>
      </c>
      <c r="B1309">
        <v>1</v>
      </c>
      <c r="C1309" s="5">
        <v>21245070</v>
      </c>
    </row>
    <row r="1310" spans="1:3" x14ac:dyDescent="0.25">
      <c r="A1310" s="19" t="s">
        <v>3599</v>
      </c>
      <c r="B1310">
        <v>1</v>
      </c>
      <c r="C1310" s="5">
        <v>370090</v>
      </c>
    </row>
    <row r="1311" spans="1:3" x14ac:dyDescent="0.25">
      <c r="A1311" s="19" t="s">
        <v>4159</v>
      </c>
      <c r="B1311">
        <v>1</v>
      </c>
      <c r="C1311" s="5">
        <v>70311.149999999994</v>
      </c>
    </row>
    <row r="1312" spans="1:3" x14ac:dyDescent="0.25">
      <c r="A1312" s="18" t="s">
        <v>2517</v>
      </c>
      <c r="B1312">
        <v>1</v>
      </c>
      <c r="C1312" s="5">
        <v>161432.06</v>
      </c>
    </row>
    <row r="1313" spans="1:3" x14ac:dyDescent="0.25">
      <c r="A1313" s="19" t="s">
        <v>2514</v>
      </c>
      <c r="B1313">
        <v>1</v>
      </c>
      <c r="C1313" s="5">
        <v>161432.06</v>
      </c>
    </row>
    <row r="1314" spans="1:3" x14ac:dyDescent="0.25">
      <c r="A1314" s="18" t="s">
        <v>2525</v>
      </c>
      <c r="B1314">
        <v>1</v>
      </c>
      <c r="C1314" s="5">
        <v>174168.4</v>
      </c>
    </row>
    <row r="1315" spans="1:3" x14ac:dyDescent="0.25">
      <c r="A1315" s="19" t="s">
        <v>2522</v>
      </c>
      <c r="B1315">
        <v>1</v>
      </c>
      <c r="C1315" s="5">
        <v>174168.4</v>
      </c>
    </row>
    <row r="1316" spans="1:3" x14ac:dyDescent="0.25">
      <c r="A1316" s="18" t="s">
        <v>2533</v>
      </c>
      <c r="C1316" s="5">
        <v>4920650</v>
      </c>
    </row>
    <row r="1317" spans="1:3" x14ac:dyDescent="0.25">
      <c r="A1317" s="19" t="s">
        <v>2530</v>
      </c>
      <c r="C1317" s="5">
        <v>4920650</v>
      </c>
    </row>
    <row r="1318" spans="1:3" x14ac:dyDescent="0.25">
      <c r="A1318" s="18" t="s">
        <v>2541</v>
      </c>
      <c r="B1318">
        <v>1</v>
      </c>
      <c r="C1318" s="5">
        <v>4206650</v>
      </c>
    </row>
    <row r="1319" spans="1:3" x14ac:dyDescent="0.25">
      <c r="A1319" s="19" t="s">
        <v>2538</v>
      </c>
      <c r="B1319">
        <v>1</v>
      </c>
      <c r="C1319" s="5">
        <v>4206650</v>
      </c>
    </row>
    <row r="1320" spans="1:3" x14ac:dyDescent="0.25">
      <c r="A1320" s="18" t="s">
        <v>2550</v>
      </c>
      <c r="C1320" s="5">
        <v>321300</v>
      </c>
    </row>
    <row r="1321" spans="1:3" x14ac:dyDescent="0.25">
      <c r="A1321" s="19" t="s">
        <v>2547</v>
      </c>
      <c r="C1321" s="5">
        <v>321300</v>
      </c>
    </row>
    <row r="1322" spans="1:3" x14ac:dyDescent="0.25">
      <c r="A1322" s="18" t="s">
        <v>2555</v>
      </c>
      <c r="B1322">
        <v>1</v>
      </c>
      <c r="C1322" s="5">
        <v>1707084.16</v>
      </c>
    </row>
    <row r="1323" spans="1:3" x14ac:dyDescent="0.25">
      <c r="A1323" s="19" t="s">
        <v>2552</v>
      </c>
      <c r="B1323">
        <v>1</v>
      </c>
      <c r="C1323" s="5">
        <v>1707084.16</v>
      </c>
    </row>
    <row r="1324" spans="1:3" x14ac:dyDescent="0.25">
      <c r="A1324" s="18" t="s">
        <v>2585</v>
      </c>
      <c r="B1324">
        <v>1</v>
      </c>
      <c r="C1324" s="5">
        <v>846090</v>
      </c>
    </row>
    <row r="1325" spans="1:3" x14ac:dyDescent="0.25">
      <c r="A1325" s="19" t="s">
        <v>2582</v>
      </c>
      <c r="B1325">
        <v>1</v>
      </c>
      <c r="C1325" s="5">
        <v>846090</v>
      </c>
    </row>
    <row r="1326" spans="1:3" x14ac:dyDescent="0.25">
      <c r="A1326" s="18" t="s">
        <v>2619</v>
      </c>
      <c r="B1326">
        <v>1</v>
      </c>
      <c r="C1326" s="5">
        <v>709240</v>
      </c>
    </row>
    <row r="1327" spans="1:3" x14ac:dyDescent="0.25">
      <c r="A1327" s="19" t="s">
        <v>2616</v>
      </c>
      <c r="B1327">
        <v>1</v>
      </c>
      <c r="C1327" s="5">
        <v>709240</v>
      </c>
    </row>
    <row r="1328" spans="1:3" x14ac:dyDescent="0.25">
      <c r="A1328" s="18" t="s">
        <v>2627</v>
      </c>
      <c r="C1328" s="5">
        <v>2743429.81</v>
      </c>
    </row>
    <row r="1329" spans="1:3" x14ac:dyDescent="0.25">
      <c r="A1329" s="19" t="s">
        <v>2624</v>
      </c>
      <c r="C1329" s="5">
        <v>665962.07999999996</v>
      </c>
    </row>
    <row r="1330" spans="1:3" x14ac:dyDescent="0.25">
      <c r="A1330" s="19" t="s">
        <v>3435</v>
      </c>
      <c r="C1330" s="5">
        <v>2077467.73</v>
      </c>
    </row>
    <row r="1331" spans="1:3" x14ac:dyDescent="0.25">
      <c r="A1331" s="18" t="s">
        <v>2632</v>
      </c>
      <c r="B1331">
        <v>1</v>
      </c>
      <c r="C1331" s="5">
        <v>2215655.7200000002</v>
      </c>
    </row>
    <row r="1332" spans="1:3" x14ac:dyDescent="0.25">
      <c r="A1332" s="19" t="s">
        <v>2629</v>
      </c>
      <c r="B1332">
        <v>1</v>
      </c>
      <c r="C1332" s="5">
        <v>2215655.7200000002</v>
      </c>
    </row>
    <row r="1333" spans="1:3" x14ac:dyDescent="0.25">
      <c r="A1333" s="18" t="s">
        <v>2637</v>
      </c>
      <c r="B1333">
        <v>1</v>
      </c>
      <c r="C1333" s="5">
        <v>2344499.65</v>
      </c>
    </row>
    <row r="1334" spans="1:3" x14ac:dyDescent="0.25">
      <c r="A1334" s="19" t="s">
        <v>2634</v>
      </c>
      <c r="B1334">
        <v>1</v>
      </c>
      <c r="C1334" s="5">
        <v>2344499.65</v>
      </c>
    </row>
    <row r="1335" spans="1:3" x14ac:dyDescent="0.25">
      <c r="A1335" s="18" t="s">
        <v>2645</v>
      </c>
      <c r="C1335" s="5">
        <v>370222.09</v>
      </c>
    </row>
    <row r="1336" spans="1:3" x14ac:dyDescent="0.25">
      <c r="A1336" s="19" t="s">
        <v>2642</v>
      </c>
      <c r="C1336" s="5">
        <v>370222.09</v>
      </c>
    </row>
    <row r="1337" spans="1:3" x14ac:dyDescent="0.25">
      <c r="A1337" s="18" t="s">
        <v>2682</v>
      </c>
      <c r="B1337">
        <v>1</v>
      </c>
      <c r="C1337" s="5">
        <v>758387</v>
      </c>
    </row>
    <row r="1338" spans="1:3" x14ac:dyDescent="0.25">
      <c r="A1338" s="19" t="s">
        <v>2679</v>
      </c>
      <c r="B1338">
        <v>1</v>
      </c>
      <c r="C1338" s="5">
        <v>758387</v>
      </c>
    </row>
    <row r="1339" spans="1:3" x14ac:dyDescent="0.25">
      <c r="A1339" s="18" t="s">
        <v>2690</v>
      </c>
      <c r="B1339">
        <v>1</v>
      </c>
      <c r="C1339" s="5">
        <v>13662729.15</v>
      </c>
    </row>
    <row r="1340" spans="1:3" x14ac:dyDescent="0.25">
      <c r="A1340" s="19" t="s">
        <v>2687</v>
      </c>
      <c r="B1340">
        <v>1</v>
      </c>
      <c r="C1340" s="5">
        <v>13662729.15</v>
      </c>
    </row>
    <row r="1341" spans="1:3" x14ac:dyDescent="0.25">
      <c r="A1341" s="18" t="s">
        <v>2701</v>
      </c>
      <c r="B1341">
        <v>1</v>
      </c>
      <c r="C1341" s="5">
        <v>9508695</v>
      </c>
    </row>
    <row r="1342" spans="1:3" x14ac:dyDescent="0.25">
      <c r="A1342" s="19" t="s">
        <v>2698</v>
      </c>
      <c r="B1342">
        <v>1</v>
      </c>
      <c r="C1342" s="5">
        <v>9508695</v>
      </c>
    </row>
    <row r="1343" spans="1:3" x14ac:dyDescent="0.25">
      <c r="A1343" s="18" t="s">
        <v>2716</v>
      </c>
      <c r="B1343">
        <v>1</v>
      </c>
      <c r="C1343" s="5">
        <v>1265565</v>
      </c>
    </row>
    <row r="1344" spans="1:3" x14ac:dyDescent="0.25">
      <c r="A1344" s="19" t="s">
        <v>2713</v>
      </c>
      <c r="B1344">
        <v>1</v>
      </c>
      <c r="C1344" s="5">
        <v>1265565</v>
      </c>
    </row>
    <row r="1345" spans="1:3" x14ac:dyDescent="0.25">
      <c r="A1345" s="18" t="s">
        <v>2758</v>
      </c>
      <c r="B1345">
        <v>1</v>
      </c>
      <c r="C1345" s="5">
        <v>1504776.4</v>
      </c>
    </row>
    <row r="1346" spans="1:3" x14ac:dyDescent="0.25">
      <c r="A1346" s="19" t="s">
        <v>2754</v>
      </c>
      <c r="B1346">
        <v>1</v>
      </c>
      <c r="C1346" s="5">
        <v>1504776.4</v>
      </c>
    </row>
    <row r="1347" spans="1:3" x14ac:dyDescent="0.25">
      <c r="A1347" s="18" t="s">
        <v>2774</v>
      </c>
      <c r="B1347">
        <v>1</v>
      </c>
      <c r="C1347" s="5">
        <v>3716215.3</v>
      </c>
    </row>
    <row r="1348" spans="1:3" x14ac:dyDescent="0.25">
      <c r="A1348" s="19" t="s">
        <v>2771</v>
      </c>
      <c r="B1348">
        <v>1</v>
      </c>
      <c r="C1348" s="5">
        <v>3716215.3</v>
      </c>
    </row>
    <row r="1349" spans="1:3" x14ac:dyDescent="0.25">
      <c r="A1349" s="18" t="s">
        <v>2814</v>
      </c>
      <c r="C1349" s="5">
        <v>8092000</v>
      </c>
    </row>
    <row r="1350" spans="1:3" x14ac:dyDescent="0.25">
      <c r="A1350" s="19" t="s">
        <v>2811</v>
      </c>
      <c r="C1350" s="5">
        <v>8092000</v>
      </c>
    </row>
    <row r="1351" spans="1:3" x14ac:dyDescent="0.25">
      <c r="A1351" s="18" t="s">
        <v>2819</v>
      </c>
      <c r="C1351" s="5">
        <v>988533</v>
      </c>
    </row>
    <row r="1352" spans="1:3" x14ac:dyDescent="0.25">
      <c r="A1352" s="19" t="s">
        <v>2816</v>
      </c>
      <c r="C1352" s="5">
        <v>988533</v>
      </c>
    </row>
    <row r="1353" spans="1:3" x14ac:dyDescent="0.25">
      <c r="A1353" s="18" t="s">
        <v>2843</v>
      </c>
      <c r="B1353">
        <v>1</v>
      </c>
      <c r="C1353" s="5">
        <v>1561280</v>
      </c>
    </row>
    <row r="1354" spans="1:3" x14ac:dyDescent="0.25">
      <c r="A1354" s="19" t="s">
        <v>2840</v>
      </c>
      <c r="B1354">
        <v>1</v>
      </c>
      <c r="C1354" s="5">
        <v>1561280</v>
      </c>
    </row>
    <row r="1355" spans="1:3" x14ac:dyDescent="0.25">
      <c r="A1355" s="18" t="s">
        <v>2848</v>
      </c>
      <c r="C1355" s="5">
        <v>6872250</v>
      </c>
    </row>
    <row r="1356" spans="1:3" x14ac:dyDescent="0.25">
      <c r="A1356" s="19" t="s">
        <v>2845</v>
      </c>
      <c r="C1356" s="5">
        <v>1814750</v>
      </c>
    </row>
    <row r="1357" spans="1:3" x14ac:dyDescent="0.25">
      <c r="A1357" s="19" t="s">
        <v>2850</v>
      </c>
      <c r="C1357" s="5">
        <v>1041250</v>
      </c>
    </row>
    <row r="1358" spans="1:3" x14ac:dyDescent="0.25">
      <c r="A1358" s="19" t="s">
        <v>2853</v>
      </c>
      <c r="C1358" s="5">
        <v>1071000</v>
      </c>
    </row>
    <row r="1359" spans="1:3" x14ac:dyDescent="0.25">
      <c r="A1359" s="19" t="s">
        <v>2921</v>
      </c>
      <c r="C1359" s="5">
        <v>2945250</v>
      </c>
    </row>
    <row r="1360" spans="1:3" x14ac:dyDescent="0.25">
      <c r="A1360" s="18" t="s">
        <v>2859</v>
      </c>
      <c r="C1360" s="5">
        <v>170170</v>
      </c>
    </row>
    <row r="1361" spans="1:3" x14ac:dyDescent="0.25">
      <c r="A1361" s="19" t="s">
        <v>2856</v>
      </c>
      <c r="C1361" s="5">
        <v>170170</v>
      </c>
    </row>
    <row r="1362" spans="1:3" x14ac:dyDescent="0.25">
      <c r="A1362" s="18" t="s">
        <v>2864</v>
      </c>
      <c r="C1362" s="5">
        <v>216037.5</v>
      </c>
    </row>
    <row r="1363" spans="1:3" x14ac:dyDescent="0.25">
      <c r="A1363" s="19" t="s">
        <v>2861</v>
      </c>
      <c r="C1363" s="5">
        <v>216037.5</v>
      </c>
    </row>
    <row r="1364" spans="1:3" x14ac:dyDescent="0.25">
      <c r="A1364" s="18" t="s">
        <v>2869</v>
      </c>
      <c r="C1364" s="5">
        <v>800652.23</v>
      </c>
    </row>
    <row r="1365" spans="1:3" x14ac:dyDescent="0.25">
      <c r="A1365" s="19" t="s">
        <v>2866</v>
      </c>
      <c r="C1365" s="5">
        <v>800652.23</v>
      </c>
    </row>
    <row r="1366" spans="1:3" x14ac:dyDescent="0.25">
      <c r="A1366" s="18" t="s">
        <v>2874</v>
      </c>
      <c r="B1366">
        <v>1</v>
      </c>
      <c r="C1366" s="5">
        <v>797300</v>
      </c>
    </row>
    <row r="1367" spans="1:3" x14ac:dyDescent="0.25">
      <c r="A1367" s="19" t="s">
        <v>2871</v>
      </c>
      <c r="B1367">
        <v>1</v>
      </c>
      <c r="C1367" s="5">
        <v>797300</v>
      </c>
    </row>
    <row r="1368" spans="1:3" x14ac:dyDescent="0.25">
      <c r="A1368" s="18" t="s">
        <v>2879</v>
      </c>
      <c r="B1368">
        <v>1</v>
      </c>
      <c r="C1368" s="5">
        <v>1942080</v>
      </c>
    </row>
    <row r="1369" spans="1:3" x14ac:dyDescent="0.25">
      <c r="A1369" s="19" t="s">
        <v>2876</v>
      </c>
      <c r="B1369">
        <v>1</v>
      </c>
      <c r="C1369" s="5">
        <v>1942080</v>
      </c>
    </row>
    <row r="1370" spans="1:3" x14ac:dyDescent="0.25">
      <c r="A1370" s="18" t="s">
        <v>2893</v>
      </c>
      <c r="B1370">
        <v>1</v>
      </c>
      <c r="C1370" s="5">
        <v>1696940</v>
      </c>
    </row>
    <row r="1371" spans="1:3" x14ac:dyDescent="0.25">
      <c r="A1371" s="19" t="s">
        <v>2890</v>
      </c>
      <c r="B1371">
        <v>1</v>
      </c>
      <c r="C1371" s="5">
        <v>1696940</v>
      </c>
    </row>
    <row r="1372" spans="1:3" x14ac:dyDescent="0.25">
      <c r="A1372" s="18" t="s">
        <v>2898</v>
      </c>
      <c r="B1372">
        <v>1</v>
      </c>
      <c r="C1372" s="5">
        <v>6272940</v>
      </c>
    </row>
    <row r="1373" spans="1:3" x14ac:dyDescent="0.25">
      <c r="A1373" s="19" t="s">
        <v>2895</v>
      </c>
      <c r="B1373">
        <v>1</v>
      </c>
      <c r="C1373" s="5">
        <v>6272940</v>
      </c>
    </row>
    <row r="1374" spans="1:3" x14ac:dyDescent="0.25">
      <c r="A1374" s="18" t="s">
        <v>2908</v>
      </c>
      <c r="B1374">
        <v>1</v>
      </c>
      <c r="C1374" s="5">
        <v>462910</v>
      </c>
    </row>
    <row r="1375" spans="1:3" x14ac:dyDescent="0.25">
      <c r="A1375" s="19" t="s">
        <v>2905</v>
      </c>
      <c r="B1375">
        <v>1</v>
      </c>
      <c r="C1375" s="5">
        <v>462910</v>
      </c>
    </row>
    <row r="1376" spans="1:3" x14ac:dyDescent="0.25">
      <c r="A1376" s="18" t="s">
        <v>2913</v>
      </c>
      <c r="C1376" s="5">
        <v>666400</v>
      </c>
    </row>
    <row r="1377" spans="1:3" x14ac:dyDescent="0.25">
      <c r="A1377" s="19" t="s">
        <v>2910</v>
      </c>
      <c r="C1377" s="5">
        <v>666400</v>
      </c>
    </row>
    <row r="1378" spans="1:3" x14ac:dyDescent="0.25">
      <c r="A1378" s="18" t="s">
        <v>2976</v>
      </c>
      <c r="B1378">
        <v>2</v>
      </c>
      <c r="C1378" s="5">
        <v>14836241.699999999</v>
      </c>
    </row>
    <row r="1379" spans="1:3" x14ac:dyDescent="0.25">
      <c r="A1379" s="19" t="s">
        <v>2973</v>
      </c>
      <c r="B1379">
        <v>1</v>
      </c>
      <c r="C1379" s="5">
        <v>12234033</v>
      </c>
    </row>
    <row r="1380" spans="1:3" x14ac:dyDescent="0.25">
      <c r="A1380" s="19" t="s">
        <v>2978</v>
      </c>
      <c r="B1380">
        <v>1</v>
      </c>
      <c r="C1380" s="5">
        <v>2602208.7000000002</v>
      </c>
    </row>
    <row r="1381" spans="1:3" x14ac:dyDescent="0.25">
      <c r="A1381" s="18" t="s">
        <v>2984</v>
      </c>
      <c r="B1381">
        <v>1</v>
      </c>
      <c r="C1381" s="5">
        <v>3015950</v>
      </c>
    </row>
    <row r="1382" spans="1:3" x14ac:dyDescent="0.25">
      <c r="A1382" s="19" t="s">
        <v>2981</v>
      </c>
      <c r="B1382">
        <v>1</v>
      </c>
      <c r="C1382" s="5">
        <v>3015950</v>
      </c>
    </row>
    <row r="1383" spans="1:3" x14ac:dyDescent="0.25">
      <c r="A1383" s="18" t="s">
        <v>2992</v>
      </c>
      <c r="B1383">
        <v>1</v>
      </c>
      <c r="C1383" s="5">
        <v>12495881.789999999</v>
      </c>
    </row>
    <row r="1384" spans="1:3" x14ac:dyDescent="0.25">
      <c r="A1384" s="19" t="s">
        <v>2989</v>
      </c>
      <c r="B1384">
        <v>1</v>
      </c>
      <c r="C1384" s="5">
        <v>12495881.789999999</v>
      </c>
    </row>
    <row r="1385" spans="1:3" x14ac:dyDescent="0.25">
      <c r="A1385" s="18" t="s">
        <v>2997</v>
      </c>
      <c r="C1385" s="5">
        <v>671486.4</v>
      </c>
    </row>
    <row r="1386" spans="1:3" x14ac:dyDescent="0.25">
      <c r="A1386" s="19" t="s">
        <v>2994</v>
      </c>
      <c r="C1386" s="5">
        <v>671486.4</v>
      </c>
    </row>
    <row r="1387" spans="1:3" x14ac:dyDescent="0.25">
      <c r="A1387" s="18" t="s">
        <v>3002</v>
      </c>
      <c r="C1387" s="5">
        <v>1597998.64</v>
      </c>
    </row>
    <row r="1388" spans="1:3" x14ac:dyDescent="0.25">
      <c r="A1388" s="19" t="s">
        <v>2999</v>
      </c>
      <c r="C1388" s="5">
        <v>1597998.64</v>
      </c>
    </row>
    <row r="1389" spans="1:3" x14ac:dyDescent="0.25">
      <c r="A1389" s="18" t="s">
        <v>3007</v>
      </c>
      <c r="B1389">
        <v>1</v>
      </c>
      <c r="C1389" s="5">
        <v>82407.5</v>
      </c>
    </row>
    <row r="1390" spans="1:3" x14ac:dyDescent="0.25">
      <c r="A1390" s="19" t="s">
        <v>3004</v>
      </c>
      <c r="B1390">
        <v>1</v>
      </c>
      <c r="C1390" s="5">
        <v>82407.5</v>
      </c>
    </row>
    <row r="1391" spans="1:3" x14ac:dyDescent="0.25">
      <c r="A1391" s="18" t="s">
        <v>3012</v>
      </c>
      <c r="B1391">
        <v>1</v>
      </c>
      <c r="C1391" s="5">
        <v>7289940</v>
      </c>
    </row>
    <row r="1392" spans="1:3" x14ac:dyDescent="0.25">
      <c r="A1392" s="19" t="s">
        <v>3009</v>
      </c>
      <c r="B1392">
        <v>1</v>
      </c>
      <c r="C1392" s="5">
        <v>7289940</v>
      </c>
    </row>
    <row r="1393" spans="1:3" x14ac:dyDescent="0.25">
      <c r="A1393" s="18" t="s">
        <v>3020</v>
      </c>
      <c r="C1393" s="5">
        <v>1219620</v>
      </c>
    </row>
    <row r="1394" spans="1:3" x14ac:dyDescent="0.25">
      <c r="A1394" s="19" t="s">
        <v>3017</v>
      </c>
      <c r="C1394" s="5">
        <v>1219620</v>
      </c>
    </row>
    <row r="1395" spans="1:3" x14ac:dyDescent="0.25">
      <c r="A1395" s="18" t="s">
        <v>3025</v>
      </c>
      <c r="B1395">
        <v>1</v>
      </c>
      <c r="C1395" s="5">
        <v>406473.06</v>
      </c>
    </row>
    <row r="1396" spans="1:3" x14ac:dyDescent="0.25">
      <c r="A1396" s="19" t="s">
        <v>3022</v>
      </c>
      <c r="B1396">
        <v>1</v>
      </c>
      <c r="C1396" s="5">
        <v>406473.06</v>
      </c>
    </row>
    <row r="1397" spans="1:3" x14ac:dyDescent="0.25">
      <c r="A1397" s="18" t="s">
        <v>3050</v>
      </c>
      <c r="B1397">
        <v>1</v>
      </c>
      <c r="C1397" s="5">
        <v>220150</v>
      </c>
    </row>
    <row r="1398" spans="1:3" x14ac:dyDescent="0.25">
      <c r="A1398" s="19" t="s">
        <v>3047</v>
      </c>
      <c r="B1398">
        <v>1</v>
      </c>
      <c r="C1398" s="5">
        <v>220150</v>
      </c>
    </row>
    <row r="1399" spans="1:3" x14ac:dyDescent="0.25">
      <c r="A1399" s="18" t="s">
        <v>3060</v>
      </c>
      <c r="B1399">
        <v>2</v>
      </c>
      <c r="C1399" s="5">
        <v>33954865</v>
      </c>
    </row>
    <row r="1400" spans="1:3" x14ac:dyDescent="0.25">
      <c r="A1400" s="19" t="s">
        <v>3057</v>
      </c>
      <c r="B1400">
        <v>1</v>
      </c>
      <c r="C1400" s="5">
        <v>27314665</v>
      </c>
    </row>
    <row r="1401" spans="1:3" x14ac:dyDescent="0.25">
      <c r="A1401" s="19" t="s">
        <v>3265</v>
      </c>
      <c r="B1401">
        <v>1</v>
      </c>
      <c r="C1401" s="5">
        <v>6640200</v>
      </c>
    </row>
    <row r="1402" spans="1:3" x14ac:dyDescent="0.25">
      <c r="A1402" s="18" t="s">
        <v>3125</v>
      </c>
      <c r="B1402">
        <v>2</v>
      </c>
      <c r="C1402" s="5">
        <v>1336636.1399999999</v>
      </c>
    </row>
    <row r="1403" spans="1:3" x14ac:dyDescent="0.25">
      <c r="A1403" s="19" t="s">
        <v>3122</v>
      </c>
      <c r="B1403">
        <v>1</v>
      </c>
      <c r="C1403" s="5">
        <v>906649.1</v>
      </c>
    </row>
    <row r="1404" spans="1:3" x14ac:dyDescent="0.25">
      <c r="A1404" s="19" t="s">
        <v>3128</v>
      </c>
      <c r="B1404">
        <v>1</v>
      </c>
      <c r="C1404" s="5">
        <v>429987.04</v>
      </c>
    </row>
    <row r="1405" spans="1:3" x14ac:dyDescent="0.25">
      <c r="A1405" s="18" t="s">
        <v>3134</v>
      </c>
      <c r="C1405" s="5">
        <v>731433.5</v>
      </c>
    </row>
    <row r="1406" spans="1:3" x14ac:dyDescent="0.25">
      <c r="A1406" s="19" t="s">
        <v>3131</v>
      </c>
      <c r="C1406" s="5">
        <v>731433.5</v>
      </c>
    </row>
    <row r="1407" spans="1:3" x14ac:dyDescent="0.25">
      <c r="A1407" s="18" t="s">
        <v>3158</v>
      </c>
      <c r="C1407" s="5">
        <v>2521338.19</v>
      </c>
    </row>
    <row r="1408" spans="1:3" x14ac:dyDescent="0.25">
      <c r="A1408" s="19" t="s">
        <v>3155</v>
      </c>
      <c r="C1408" s="5">
        <v>2521338.19</v>
      </c>
    </row>
    <row r="1409" spans="1:3" x14ac:dyDescent="0.25">
      <c r="A1409" s="18" t="s">
        <v>3168</v>
      </c>
      <c r="C1409" s="5">
        <v>542269.81000000006</v>
      </c>
    </row>
    <row r="1410" spans="1:3" x14ac:dyDescent="0.25">
      <c r="A1410" s="19" t="s">
        <v>3165</v>
      </c>
      <c r="C1410" s="5">
        <v>542269.81000000006</v>
      </c>
    </row>
    <row r="1411" spans="1:3" x14ac:dyDescent="0.25">
      <c r="A1411" s="18" t="s">
        <v>3188</v>
      </c>
      <c r="B1411">
        <v>1</v>
      </c>
      <c r="C1411" s="5">
        <v>19992000</v>
      </c>
    </row>
    <row r="1412" spans="1:3" x14ac:dyDescent="0.25">
      <c r="A1412" s="19" t="s">
        <v>3185</v>
      </c>
      <c r="B1412">
        <v>1</v>
      </c>
      <c r="C1412" s="5">
        <v>19992000</v>
      </c>
    </row>
    <row r="1413" spans="1:3" x14ac:dyDescent="0.25">
      <c r="A1413" s="18" t="s">
        <v>3193</v>
      </c>
      <c r="B1413">
        <v>1</v>
      </c>
      <c r="C1413" s="5">
        <v>140599.72</v>
      </c>
    </row>
    <row r="1414" spans="1:3" x14ac:dyDescent="0.25">
      <c r="A1414" s="19" t="s">
        <v>3190</v>
      </c>
      <c r="B1414">
        <v>1</v>
      </c>
      <c r="C1414" s="5">
        <v>140599.72</v>
      </c>
    </row>
    <row r="1415" spans="1:3" x14ac:dyDescent="0.25">
      <c r="A1415" s="18" t="s">
        <v>3202</v>
      </c>
      <c r="C1415" s="5">
        <v>1960730.38</v>
      </c>
    </row>
    <row r="1416" spans="1:3" x14ac:dyDescent="0.25">
      <c r="A1416" s="19" t="s">
        <v>3198</v>
      </c>
      <c r="C1416" s="5">
        <v>1960730.38</v>
      </c>
    </row>
    <row r="1417" spans="1:3" x14ac:dyDescent="0.25">
      <c r="A1417" s="18" t="s">
        <v>3225</v>
      </c>
      <c r="B1417">
        <v>1</v>
      </c>
      <c r="C1417" s="5">
        <v>20765500</v>
      </c>
    </row>
    <row r="1418" spans="1:3" x14ac:dyDescent="0.25">
      <c r="A1418" s="19" t="s">
        <v>3222</v>
      </c>
      <c r="B1418">
        <v>1</v>
      </c>
      <c r="C1418" s="5">
        <v>20765500</v>
      </c>
    </row>
    <row r="1419" spans="1:3" x14ac:dyDescent="0.25">
      <c r="A1419" s="18" t="s">
        <v>3235</v>
      </c>
      <c r="B1419">
        <v>1</v>
      </c>
      <c r="C1419" s="5">
        <v>3425772</v>
      </c>
    </row>
    <row r="1420" spans="1:3" x14ac:dyDescent="0.25">
      <c r="A1420" s="19" t="s">
        <v>3232</v>
      </c>
      <c r="B1420">
        <v>1</v>
      </c>
      <c r="C1420" s="5">
        <v>3425772</v>
      </c>
    </row>
    <row r="1421" spans="1:3" x14ac:dyDescent="0.25">
      <c r="A1421" s="18" t="s">
        <v>3263</v>
      </c>
      <c r="B1421">
        <v>1</v>
      </c>
      <c r="C1421" s="5">
        <v>472826</v>
      </c>
    </row>
    <row r="1422" spans="1:3" x14ac:dyDescent="0.25">
      <c r="A1422" s="19" t="s">
        <v>3260</v>
      </c>
      <c r="B1422">
        <v>1</v>
      </c>
      <c r="C1422" s="5">
        <v>472826</v>
      </c>
    </row>
    <row r="1423" spans="1:3" x14ac:dyDescent="0.25">
      <c r="A1423" s="18" t="s">
        <v>3306</v>
      </c>
      <c r="B1423">
        <v>1</v>
      </c>
      <c r="C1423" s="5">
        <v>597618</v>
      </c>
    </row>
    <row r="1424" spans="1:3" x14ac:dyDescent="0.25">
      <c r="A1424" s="19" t="s">
        <v>3303</v>
      </c>
      <c r="B1424">
        <v>1</v>
      </c>
      <c r="C1424" s="5">
        <v>597618</v>
      </c>
    </row>
    <row r="1425" spans="1:3" x14ac:dyDescent="0.25">
      <c r="A1425" s="18" t="s">
        <v>3325</v>
      </c>
      <c r="C1425" s="5">
        <v>39889875.43</v>
      </c>
    </row>
    <row r="1426" spans="1:3" x14ac:dyDescent="0.25">
      <c r="A1426" s="19" t="s">
        <v>3322</v>
      </c>
      <c r="C1426" s="5">
        <v>11119012.02</v>
      </c>
    </row>
    <row r="1427" spans="1:3" x14ac:dyDescent="0.25">
      <c r="A1427" s="19" t="s">
        <v>3960</v>
      </c>
      <c r="C1427" s="5">
        <v>9668868.3800000008</v>
      </c>
    </row>
    <row r="1428" spans="1:3" x14ac:dyDescent="0.25">
      <c r="A1428" s="19" t="s">
        <v>3982</v>
      </c>
      <c r="C1428" s="5">
        <v>19101995.030000001</v>
      </c>
    </row>
    <row r="1429" spans="1:3" x14ac:dyDescent="0.25">
      <c r="A1429" s="18" t="s">
        <v>3330</v>
      </c>
      <c r="B1429">
        <v>1</v>
      </c>
      <c r="C1429" s="5">
        <v>23127.279999999999</v>
      </c>
    </row>
    <row r="1430" spans="1:3" x14ac:dyDescent="0.25">
      <c r="A1430" s="19" t="s">
        <v>3327</v>
      </c>
      <c r="B1430">
        <v>1</v>
      </c>
      <c r="C1430" s="5">
        <v>23127.279999999999</v>
      </c>
    </row>
    <row r="1431" spans="1:3" x14ac:dyDescent="0.25">
      <c r="A1431" s="18" t="s">
        <v>3335</v>
      </c>
      <c r="C1431" s="5">
        <v>7064968.9199999999</v>
      </c>
    </row>
    <row r="1432" spans="1:3" x14ac:dyDescent="0.25">
      <c r="A1432" s="19" t="s">
        <v>3332</v>
      </c>
      <c r="C1432" s="5">
        <v>7064968.9199999999</v>
      </c>
    </row>
    <row r="1433" spans="1:3" x14ac:dyDescent="0.25">
      <c r="A1433" s="18" t="s">
        <v>3366</v>
      </c>
      <c r="B1433">
        <v>1</v>
      </c>
      <c r="C1433" s="5">
        <v>484080.1</v>
      </c>
    </row>
    <row r="1434" spans="1:3" x14ac:dyDescent="0.25">
      <c r="A1434" s="19" t="s">
        <v>3363</v>
      </c>
      <c r="B1434">
        <v>1</v>
      </c>
      <c r="C1434" s="5">
        <v>484080.1</v>
      </c>
    </row>
    <row r="1435" spans="1:3" x14ac:dyDescent="0.25">
      <c r="A1435" s="18" t="s">
        <v>3375</v>
      </c>
      <c r="B1435">
        <v>2</v>
      </c>
      <c r="C1435" s="5">
        <v>798490</v>
      </c>
    </row>
    <row r="1436" spans="1:3" x14ac:dyDescent="0.25">
      <c r="A1436" s="19" t="s">
        <v>3372</v>
      </c>
      <c r="B1436">
        <v>1</v>
      </c>
      <c r="C1436" s="5">
        <v>48790</v>
      </c>
    </row>
    <row r="1437" spans="1:3" x14ac:dyDescent="0.25">
      <c r="A1437" s="19" t="s">
        <v>3755</v>
      </c>
      <c r="B1437">
        <v>1</v>
      </c>
      <c r="C1437" s="5">
        <v>749700</v>
      </c>
    </row>
    <row r="1438" spans="1:3" x14ac:dyDescent="0.25">
      <c r="A1438" s="18" t="s">
        <v>3383</v>
      </c>
      <c r="B1438">
        <v>1</v>
      </c>
      <c r="C1438" s="5">
        <v>171895.5</v>
      </c>
    </row>
    <row r="1439" spans="1:3" x14ac:dyDescent="0.25">
      <c r="A1439" s="19" t="s">
        <v>3380</v>
      </c>
      <c r="B1439">
        <v>1</v>
      </c>
      <c r="C1439" s="5">
        <v>171895.5</v>
      </c>
    </row>
    <row r="1440" spans="1:3" x14ac:dyDescent="0.25">
      <c r="A1440" s="18" t="s">
        <v>3401</v>
      </c>
      <c r="B1440">
        <v>1</v>
      </c>
      <c r="C1440" s="5">
        <v>327488</v>
      </c>
    </row>
    <row r="1441" spans="1:3" x14ac:dyDescent="0.25">
      <c r="A1441" s="19" t="s">
        <v>3398</v>
      </c>
      <c r="B1441">
        <v>1</v>
      </c>
      <c r="C1441" s="5">
        <v>327488</v>
      </c>
    </row>
    <row r="1442" spans="1:3" x14ac:dyDescent="0.25">
      <c r="A1442" s="18" t="s">
        <v>3406</v>
      </c>
      <c r="C1442" s="5">
        <v>476535.95</v>
      </c>
    </row>
    <row r="1443" spans="1:3" x14ac:dyDescent="0.25">
      <c r="A1443" s="19" t="s">
        <v>3403</v>
      </c>
      <c r="C1443" s="5">
        <v>476535.95</v>
      </c>
    </row>
    <row r="1444" spans="1:3" x14ac:dyDescent="0.25">
      <c r="A1444" s="18" t="s">
        <v>3428</v>
      </c>
      <c r="B1444">
        <v>1</v>
      </c>
      <c r="C1444" s="5">
        <v>2578730</v>
      </c>
    </row>
    <row r="1445" spans="1:3" x14ac:dyDescent="0.25">
      <c r="A1445" s="19" t="s">
        <v>3425</v>
      </c>
      <c r="B1445">
        <v>1</v>
      </c>
      <c r="C1445" s="5">
        <v>2578730</v>
      </c>
    </row>
    <row r="1446" spans="1:3" x14ac:dyDescent="0.25">
      <c r="A1446" s="18" t="s">
        <v>3441</v>
      </c>
      <c r="C1446" s="5">
        <v>51509150</v>
      </c>
    </row>
    <row r="1447" spans="1:3" x14ac:dyDescent="0.25">
      <c r="A1447" s="19" t="s">
        <v>3438</v>
      </c>
      <c r="C1447" s="5">
        <v>51509150</v>
      </c>
    </row>
    <row r="1448" spans="1:3" x14ac:dyDescent="0.25">
      <c r="A1448" s="18" t="s">
        <v>3479</v>
      </c>
      <c r="B1448">
        <v>1</v>
      </c>
      <c r="C1448" s="5">
        <v>4971126.58</v>
      </c>
    </row>
    <row r="1449" spans="1:3" x14ac:dyDescent="0.25">
      <c r="A1449" s="19" t="s">
        <v>3476</v>
      </c>
      <c r="B1449">
        <v>1</v>
      </c>
      <c r="C1449" s="5">
        <v>351645</v>
      </c>
    </row>
    <row r="1450" spans="1:3" x14ac:dyDescent="0.25">
      <c r="A1450" s="19" t="s">
        <v>3588</v>
      </c>
      <c r="C1450" s="5">
        <v>3058796.58</v>
      </c>
    </row>
    <row r="1451" spans="1:3" x14ac:dyDescent="0.25">
      <c r="A1451" s="19" t="s">
        <v>3684</v>
      </c>
      <c r="C1451" s="5">
        <v>527884</v>
      </c>
    </row>
    <row r="1452" spans="1:3" x14ac:dyDescent="0.25">
      <c r="A1452" s="19" t="s">
        <v>3788</v>
      </c>
      <c r="C1452" s="5">
        <v>172193</v>
      </c>
    </row>
    <row r="1453" spans="1:3" x14ac:dyDescent="0.25">
      <c r="A1453" s="19" t="s">
        <v>3791</v>
      </c>
      <c r="C1453" s="5">
        <v>586908</v>
      </c>
    </row>
    <row r="1454" spans="1:3" x14ac:dyDescent="0.25">
      <c r="A1454" s="19" t="s">
        <v>3888</v>
      </c>
      <c r="C1454" s="5">
        <v>273700</v>
      </c>
    </row>
    <row r="1455" spans="1:3" x14ac:dyDescent="0.25">
      <c r="A1455" s="18" t="s">
        <v>3484</v>
      </c>
      <c r="C1455" s="5">
        <v>1225700</v>
      </c>
    </row>
    <row r="1456" spans="1:3" x14ac:dyDescent="0.25">
      <c r="A1456" s="19" t="s">
        <v>3481</v>
      </c>
      <c r="C1456" s="5">
        <v>1225700</v>
      </c>
    </row>
    <row r="1457" spans="1:3" x14ac:dyDescent="0.25">
      <c r="A1457" s="18" t="s">
        <v>3506</v>
      </c>
      <c r="C1457" s="5">
        <v>616700.69999999995</v>
      </c>
    </row>
    <row r="1458" spans="1:3" x14ac:dyDescent="0.25">
      <c r="A1458" s="19" t="s">
        <v>3503</v>
      </c>
      <c r="C1458" s="5">
        <v>616700.69999999995</v>
      </c>
    </row>
    <row r="1459" spans="1:3" x14ac:dyDescent="0.25">
      <c r="A1459" s="18" t="s">
        <v>3563</v>
      </c>
      <c r="B1459">
        <v>2</v>
      </c>
      <c r="C1459" s="5">
        <v>528086.30000000005</v>
      </c>
    </row>
    <row r="1460" spans="1:3" x14ac:dyDescent="0.25">
      <c r="A1460" s="19" t="s">
        <v>3560</v>
      </c>
      <c r="B1460">
        <v>1</v>
      </c>
      <c r="C1460" s="5">
        <v>399298.55</v>
      </c>
    </row>
    <row r="1461" spans="1:3" x14ac:dyDescent="0.25">
      <c r="A1461" s="19" t="s">
        <v>3565</v>
      </c>
      <c r="B1461">
        <v>1</v>
      </c>
      <c r="C1461" s="5">
        <v>128787.75</v>
      </c>
    </row>
    <row r="1462" spans="1:3" x14ac:dyDescent="0.25">
      <c r="A1462" s="18" t="s">
        <v>3613</v>
      </c>
      <c r="B1462">
        <v>1</v>
      </c>
      <c r="C1462" s="5">
        <v>346052</v>
      </c>
    </row>
    <row r="1463" spans="1:3" x14ac:dyDescent="0.25">
      <c r="A1463" s="19" t="s">
        <v>3610</v>
      </c>
      <c r="B1463">
        <v>1</v>
      </c>
      <c r="C1463" s="5">
        <v>346052</v>
      </c>
    </row>
    <row r="1464" spans="1:3" x14ac:dyDescent="0.25">
      <c r="A1464" s="18" t="s">
        <v>3618</v>
      </c>
      <c r="C1464" s="5">
        <v>1137140.2</v>
      </c>
    </row>
    <row r="1465" spans="1:3" x14ac:dyDescent="0.25">
      <c r="A1465" s="19" t="s">
        <v>3615</v>
      </c>
      <c r="C1465" s="5">
        <v>1137140.2</v>
      </c>
    </row>
    <row r="1466" spans="1:3" x14ac:dyDescent="0.25">
      <c r="A1466" s="18" t="s">
        <v>3623</v>
      </c>
      <c r="B1466">
        <v>1</v>
      </c>
      <c r="C1466" s="5">
        <v>1066240</v>
      </c>
    </row>
    <row r="1467" spans="1:3" x14ac:dyDescent="0.25">
      <c r="A1467" s="19" t="s">
        <v>3620</v>
      </c>
      <c r="B1467">
        <v>1</v>
      </c>
      <c r="C1467" s="5">
        <v>1066240</v>
      </c>
    </row>
    <row r="1468" spans="1:3" x14ac:dyDescent="0.25">
      <c r="A1468" s="18" t="s">
        <v>3636</v>
      </c>
      <c r="C1468" s="5">
        <v>5808951.4699999997</v>
      </c>
    </row>
    <row r="1469" spans="1:3" x14ac:dyDescent="0.25">
      <c r="A1469" s="19" t="s">
        <v>3633</v>
      </c>
      <c r="C1469" s="5">
        <v>5808951.4699999997</v>
      </c>
    </row>
    <row r="1470" spans="1:3" x14ac:dyDescent="0.25">
      <c r="A1470" s="18" t="s">
        <v>3653</v>
      </c>
      <c r="B1470">
        <v>1</v>
      </c>
      <c r="C1470" s="5">
        <v>5683772.2699999996</v>
      </c>
    </row>
    <row r="1471" spans="1:3" x14ac:dyDescent="0.25">
      <c r="A1471" s="19" t="s">
        <v>3650</v>
      </c>
      <c r="B1471">
        <v>1</v>
      </c>
      <c r="C1471" s="5">
        <v>5683772.2699999996</v>
      </c>
    </row>
    <row r="1472" spans="1:3" x14ac:dyDescent="0.25">
      <c r="A1472" s="18" t="s">
        <v>3661</v>
      </c>
      <c r="C1472" s="5">
        <v>8591883.3000000007</v>
      </c>
    </row>
    <row r="1473" spans="1:3" x14ac:dyDescent="0.25">
      <c r="A1473" s="19" t="s">
        <v>3658</v>
      </c>
      <c r="C1473" s="5">
        <v>2950093.3</v>
      </c>
    </row>
    <row r="1474" spans="1:3" x14ac:dyDescent="0.25">
      <c r="A1474" s="19" t="s">
        <v>3666</v>
      </c>
      <c r="C1474" s="5">
        <v>5641790</v>
      </c>
    </row>
    <row r="1475" spans="1:3" x14ac:dyDescent="0.25">
      <c r="A1475" s="18" t="s">
        <v>3672</v>
      </c>
      <c r="C1475" s="5">
        <v>110670</v>
      </c>
    </row>
    <row r="1476" spans="1:3" x14ac:dyDescent="0.25">
      <c r="A1476" s="19" t="s">
        <v>3669</v>
      </c>
      <c r="C1476" s="5">
        <v>110670</v>
      </c>
    </row>
    <row r="1477" spans="1:3" x14ac:dyDescent="0.25">
      <c r="A1477" s="18" t="s">
        <v>3682</v>
      </c>
      <c r="B1477">
        <v>1</v>
      </c>
      <c r="C1477" s="5">
        <v>1035300</v>
      </c>
    </row>
    <row r="1478" spans="1:3" x14ac:dyDescent="0.25">
      <c r="A1478" s="19" t="s">
        <v>3679</v>
      </c>
      <c r="B1478">
        <v>1</v>
      </c>
      <c r="C1478" s="5">
        <v>1035300</v>
      </c>
    </row>
    <row r="1479" spans="1:3" x14ac:dyDescent="0.25">
      <c r="A1479" s="18" t="s">
        <v>3689</v>
      </c>
      <c r="C1479" s="5">
        <v>4958696.4800000004</v>
      </c>
    </row>
    <row r="1480" spans="1:3" x14ac:dyDescent="0.25">
      <c r="A1480" s="19" t="s">
        <v>3686</v>
      </c>
      <c r="C1480" s="5">
        <v>4094171</v>
      </c>
    </row>
    <row r="1481" spans="1:3" x14ac:dyDescent="0.25">
      <c r="A1481" s="19" t="s">
        <v>4031</v>
      </c>
      <c r="C1481" s="5">
        <v>864525.48</v>
      </c>
    </row>
    <row r="1482" spans="1:3" x14ac:dyDescent="0.25">
      <c r="A1482" s="18" t="s">
        <v>3713</v>
      </c>
      <c r="C1482" s="5">
        <v>2689162</v>
      </c>
    </row>
    <row r="1483" spans="1:3" x14ac:dyDescent="0.25">
      <c r="A1483" s="19" t="s">
        <v>3710</v>
      </c>
      <c r="C1483" s="5">
        <v>1344581</v>
      </c>
    </row>
    <row r="1484" spans="1:3" x14ac:dyDescent="0.25">
      <c r="A1484" s="19" t="s">
        <v>3715</v>
      </c>
      <c r="C1484" s="5">
        <v>1344581</v>
      </c>
    </row>
    <row r="1485" spans="1:3" x14ac:dyDescent="0.25">
      <c r="A1485" s="18" t="s">
        <v>3745</v>
      </c>
      <c r="B1485">
        <v>1</v>
      </c>
      <c r="C1485" s="5">
        <v>7567684.8099999996</v>
      </c>
    </row>
    <row r="1486" spans="1:3" x14ac:dyDescent="0.25">
      <c r="A1486" s="19" t="s">
        <v>3742</v>
      </c>
      <c r="B1486">
        <v>1</v>
      </c>
      <c r="C1486" s="5">
        <v>105910</v>
      </c>
    </row>
    <row r="1487" spans="1:3" x14ac:dyDescent="0.25">
      <c r="A1487" s="19" t="s">
        <v>4153</v>
      </c>
      <c r="C1487" s="5">
        <v>7461774.8099999996</v>
      </c>
    </row>
    <row r="1488" spans="1:3" x14ac:dyDescent="0.25">
      <c r="A1488" s="18" t="s">
        <v>3778</v>
      </c>
      <c r="C1488" s="5">
        <v>32200293.300000001</v>
      </c>
    </row>
    <row r="1489" spans="1:3" x14ac:dyDescent="0.25">
      <c r="A1489" s="19" t="s">
        <v>3775</v>
      </c>
      <c r="C1489" s="5">
        <v>32200293.300000001</v>
      </c>
    </row>
    <row r="1490" spans="1:3" x14ac:dyDescent="0.25">
      <c r="A1490" s="18" t="s">
        <v>3808</v>
      </c>
      <c r="C1490" s="5">
        <v>2102273.04</v>
      </c>
    </row>
    <row r="1491" spans="1:3" x14ac:dyDescent="0.25">
      <c r="A1491" s="19" t="s">
        <v>3805</v>
      </c>
      <c r="C1491" s="5">
        <v>529640.43999999994</v>
      </c>
    </row>
    <row r="1492" spans="1:3" x14ac:dyDescent="0.25">
      <c r="A1492" s="19" t="s">
        <v>3810</v>
      </c>
      <c r="C1492" s="5">
        <v>1037132.6</v>
      </c>
    </row>
    <row r="1493" spans="1:3" x14ac:dyDescent="0.25">
      <c r="A1493" s="19" t="s">
        <v>3813</v>
      </c>
      <c r="C1493" s="5">
        <v>535500</v>
      </c>
    </row>
    <row r="1494" spans="1:3" x14ac:dyDescent="0.25">
      <c r="A1494" s="18" t="s">
        <v>3822</v>
      </c>
      <c r="B1494">
        <v>1</v>
      </c>
      <c r="C1494" s="5">
        <v>1559592</v>
      </c>
    </row>
    <row r="1495" spans="1:3" x14ac:dyDescent="0.25">
      <c r="A1495" s="19" t="s">
        <v>3819</v>
      </c>
      <c r="B1495">
        <v>1</v>
      </c>
      <c r="C1495" s="5">
        <v>1559592</v>
      </c>
    </row>
    <row r="1496" spans="1:3" x14ac:dyDescent="0.25">
      <c r="A1496" s="18" t="s">
        <v>3837</v>
      </c>
      <c r="C1496" s="5">
        <v>452200</v>
      </c>
    </row>
    <row r="1497" spans="1:3" x14ac:dyDescent="0.25">
      <c r="A1497" s="19" t="s">
        <v>3834</v>
      </c>
      <c r="C1497" s="5">
        <v>452200</v>
      </c>
    </row>
    <row r="1498" spans="1:3" x14ac:dyDescent="0.25">
      <c r="A1498" s="18" t="s">
        <v>3842</v>
      </c>
      <c r="C1498" s="5">
        <v>1228387.0900000001</v>
      </c>
    </row>
    <row r="1499" spans="1:3" x14ac:dyDescent="0.25">
      <c r="A1499" s="19" t="s">
        <v>3839</v>
      </c>
      <c r="C1499" s="5">
        <v>1228387.0900000001</v>
      </c>
    </row>
    <row r="1500" spans="1:3" x14ac:dyDescent="0.25">
      <c r="A1500" s="18" t="s">
        <v>3847</v>
      </c>
      <c r="B1500">
        <v>1</v>
      </c>
      <c r="C1500" s="5">
        <v>13548150</v>
      </c>
    </row>
    <row r="1501" spans="1:3" x14ac:dyDescent="0.25">
      <c r="A1501" s="19" t="s">
        <v>3844</v>
      </c>
      <c r="B1501">
        <v>1</v>
      </c>
      <c r="C1501" s="5">
        <v>13548150</v>
      </c>
    </row>
    <row r="1502" spans="1:3" x14ac:dyDescent="0.25">
      <c r="A1502" s="18" t="s">
        <v>3855</v>
      </c>
      <c r="B1502">
        <v>1</v>
      </c>
      <c r="C1502" s="5">
        <v>119000</v>
      </c>
    </row>
    <row r="1503" spans="1:3" x14ac:dyDescent="0.25">
      <c r="A1503" s="19" t="s">
        <v>3852</v>
      </c>
      <c r="B1503">
        <v>1</v>
      </c>
      <c r="C1503" s="5">
        <v>119000</v>
      </c>
    </row>
    <row r="1504" spans="1:3" x14ac:dyDescent="0.25">
      <c r="A1504" s="18" t="s">
        <v>3865</v>
      </c>
      <c r="B1504">
        <v>1</v>
      </c>
      <c r="C1504" s="5">
        <v>89771.22</v>
      </c>
    </row>
    <row r="1505" spans="1:3" x14ac:dyDescent="0.25">
      <c r="A1505" s="19" t="s">
        <v>3862</v>
      </c>
      <c r="B1505">
        <v>1</v>
      </c>
      <c r="C1505" s="5">
        <v>89771.22</v>
      </c>
    </row>
    <row r="1506" spans="1:3" x14ac:dyDescent="0.25">
      <c r="A1506" s="18" t="s">
        <v>3875</v>
      </c>
      <c r="B1506">
        <v>1</v>
      </c>
      <c r="C1506" s="5">
        <v>1706717.67</v>
      </c>
    </row>
    <row r="1507" spans="1:3" x14ac:dyDescent="0.25">
      <c r="A1507" s="19" t="s">
        <v>3872</v>
      </c>
      <c r="B1507">
        <v>1</v>
      </c>
      <c r="C1507" s="5">
        <v>1706717.67</v>
      </c>
    </row>
    <row r="1508" spans="1:3" x14ac:dyDescent="0.25">
      <c r="A1508" s="18" t="s">
        <v>3880</v>
      </c>
      <c r="C1508" s="5">
        <v>440587.98</v>
      </c>
    </row>
    <row r="1509" spans="1:3" x14ac:dyDescent="0.25">
      <c r="A1509" s="19" t="s">
        <v>3877</v>
      </c>
      <c r="C1509" s="5">
        <v>440587.98</v>
      </c>
    </row>
    <row r="1510" spans="1:3" x14ac:dyDescent="0.25">
      <c r="A1510" s="18" t="s">
        <v>3894</v>
      </c>
      <c r="C1510" s="5">
        <v>95200</v>
      </c>
    </row>
    <row r="1511" spans="1:3" x14ac:dyDescent="0.25">
      <c r="A1511" s="19" t="s">
        <v>3891</v>
      </c>
      <c r="C1511" s="5">
        <v>95200</v>
      </c>
    </row>
    <row r="1512" spans="1:3" x14ac:dyDescent="0.25">
      <c r="A1512" s="18" t="s">
        <v>3899</v>
      </c>
      <c r="B1512">
        <v>1</v>
      </c>
      <c r="C1512" s="5">
        <v>293941.90000000002</v>
      </c>
    </row>
    <row r="1513" spans="1:3" x14ac:dyDescent="0.25">
      <c r="A1513" s="19" t="s">
        <v>3896</v>
      </c>
      <c r="B1513">
        <v>1</v>
      </c>
      <c r="C1513" s="5">
        <v>293941.90000000002</v>
      </c>
    </row>
    <row r="1514" spans="1:3" x14ac:dyDescent="0.25">
      <c r="A1514" s="18" t="s">
        <v>3930</v>
      </c>
      <c r="B1514">
        <v>1</v>
      </c>
      <c r="C1514" s="5">
        <v>2399040</v>
      </c>
    </row>
    <row r="1515" spans="1:3" x14ac:dyDescent="0.25">
      <c r="A1515" s="19" t="s">
        <v>3927</v>
      </c>
      <c r="B1515">
        <v>1</v>
      </c>
      <c r="C1515" s="5">
        <v>2399040</v>
      </c>
    </row>
    <row r="1516" spans="1:3" x14ac:dyDescent="0.25">
      <c r="A1516" s="18" t="s">
        <v>3943</v>
      </c>
      <c r="C1516" s="5">
        <v>1532125</v>
      </c>
    </row>
    <row r="1517" spans="1:3" x14ac:dyDescent="0.25">
      <c r="A1517" s="19" t="s">
        <v>3940</v>
      </c>
      <c r="C1517" s="5">
        <v>1532125</v>
      </c>
    </row>
    <row r="1518" spans="1:3" x14ac:dyDescent="0.25">
      <c r="A1518" s="18" t="s">
        <v>3948</v>
      </c>
      <c r="C1518" s="5">
        <v>4849250</v>
      </c>
    </row>
    <row r="1519" spans="1:3" x14ac:dyDescent="0.25">
      <c r="A1519" s="19" t="s">
        <v>3945</v>
      </c>
      <c r="C1519" s="5">
        <v>4849250</v>
      </c>
    </row>
    <row r="1520" spans="1:3" x14ac:dyDescent="0.25">
      <c r="A1520" s="18" t="s">
        <v>3958</v>
      </c>
      <c r="B1520">
        <v>1</v>
      </c>
      <c r="C1520" s="5">
        <v>264537</v>
      </c>
    </row>
    <row r="1521" spans="1:3" x14ac:dyDescent="0.25">
      <c r="A1521" s="19" t="s">
        <v>3955</v>
      </c>
      <c r="B1521">
        <v>1</v>
      </c>
      <c r="C1521" s="5">
        <v>264537</v>
      </c>
    </row>
    <row r="1522" spans="1:3" x14ac:dyDescent="0.25">
      <c r="A1522" s="18" t="s">
        <v>3966</v>
      </c>
      <c r="B1522">
        <v>1</v>
      </c>
      <c r="C1522" s="5">
        <v>866320</v>
      </c>
    </row>
    <row r="1523" spans="1:3" x14ac:dyDescent="0.25">
      <c r="A1523" s="19" t="s">
        <v>3963</v>
      </c>
      <c r="B1523">
        <v>1</v>
      </c>
      <c r="C1523" s="5">
        <v>866320</v>
      </c>
    </row>
    <row r="1524" spans="1:3" x14ac:dyDescent="0.25">
      <c r="A1524" s="18" t="s">
        <v>3974</v>
      </c>
      <c r="C1524" s="5">
        <v>540570.59</v>
      </c>
    </row>
    <row r="1525" spans="1:3" x14ac:dyDescent="0.25">
      <c r="A1525" s="19" t="s">
        <v>3971</v>
      </c>
      <c r="C1525" s="5">
        <v>540570.59</v>
      </c>
    </row>
    <row r="1526" spans="1:3" x14ac:dyDescent="0.25">
      <c r="A1526" s="18" t="s">
        <v>3988</v>
      </c>
      <c r="B1526">
        <v>1</v>
      </c>
      <c r="C1526" s="5">
        <v>558110</v>
      </c>
    </row>
    <row r="1527" spans="1:3" x14ac:dyDescent="0.25">
      <c r="A1527" s="19" t="s">
        <v>3985</v>
      </c>
      <c r="B1527">
        <v>1</v>
      </c>
      <c r="C1527" s="5">
        <v>558110</v>
      </c>
    </row>
    <row r="1528" spans="1:3" x14ac:dyDescent="0.25">
      <c r="A1528" s="18" t="s">
        <v>3993</v>
      </c>
      <c r="B1528">
        <v>1</v>
      </c>
      <c r="C1528" s="5">
        <v>297500</v>
      </c>
    </row>
    <row r="1529" spans="1:3" x14ac:dyDescent="0.25">
      <c r="A1529" s="19" t="s">
        <v>3990</v>
      </c>
      <c r="B1529">
        <v>1</v>
      </c>
      <c r="C1529" s="5">
        <v>297500</v>
      </c>
    </row>
    <row r="1530" spans="1:3" x14ac:dyDescent="0.25">
      <c r="A1530" s="18" t="s">
        <v>4002</v>
      </c>
      <c r="B1530">
        <v>1</v>
      </c>
      <c r="C1530" s="5">
        <v>19675600</v>
      </c>
    </row>
    <row r="1531" spans="1:3" x14ac:dyDescent="0.25">
      <c r="A1531" s="19" t="s">
        <v>3999</v>
      </c>
      <c r="B1531">
        <v>1</v>
      </c>
      <c r="C1531" s="5">
        <v>19675600</v>
      </c>
    </row>
    <row r="1532" spans="1:3" x14ac:dyDescent="0.25">
      <c r="A1532" s="18" t="s">
        <v>4007</v>
      </c>
      <c r="B1532">
        <v>1</v>
      </c>
      <c r="C1532" s="5">
        <v>242760</v>
      </c>
    </row>
    <row r="1533" spans="1:3" x14ac:dyDescent="0.25">
      <c r="A1533" s="19" t="s">
        <v>4004</v>
      </c>
      <c r="B1533">
        <v>1</v>
      </c>
      <c r="C1533" s="5">
        <v>242760</v>
      </c>
    </row>
    <row r="1534" spans="1:3" x14ac:dyDescent="0.25">
      <c r="A1534" s="18" t="s">
        <v>4015</v>
      </c>
      <c r="C1534" s="5">
        <v>2649805.13</v>
      </c>
    </row>
    <row r="1535" spans="1:3" x14ac:dyDescent="0.25">
      <c r="A1535" s="19" t="s">
        <v>4012</v>
      </c>
      <c r="C1535" s="5">
        <v>2649805.13</v>
      </c>
    </row>
    <row r="1536" spans="1:3" x14ac:dyDescent="0.25">
      <c r="A1536" s="18" t="s">
        <v>4026</v>
      </c>
      <c r="C1536" s="5">
        <v>2524223.1</v>
      </c>
    </row>
    <row r="1537" spans="1:3" x14ac:dyDescent="0.25">
      <c r="A1537" s="19" t="s">
        <v>4023</v>
      </c>
      <c r="C1537" s="5">
        <v>2524223.1</v>
      </c>
    </row>
    <row r="1538" spans="1:3" x14ac:dyDescent="0.25">
      <c r="A1538" s="18" t="s">
        <v>4048</v>
      </c>
      <c r="C1538" s="5">
        <v>7480857</v>
      </c>
    </row>
    <row r="1539" spans="1:3" x14ac:dyDescent="0.25">
      <c r="A1539" s="19" t="s">
        <v>4045</v>
      </c>
      <c r="C1539" s="5">
        <v>7480857</v>
      </c>
    </row>
    <row r="1540" spans="1:3" x14ac:dyDescent="0.25">
      <c r="A1540" s="18" t="s">
        <v>4053</v>
      </c>
      <c r="C1540" s="5">
        <v>1285200</v>
      </c>
    </row>
    <row r="1541" spans="1:3" x14ac:dyDescent="0.25">
      <c r="A1541" s="19" t="s">
        <v>4050</v>
      </c>
      <c r="C1541" s="5">
        <v>1285200</v>
      </c>
    </row>
    <row r="1542" spans="1:3" x14ac:dyDescent="0.25">
      <c r="A1542" s="18" t="s">
        <v>4066</v>
      </c>
      <c r="C1542" s="5">
        <v>2068220</v>
      </c>
    </row>
    <row r="1543" spans="1:3" x14ac:dyDescent="0.25">
      <c r="A1543" s="19" t="s">
        <v>4063</v>
      </c>
      <c r="C1543" s="5">
        <v>650335</v>
      </c>
    </row>
    <row r="1544" spans="1:3" x14ac:dyDescent="0.25">
      <c r="A1544" s="19" t="s">
        <v>4068</v>
      </c>
      <c r="C1544" s="5">
        <v>650335</v>
      </c>
    </row>
    <row r="1545" spans="1:3" x14ac:dyDescent="0.25">
      <c r="A1545" s="19" t="s">
        <v>4216</v>
      </c>
      <c r="C1545" s="5">
        <v>767550</v>
      </c>
    </row>
    <row r="1546" spans="1:3" x14ac:dyDescent="0.25">
      <c r="A1546" s="18" t="s">
        <v>4082</v>
      </c>
      <c r="B1546">
        <v>1</v>
      </c>
      <c r="C1546" s="5">
        <v>293216</v>
      </c>
    </row>
    <row r="1547" spans="1:3" x14ac:dyDescent="0.25">
      <c r="A1547" s="19" t="s">
        <v>4079</v>
      </c>
      <c r="B1547">
        <v>1</v>
      </c>
      <c r="C1547" s="5">
        <v>293216</v>
      </c>
    </row>
    <row r="1548" spans="1:3" x14ac:dyDescent="0.25">
      <c r="A1548" s="18" t="s">
        <v>4087</v>
      </c>
      <c r="B1548">
        <v>1</v>
      </c>
      <c r="C1548" s="5">
        <v>6580700</v>
      </c>
    </row>
    <row r="1549" spans="1:3" x14ac:dyDescent="0.25">
      <c r="A1549" s="19" t="s">
        <v>4084</v>
      </c>
      <c r="B1549">
        <v>1</v>
      </c>
      <c r="C1549" s="5">
        <v>6580700</v>
      </c>
    </row>
    <row r="1550" spans="1:3" x14ac:dyDescent="0.25">
      <c r="A1550" s="18" t="s">
        <v>4092</v>
      </c>
      <c r="B1550">
        <v>1</v>
      </c>
      <c r="C1550" s="5">
        <v>248332.77</v>
      </c>
    </row>
    <row r="1551" spans="1:3" x14ac:dyDescent="0.25">
      <c r="A1551" s="19" t="s">
        <v>4089</v>
      </c>
      <c r="B1551">
        <v>1</v>
      </c>
      <c r="C1551" s="5">
        <v>248332.77</v>
      </c>
    </row>
    <row r="1552" spans="1:3" x14ac:dyDescent="0.25">
      <c r="A1552" s="18" t="s">
        <v>4112</v>
      </c>
      <c r="C1552" s="5">
        <v>1497020</v>
      </c>
    </row>
    <row r="1553" spans="1:3" x14ac:dyDescent="0.25">
      <c r="A1553" s="19" t="s">
        <v>4108</v>
      </c>
      <c r="C1553" s="5">
        <v>1497020</v>
      </c>
    </row>
    <row r="1554" spans="1:3" x14ac:dyDescent="0.25">
      <c r="A1554" s="18" t="s">
        <v>4146</v>
      </c>
      <c r="C1554" s="5">
        <v>990675</v>
      </c>
    </row>
    <row r="1555" spans="1:3" x14ac:dyDescent="0.25">
      <c r="A1555" s="19" t="s">
        <v>4143</v>
      </c>
      <c r="C1555" s="5">
        <v>990675</v>
      </c>
    </row>
    <row r="1556" spans="1:3" x14ac:dyDescent="0.25">
      <c r="A1556" s="18" t="s">
        <v>4151</v>
      </c>
      <c r="C1556" s="5">
        <v>684726</v>
      </c>
    </row>
    <row r="1557" spans="1:3" x14ac:dyDescent="0.25">
      <c r="A1557" s="19" t="s">
        <v>4148</v>
      </c>
      <c r="C1557" s="5">
        <v>564774</v>
      </c>
    </row>
    <row r="1558" spans="1:3" x14ac:dyDescent="0.25">
      <c r="A1558" s="19" t="s">
        <v>4245</v>
      </c>
      <c r="C1558" s="5">
        <v>119952</v>
      </c>
    </row>
    <row r="1559" spans="1:3" x14ac:dyDescent="0.25">
      <c r="A1559" s="18" t="s">
        <v>4168</v>
      </c>
      <c r="C1559" s="5">
        <v>1781430</v>
      </c>
    </row>
    <row r="1560" spans="1:3" x14ac:dyDescent="0.25">
      <c r="A1560" s="19" t="s">
        <v>4165</v>
      </c>
      <c r="C1560" s="5">
        <v>1781430</v>
      </c>
    </row>
    <row r="1561" spans="1:3" x14ac:dyDescent="0.25">
      <c r="A1561" s="18" t="s">
        <v>4181</v>
      </c>
      <c r="C1561" s="5">
        <v>3350000</v>
      </c>
    </row>
    <row r="1562" spans="1:3" x14ac:dyDescent="0.25">
      <c r="A1562" s="19" t="s">
        <v>4178</v>
      </c>
      <c r="C1562" s="5">
        <v>3350000</v>
      </c>
    </row>
    <row r="1563" spans="1:3" x14ac:dyDescent="0.25">
      <c r="A1563" s="18" t="s">
        <v>4190</v>
      </c>
      <c r="B1563">
        <v>1</v>
      </c>
      <c r="C1563" s="5">
        <v>323053.5</v>
      </c>
    </row>
    <row r="1564" spans="1:3" x14ac:dyDescent="0.25">
      <c r="A1564" s="19" t="s">
        <v>4187</v>
      </c>
      <c r="B1564">
        <v>1</v>
      </c>
      <c r="C1564" s="5">
        <v>323053.5</v>
      </c>
    </row>
    <row r="1565" spans="1:3" x14ac:dyDescent="0.25">
      <c r="A1565" s="18" t="s">
        <v>4199</v>
      </c>
      <c r="B1565">
        <v>1</v>
      </c>
      <c r="C1565" s="5">
        <v>416581.5</v>
      </c>
    </row>
    <row r="1566" spans="1:3" x14ac:dyDescent="0.25">
      <c r="A1566" s="19" t="s">
        <v>4196</v>
      </c>
      <c r="B1566">
        <v>1</v>
      </c>
      <c r="C1566" s="5">
        <v>416581.5</v>
      </c>
    </row>
    <row r="1567" spans="1:3" x14ac:dyDescent="0.25">
      <c r="A1567" s="18" t="s">
        <v>4228</v>
      </c>
      <c r="C1567" s="5">
        <v>21093940</v>
      </c>
    </row>
    <row r="1568" spans="1:3" x14ac:dyDescent="0.25">
      <c r="A1568" s="19" t="s">
        <v>4225</v>
      </c>
      <c r="C1568" s="5">
        <v>21093940</v>
      </c>
    </row>
    <row r="1569" spans="1:3" x14ac:dyDescent="0.25">
      <c r="A1569" s="18" t="s">
        <v>4257</v>
      </c>
      <c r="B1569">
        <v>1</v>
      </c>
      <c r="C1569" s="5">
        <v>4247348</v>
      </c>
    </row>
    <row r="1570" spans="1:3" x14ac:dyDescent="0.25">
      <c r="A1570" s="19" t="s">
        <v>4254</v>
      </c>
      <c r="B1570">
        <v>1</v>
      </c>
      <c r="C1570" s="5">
        <v>4247348</v>
      </c>
    </row>
    <row r="1571" spans="1:3" x14ac:dyDescent="0.25">
      <c r="A1571" s="18" t="s">
        <v>4270</v>
      </c>
      <c r="B1571">
        <v>1</v>
      </c>
      <c r="C1571" s="5">
        <v>249900</v>
      </c>
    </row>
    <row r="1572" spans="1:3" x14ac:dyDescent="0.25">
      <c r="A1572" s="19" t="s">
        <v>4267</v>
      </c>
      <c r="B1572">
        <v>1</v>
      </c>
      <c r="C1572" s="5">
        <v>249900</v>
      </c>
    </row>
    <row r="1573" spans="1:3" x14ac:dyDescent="0.25">
      <c r="A1573" s="18" t="s">
        <v>4284</v>
      </c>
      <c r="B1573">
        <v>1</v>
      </c>
      <c r="C1573" s="5">
        <v>89250</v>
      </c>
    </row>
    <row r="1574" spans="1:3" x14ac:dyDescent="0.25">
      <c r="A1574" s="19" t="s">
        <v>4281</v>
      </c>
      <c r="B1574">
        <v>1</v>
      </c>
      <c r="C1574" s="5">
        <v>89250</v>
      </c>
    </row>
    <row r="1575" spans="1:3" x14ac:dyDescent="0.25">
      <c r="A1575" s="18" t="s">
        <v>4289</v>
      </c>
      <c r="B1575">
        <v>1</v>
      </c>
      <c r="C1575" s="5">
        <v>8306200</v>
      </c>
    </row>
    <row r="1576" spans="1:3" x14ac:dyDescent="0.25">
      <c r="A1576" s="19" t="s">
        <v>4286</v>
      </c>
      <c r="B1576">
        <v>1</v>
      </c>
      <c r="C1576" s="5">
        <v>8306200</v>
      </c>
    </row>
    <row r="1577" spans="1:3" x14ac:dyDescent="0.25">
      <c r="A1577" s="18" t="s">
        <v>4299</v>
      </c>
      <c r="B1577">
        <v>1</v>
      </c>
      <c r="C1577" s="5">
        <v>6111840</v>
      </c>
    </row>
    <row r="1578" spans="1:3" x14ac:dyDescent="0.25">
      <c r="A1578" s="19" t="s">
        <v>4296</v>
      </c>
      <c r="B1578">
        <v>1</v>
      </c>
      <c r="C1578" s="5">
        <v>6111840</v>
      </c>
    </row>
    <row r="1579" spans="1:3" x14ac:dyDescent="0.25">
      <c r="A1579" s="18" t="s">
        <v>4309</v>
      </c>
      <c r="B1579">
        <v>1</v>
      </c>
      <c r="C1579" s="5">
        <v>66640</v>
      </c>
    </row>
    <row r="1580" spans="1:3" x14ac:dyDescent="0.25">
      <c r="A1580" s="19" t="s">
        <v>4306</v>
      </c>
      <c r="B1580">
        <v>1</v>
      </c>
      <c r="C1580" s="5">
        <v>66640</v>
      </c>
    </row>
    <row r="1581" spans="1:3" x14ac:dyDescent="0.25">
      <c r="A1581" s="18" t="s">
        <v>4466</v>
      </c>
      <c r="B1581">
        <v>1</v>
      </c>
      <c r="C1581" s="5"/>
    </row>
    <row r="1582" spans="1:3" x14ac:dyDescent="0.25">
      <c r="A1582" s="19" t="s">
        <v>4310</v>
      </c>
      <c r="B1582">
        <v>1</v>
      </c>
      <c r="C1582" s="5"/>
    </row>
    <row r="1583" spans="1:3" x14ac:dyDescent="0.25">
      <c r="A1583" s="18" t="s">
        <v>4372</v>
      </c>
      <c r="B1583">
        <v>510</v>
      </c>
      <c r="C1583" s="5">
        <v>4969448176.8800011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ffeeb89-2336-47d2-920f-ea078a8e5c93">
      <Terms xmlns="http://schemas.microsoft.com/office/infopath/2007/PartnerControls"/>
    </lcf76f155ced4ddcb4097134ff3c332f>
    <TaxCatchAll xmlns="ea075209-df58-4b43-ba67-a99425f08c9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53A27A1B41A8C40BB4C1D7F86B2FC9B" ma:contentTypeVersion="14" ma:contentTypeDescription="Crear nuevo documento." ma:contentTypeScope="" ma:versionID="eeccc5fa491760c97adf65336130a2d7">
  <xsd:schema xmlns:xsd="http://www.w3.org/2001/XMLSchema" xmlns:xs="http://www.w3.org/2001/XMLSchema" xmlns:p="http://schemas.microsoft.com/office/2006/metadata/properties" xmlns:ns2="dffeeb89-2336-47d2-920f-ea078a8e5c93" xmlns:ns3="8ec2144a-c81d-4a2e-bafd-95d77f688e25" xmlns:ns4="ea075209-df58-4b43-ba67-a99425f08c92" targetNamespace="http://schemas.microsoft.com/office/2006/metadata/properties" ma:root="true" ma:fieldsID="dcefd184614a75e64a696d94479a0ef7" ns2:_="" ns3:_="" ns4:_="">
    <xsd:import namespace="dffeeb89-2336-47d2-920f-ea078a8e5c93"/>
    <xsd:import namespace="8ec2144a-c81d-4a2e-bafd-95d77f688e25"/>
    <xsd:import namespace="ea075209-df58-4b43-ba67-a99425f08c9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feeb89-2336-47d2-920f-ea078a8e5c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e25077ae-66a9-47e8-a03f-4f57bf9ff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c2144a-c81d-4a2e-bafd-95d77f688e2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075209-df58-4b43-ba67-a99425f08c92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8983d2d-80e0-4496-805e-26e57028307b}" ma:internalName="TaxCatchAll" ma:showField="CatchAllData" ma:web="ea075209-df58-4b43-ba67-a99425f08c9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F9EFF8A-B74D-4E99-9A64-EA8D0773CBA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6868A27-F140-4C86-9FCE-DAD657198C44}">
  <ds:schemaRefs>
    <ds:schemaRef ds:uri="http://schemas.microsoft.com/office/2006/metadata/properties"/>
    <ds:schemaRef ds:uri="http://schemas.microsoft.com/office/infopath/2007/PartnerControls"/>
    <ds:schemaRef ds:uri="dffeeb89-2336-47d2-920f-ea078a8e5c93"/>
    <ds:schemaRef ds:uri="ea075209-df58-4b43-ba67-a99425f08c92"/>
  </ds:schemaRefs>
</ds:datastoreItem>
</file>

<file path=customXml/itemProps3.xml><?xml version="1.0" encoding="utf-8"?>
<ds:datastoreItem xmlns:ds="http://schemas.openxmlformats.org/officeDocument/2006/customXml" ds:itemID="{1276708A-8EAF-4855-A2C4-1BB21A897D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ffeeb89-2336-47d2-920f-ea078a8e5c93"/>
    <ds:schemaRef ds:uri="8ec2144a-c81d-4a2e-bafd-95d77f688e25"/>
    <ds:schemaRef ds:uri="ea075209-df58-4b43-ba67-a99425f08c9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MATRIZ ENERO 2026</vt:lpstr>
      <vt:lpstr>1 ACUSE</vt:lpstr>
      <vt:lpstr>2 ACUSES</vt:lpstr>
      <vt:lpstr>SIN ACUSES</vt:lpstr>
      <vt:lpstr>3 ACUSES</vt:lpstr>
      <vt:lpstr>RECHAZADAS </vt:lpstr>
      <vt:lpstr>PAGAS EN SISTEMA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Darli Alexandra Muñoz Cuadros</dc:creator>
  <cp:keywords/>
  <dc:description/>
  <cp:lastModifiedBy>German Mauricio Infante Valenzuela</cp:lastModifiedBy>
  <cp:revision/>
  <dcterms:created xsi:type="dcterms:W3CDTF">2025-01-08T19:00:13Z</dcterms:created>
  <dcterms:modified xsi:type="dcterms:W3CDTF">2026-04-30T21:10:26Z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0x010100053A27A1B41A8C40BB4C1D7F86B2FC9B</vt:lpwstr>
  </property>
  <property fmtid="{D5CDD505-2E9C-101B-9397-08002B2CF9AE}" pid="3" name="MediaServiceImageTags">
    <vt:lpwstr/>
  </property>
</Properties>
</file>